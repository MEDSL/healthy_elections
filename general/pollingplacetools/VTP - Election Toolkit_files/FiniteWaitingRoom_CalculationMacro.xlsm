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6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olin/Documents/MIT/HealthyElections/Webpage/VTP - Election Toolkit_files/"/>
    </mc:Choice>
  </mc:AlternateContent>
  <bookViews>
    <workbookView xWindow="0" yWindow="460" windowWidth="28800" windowHeight="17540"/>
  </bookViews>
  <sheets>
    <sheet name="Calculations" sheetId="2" r:id="rId1"/>
    <sheet name="Inputs_Outputs" sheetId="3" r:id="rId2"/>
  </sheets>
  <definedNames>
    <definedName name="CalcInput">Calculations!$C$11</definedName>
    <definedName name="CalcOutput">Calculations!$J$11</definedName>
    <definedName name="FirstInputPoint">Inputs_Outputs!$F$13</definedName>
    <definedName name="NumberOfPrecincts">Inputs_Outputs!$C$8</definedName>
    <definedName name="OverallAlert">Inputs_Outputs!$W$9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1" i="2" l="1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1005" i="2"/>
  <c r="E1006" i="2"/>
  <c r="E1007" i="2"/>
  <c r="E1008" i="2"/>
  <c r="E1009" i="2"/>
  <c r="E1010" i="2"/>
  <c r="E1011" i="2"/>
  <c r="E1012" i="2"/>
  <c r="E1013" i="2"/>
  <c r="E1014" i="2"/>
  <c r="E1015" i="2"/>
  <c r="E1016" i="2"/>
  <c r="E1017" i="2"/>
  <c r="E1018" i="2"/>
  <c r="E1019" i="2"/>
  <c r="E1020" i="2"/>
  <c r="E1021" i="2"/>
  <c r="E1022" i="2"/>
  <c r="E1023" i="2"/>
  <c r="E1024" i="2"/>
  <c r="E1025" i="2"/>
  <c r="E1026" i="2"/>
  <c r="E1027" i="2"/>
  <c r="E1028" i="2"/>
  <c r="E1029" i="2"/>
  <c r="E1030" i="2"/>
  <c r="E1031" i="2"/>
  <c r="E1032" i="2"/>
  <c r="E1033" i="2"/>
  <c r="E1034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52" i="2"/>
  <c r="E1053" i="2"/>
  <c r="E1054" i="2"/>
  <c r="E1055" i="2"/>
  <c r="E1056" i="2"/>
  <c r="E1057" i="2"/>
  <c r="E1058" i="2"/>
  <c r="E1059" i="2"/>
  <c r="E1060" i="2"/>
  <c r="E106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1" i="2"/>
  <c r="E1132" i="2"/>
  <c r="E1133" i="2"/>
  <c r="E1134" i="2"/>
  <c r="E1135" i="2"/>
  <c r="E1136" i="2"/>
  <c r="E1137" i="2"/>
  <c r="E1138" i="2"/>
  <c r="E1139" i="2"/>
  <c r="E1140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2" i="2"/>
  <c r="E1183" i="2"/>
  <c r="E1184" i="2"/>
  <c r="E1185" i="2"/>
  <c r="E1186" i="2"/>
  <c r="E1187" i="2"/>
  <c r="E1188" i="2"/>
  <c r="E1189" i="2"/>
  <c r="E1190" i="2"/>
  <c r="E1191" i="2"/>
  <c r="E1192" i="2"/>
  <c r="E1193" i="2"/>
  <c r="E1194" i="2"/>
  <c r="E1195" i="2"/>
  <c r="E1196" i="2"/>
  <c r="E1197" i="2"/>
  <c r="E1198" i="2"/>
  <c r="E1199" i="2"/>
  <c r="E1200" i="2"/>
  <c r="E1201" i="2"/>
  <c r="E1202" i="2"/>
  <c r="E1203" i="2"/>
  <c r="E1204" i="2"/>
  <c r="E1205" i="2"/>
  <c r="E1206" i="2"/>
  <c r="E1207" i="2"/>
  <c r="E1208" i="2"/>
  <c r="E1209" i="2"/>
  <c r="E1210" i="2"/>
  <c r="E1211" i="2"/>
  <c r="E1212" i="2"/>
  <c r="E1213" i="2"/>
  <c r="E1214" i="2"/>
  <c r="E1215" i="2"/>
  <c r="E1216" i="2"/>
  <c r="E1217" i="2"/>
  <c r="E1218" i="2"/>
  <c r="E1219" i="2"/>
  <c r="E1220" i="2"/>
  <c r="E1221" i="2"/>
  <c r="E1222" i="2"/>
  <c r="E1223" i="2"/>
  <c r="E1224" i="2"/>
  <c r="E1225" i="2"/>
  <c r="E1226" i="2"/>
  <c r="E1227" i="2"/>
  <c r="E1228" i="2"/>
  <c r="E1229" i="2"/>
  <c r="E1230" i="2"/>
  <c r="E1231" i="2"/>
  <c r="E1232" i="2"/>
  <c r="E1233" i="2"/>
  <c r="E1234" i="2"/>
  <c r="E1235" i="2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5" i="2"/>
  <c r="E1266" i="2"/>
  <c r="E1267" i="2"/>
  <c r="E1268" i="2"/>
  <c r="E1269" i="2"/>
  <c r="E1270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1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F102" i="2"/>
  <c r="G102" i="2"/>
  <c r="F103" i="2"/>
  <c r="G103" i="2"/>
  <c r="F104" i="2"/>
  <c r="G104" i="2"/>
  <c r="F105" i="2"/>
  <c r="G105" i="2"/>
  <c r="F106" i="2"/>
  <c r="G106" i="2"/>
  <c r="F107" i="2"/>
  <c r="G107" i="2"/>
  <c r="F108" i="2"/>
  <c r="G108" i="2"/>
  <c r="F109" i="2"/>
  <c r="G109" i="2"/>
  <c r="F110" i="2"/>
  <c r="G110" i="2"/>
  <c r="F111" i="2"/>
  <c r="G111" i="2"/>
  <c r="F112" i="2"/>
  <c r="G112" i="2"/>
  <c r="F113" i="2"/>
  <c r="G113" i="2"/>
  <c r="F114" i="2"/>
  <c r="G114" i="2"/>
  <c r="F115" i="2"/>
  <c r="G115" i="2"/>
  <c r="F116" i="2"/>
  <c r="G116" i="2"/>
  <c r="F117" i="2"/>
  <c r="G117" i="2"/>
  <c r="F118" i="2"/>
  <c r="G118" i="2"/>
  <c r="F119" i="2"/>
  <c r="G119" i="2"/>
  <c r="F120" i="2"/>
  <c r="G120" i="2"/>
  <c r="F121" i="2"/>
  <c r="G121" i="2"/>
  <c r="F122" i="2"/>
  <c r="G122" i="2"/>
  <c r="F123" i="2"/>
  <c r="G123" i="2"/>
  <c r="F124" i="2"/>
  <c r="G124" i="2"/>
  <c r="F125" i="2"/>
  <c r="G125" i="2"/>
  <c r="F126" i="2"/>
  <c r="G126" i="2"/>
  <c r="F127" i="2"/>
  <c r="G127" i="2"/>
  <c r="F128" i="2"/>
  <c r="G128" i="2"/>
  <c r="F129" i="2"/>
  <c r="G129" i="2"/>
  <c r="F130" i="2"/>
  <c r="G130" i="2"/>
  <c r="F131" i="2"/>
  <c r="G131" i="2"/>
  <c r="F132" i="2"/>
  <c r="G132" i="2"/>
  <c r="F133" i="2"/>
  <c r="G133" i="2"/>
  <c r="F134" i="2"/>
  <c r="G134" i="2"/>
  <c r="F135" i="2"/>
  <c r="G135" i="2"/>
  <c r="F136" i="2"/>
  <c r="G136" i="2"/>
  <c r="F137" i="2"/>
  <c r="G137" i="2"/>
  <c r="F138" i="2"/>
  <c r="G138" i="2"/>
  <c r="F139" i="2"/>
  <c r="G139" i="2"/>
  <c r="F140" i="2"/>
  <c r="G140" i="2"/>
  <c r="F141" i="2"/>
  <c r="G141" i="2"/>
  <c r="F142" i="2"/>
  <c r="G142" i="2"/>
  <c r="F143" i="2"/>
  <c r="G143" i="2"/>
  <c r="F144" i="2"/>
  <c r="G144" i="2"/>
  <c r="F145" i="2"/>
  <c r="G145" i="2"/>
  <c r="F146" i="2"/>
  <c r="G146" i="2"/>
  <c r="F147" i="2"/>
  <c r="G147" i="2"/>
  <c r="F148" i="2"/>
  <c r="G148" i="2"/>
  <c r="F149" i="2"/>
  <c r="G149" i="2"/>
  <c r="F150" i="2"/>
  <c r="G150" i="2"/>
  <c r="F151" i="2"/>
  <c r="G151" i="2"/>
  <c r="F152" i="2"/>
  <c r="G152" i="2"/>
  <c r="F153" i="2"/>
  <c r="G153" i="2"/>
  <c r="F154" i="2"/>
  <c r="G154" i="2"/>
  <c r="F155" i="2"/>
  <c r="G155" i="2"/>
  <c r="F156" i="2"/>
  <c r="G156" i="2"/>
  <c r="F157" i="2"/>
  <c r="G157" i="2"/>
  <c r="F158" i="2"/>
  <c r="G158" i="2"/>
  <c r="F159" i="2"/>
  <c r="G159" i="2"/>
  <c r="F160" i="2"/>
  <c r="G160" i="2"/>
  <c r="F161" i="2"/>
  <c r="G161" i="2"/>
  <c r="F162" i="2"/>
  <c r="G162" i="2"/>
  <c r="F163" i="2"/>
  <c r="G163" i="2"/>
  <c r="F164" i="2"/>
  <c r="G164" i="2"/>
  <c r="F165" i="2"/>
  <c r="G165" i="2"/>
  <c r="F166" i="2"/>
  <c r="G166" i="2"/>
  <c r="F167" i="2"/>
  <c r="G167" i="2"/>
  <c r="F168" i="2"/>
  <c r="G168" i="2"/>
  <c r="F169" i="2"/>
  <c r="G169" i="2"/>
  <c r="F170" i="2"/>
  <c r="G170" i="2"/>
  <c r="F171" i="2"/>
  <c r="G171" i="2"/>
  <c r="F172" i="2"/>
  <c r="G172" i="2"/>
  <c r="F173" i="2"/>
  <c r="G173" i="2"/>
  <c r="F174" i="2"/>
  <c r="G174" i="2"/>
  <c r="F175" i="2"/>
  <c r="G175" i="2"/>
  <c r="F176" i="2"/>
  <c r="G176" i="2"/>
  <c r="F177" i="2"/>
  <c r="G177" i="2"/>
  <c r="F178" i="2"/>
  <c r="G178" i="2"/>
  <c r="F179" i="2"/>
  <c r="G179" i="2"/>
  <c r="F180" i="2"/>
  <c r="G180" i="2"/>
  <c r="F181" i="2"/>
  <c r="G181" i="2"/>
  <c r="F182" i="2"/>
  <c r="G182" i="2"/>
  <c r="F183" i="2"/>
  <c r="G183" i="2"/>
  <c r="F184" i="2"/>
  <c r="G184" i="2"/>
  <c r="F185" i="2"/>
  <c r="G185" i="2"/>
  <c r="F186" i="2"/>
  <c r="G186" i="2"/>
  <c r="F187" i="2"/>
  <c r="G187" i="2"/>
  <c r="F188" i="2"/>
  <c r="G188" i="2"/>
  <c r="F189" i="2"/>
  <c r="G189" i="2"/>
  <c r="F190" i="2"/>
  <c r="G190" i="2"/>
  <c r="F191" i="2"/>
  <c r="G191" i="2"/>
  <c r="F192" i="2"/>
  <c r="G192" i="2"/>
  <c r="F193" i="2"/>
  <c r="G193" i="2"/>
  <c r="F194" i="2"/>
  <c r="G194" i="2"/>
  <c r="F195" i="2"/>
  <c r="G195" i="2"/>
  <c r="F196" i="2"/>
  <c r="G196" i="2"/>
  <c r="F197" i="2"/>
  <c r="G197" i="2"/>
  <c r="F198" i="2"/>
  <c r="G198" i="2"/>
  <c r="F199" i="2"/>
  <c r="G199" i="2"/>
  <c r="F200" i="2"/>
  <c r="G200" i="2"/>
  <c r="F201" i="2"/>
  <c r="G201" i="2"/>
  <c r="F202" i="2"/>
  <c r="G202" i="2"/>
  <c r="F203" i="2"/>
  <c r="G203" i="2"/>
  <c r="F204" i="2"/>
  <c r="G204" i="2"/>
  <c r="F205" i="2"/>
  <c r="G205" i="2"/>
  <c r="F206" i="2"/>
  <c r="G206" i="2"/>
  <c r="F207" i="2"/>
  <c r="G207" i="2"/>
  <c r="F208" i="2"/>
  <c r="G208" i="2"/>
  <c r="F209" i="2"/>
  <c r="G209" i="2"/>
  <c r="F210" i="2"/>
  <c r="G210" i="2"/>
  <c r="F211" i="2"/>
  <c r="G211" i="2"/>
  <c r="F212" i="2"/>
  <c r="G212" i="2"/>
  <c r="F213" i="2"/>
  <c r="G213" i="2"/>
  <c r="F214" i="2"/>
  <c r="G214" i="2"/>
  <c r="F215" i="2"/>
  <c r="G215" i="2"/>
  <c r="F216" i="2"/>
  <c r="G216" i="2"/>
  <c r="F217" i="2"/>
  <c r="G217" i="2"/>
  <c r="F218" i="2"/>
  <c r="G218" i="2"/>
  <c r="F219" i="2"/>
  <c r="G219" i="2"/>
  <c r="F220" i="2"/>
  <c r="G220" i="2"/>
  <c r="F221" i="2"/>
  <c r="G221" i="2"/>
  <c r="F222" i="2"/>
  <c r="G222" i="2"/>
  <c r="F223" i="2"/>
  <c r="G223" i="2"/>
  <c r="F224" i="2"/>
  <c r="G224" i="2"/>
  <c r="F225" i="2"/>
  <c r="G225" i="2"/>
  <c r="F226" i="2"/>
  <c r="G226" i="2"/>
  <c r="F227" i="2"/>
  <c r="G227" i="2"/>
  <c r="F228" i="2"/>
  <c r="G228" i="2"/>
  <c r="F229" i="2"/>
  <c r="G229" i="2"/>
  <c r="F230" i="2"/>
  <c r="G230" i="2"/>
  <c r="F231" i="2"/>
  <c r="G231" i="2"/>
  <c r="F232" i="2"/>
  <c r="G232" i="2"/>
  <c r="F233" i="2"/>
  <c r="G233" i="2"/>
  <c r="F234" i="2"/>
  <c r="G234" i="2"/>
  <c r="F235" i="2"/>
  <c r="G235" i="2"/>
  <c r="F236" i="2"/>
  <c r="G236" i="2"/>
  <c r="F237" i="2"/>
  <c r="G237" i="2"/>
  <c r="F238" i="2"/>
  <c r="G238" i="2"/>
  <c r="F239" i="2"/>
  <c r="G239" i="2"/>
  <c r="F240" i="2"/>
  <c r="G240" i="2"/>
  <c r="F241" i="2"/>
  <c r="G241" i="2"/>
  <c r="F242" i="2"/>
  <c r="G242" i="2"/>
  <c r="F243" i="2"/>
  <c r="G243" i="2"/>
  <c r="F244" i="2"/>
  <c r="G244" i="2"/>
  <c r="F245" i="2"/>
  <c r="G245" i="2"/>
  <c r="F246" i="2"/>
  <c r="G246" i="2"/>
  <c r="F247" i="2"/>
  <c r="G247" i="2"/>
  <c r="F248" i="2"/>
  <c r="G248" i="2"/>
  <c r="F249" i="2"/>
  <c r="G249" i="2"/>
  <c r="F250" i="2"/>
  <c r="G250" i="2"/>
  <c r="F251" i="2"/>
  <c r="G251" i="2"/>
  <c r="F252" i="2"/>
  <c r="G252" i="2"/>
  <c r="F253" i="2"/>
  <c r="G253" i="2"/>
  <c r="F254" i="2"/>
  <c r="G254" i="2"/>
  <c r="F255" i="2"/>
  <c r="G255" i="2"/>
  <c r="F256" i="2"/>
  <c r="G256" i="2"/>
  <c r="F257" i="2"/>
  <c r="G257" i="2"/>
  <c r="F258" i="2"/>
  <c r="G258" i="2"/>
  <c r="F259" i="2"/>
  <c r="G259" i="2"/>
  <c r="F260" i="2"/>
  <c r="G260" i="2"/>
  <c r="F261" i="2"/>
  <c r="G261" i="2"/>
  <c r="F262" i="2"/>
  <c r="G262" i="2"/>
  <c r="F263" i="2"/>
  <c r="G263" i="2"/>
  <c r="F264" i="2"/>
  <c r="G264" i="2"/>
  <c r="F265" i="2"/>
  <c r="G265" i="2"/>
  <c r="F266" i="2"/>
  <c r="G266" i="2"/>
  <c r="F267" i="2"/>
  <c r="G267" i="2"/>
  <c r="F268" i="2"/>
  <c r="G268" i="2"/>
  <c r="F269" i="2"/>
  <c r="G269" i="2"/>
  <c r="F270" i="2"/>
  <c r="G270" i="2"/>
  <c r="F271" i="2"/>
  <c r="G271" i="2"/>
  <c r="F272" i="2"/>
  <c r="G272" i="2"/>
  <c r="F273" i="2"/>
  <c r="G273" i="2"/>
  <c r="F274" i="2"/>
  <c r="G274" i="2"/>
  <c r="F275" i="2"/>
  <c r="G275" i="2"/>
  <c r="F276" i="2"/>
  <c r="G276" i="2"/>
  <c r="F277" i="2"/>
  <c r="G277" i="2"/>
  <c r="F278" i="2"/>
  <c r="G278" i="2"/>
  <c r="F279" i="2"/>
  <c r="G279" i="2"/>
  <c r="F280" i="2"/>
  <c r="G280" i="2"/>
  <c r="F281" i="2"/>
  <c r="G281" i="2"/>
  <c r="F282" i="2"/>
  <c r="G282" i="2"/>
  <c r="F283" i="2"/>
  <c r="G283" i="2"/>
  <c r="F284" i="2"/>
  <c r="G284" i="2"/>
  <c r="F285" i="2"/>
  <c r="G285" i="2"/>
  <c r="F286" i="2"/>
  <c r="G286" i="2"/>
  <c r="F287" i="2"/>
  <c r="G287" i="2"/>
  <c r="F288" i="2"/>
  <c r="G288" i="2"/>
  <c r="F289" i="2"/>
  <c r="G289" i="2"/>
  <c r="F290" i="2"/>
  <c r="G290" i="2"/>
  <c r="F291" i="2"/>
  <c r="G291" i="2"/>
  <c r="F292" i="2"/>
  <c r="G292" i="2"/>
  <c r="F293" i="2"/>
  <c r="G293" i="2"/>
  <c r="F294" i="2"/>
  <c r="G294" i="2"/>
  <c r="F295" i="2"/>
  <c r="G295" i="2"/>
  <c r="F296" i="2"/>
  <c r="G296" i="2"/>
  <c r="F297" i="2"/>
  <c r="G297" i="2"/>
  <c r="F298" i="2"/>
  <c r="G298" i="2"/>
  <c r="F299" i="2"/>
  <c r="G299" i="2"/>
  <c r="F300" i="2"/>
  <c r="G300" i="2"/>
  <c r="F301" i="2"/>
  <c r="G301" i="2"/>
  <c r="F302" i="2"/>
  <c r="G302" i="2"/>
  <c r="F303" i="2"/>
  <c r="G303" i="2"/>
  <c r="F304" i="2"/>
  <c r="G304" i="2"/>
  <c r="F305" i="2"/>
  <c r="G305" i="2"/>
  <c r="F306" i="2"/>
  <c r="G306" i="2"/>
  <c r="F307" i="2"/>
  <c r="G307" i="2"/>
  <c r="F308" i="2"/>
  <c r="G308" i="2"/>
  <c r="F309" i="2"/>
  <c r="G309" i="2"/>
  <c r="F310" i="2"/>
  <c r="G310" i="2"/>
  <c r="F311" i="2"/>
  <c r="G311" i="2"/>
  <c r="F312" i="2"/>
  <c r="G312" i="2"/>
  <c r="F313" i="2"/>
  <c r="G313" i="2"/>
  <c r="F314" i="2"/>
  <c r="G314" i="2"/>
  <c r="F315" i="2"/>
  <c r="G315" i="2"/>
  <c r="F316" i="2"/>
  <c r="G316" i="2"/>
  <c r="F317" i="2"/>
  <c r="G317" i="2"/>
  <c r="F318" i="2"/>
  <c r="G318" i="2"/>
  <c r="F319" i="2"/>
  <c r="G319" i="2"/>
  <c r="F320" i="2"/>
  <c r="G320" i="2"/>
  <c r="F321" i="2"/>
  <c r="G321" i="2"/>
  <c r="F322" i="2"/>
  <c r="G322" i="2"/>
  <c r="F323" i="2"/>
  <c r="G323" i="2"/>
  <c r="F324" i="2"/>
  <c r="G324" i="2"/>
  <c r="F325" i="2"/>
  <c r="G325" i="2"/>
  <c r="F326" i="2"/>
  <c r="G326" i="2"/>
  <c r="F327" i="2"/>
  <c r="G327" i="2"/>
  <c r="F328" i="2"/>
  <c r="G328" i="2"/>
  <c r="F329" i="2"/>
  <c r="G329" i="2"/>
  <c r="F330" i="2"/>
  <c r="G330" i="2"/>
  <c r="F331" i="2"/>
  <c r="G331" i="2"/>
  <c r="F332" i="2"/>
  <c r="G332" i="2"/>
  <c r="F333" i="2"/>
  <c r="G333" i="2"/>
  <c r="F334" i="2"/>
  <c r="G334" i="2"/>
  <c r="F335" i="2"/>
  <c r="G335" i="2"/>
  <c r="F336" i="2"/>
  <c r="G336" i="2"/>
  <c r="F337" i="2"/>
  <c r="G337" i="2"/>
  <c r="F338" i="2"/>
  <c r="G338" i="2"/>
  <c r="F339" i="2"/>
  <c r="G339" i="2"/>
  <c r="F340" i="2"/>
  <c r="G340" i="2"/>
  <c r="F341" i="2"/>
  <c r="G341" i="2"/>
  <c r="F342" i="2"/>
  <c r="G342" i="2"/>
  <c r="F343" i="2"/>
  <c r="G343" i="2"/>
  <c r="F344" i="2"/>
  <c r="G344" i="2"/>
  <c r="F345" i="2"/>
  <c r="G345" i="2"/>
  <c r="F346" i="2"/>
  <c r="G346" i="2"/>
  <c r="F347" i="2"/>
  <c r="G347" i="2"/>
  <c r="F348" i="2"/>
  <c r="G348" i="2"/>
  <c r="F349" i="2"/>
  <c r="G349" i="2"/>
  <c r="F350" i="2"/>
  <c r="G350" i="2"/>
  <c r="F351" i="2"/>
  <c r="G351" i="2"/>
  <c r="F352" i="2"/>
  <c r="G352" i="2"/>
  <c r="F353" i="2"/>
  <c r="G353" i="2"/>
  <c r="F354" i="2"/>
  <c r="G354" i="2"/>
  <c r="F355" i="2"/>
  <c r="G355" i="2"/>
  <c r="F356" i="2"/>
  <c r="G356" i="2"/>
  <c r="F357" i="2"/>
  <c r="G357" i="2"/>
  <c r="F358" i="2"/>
  <c r="G358" i="2"/>
  <c r="F359" i="2"/>
  <c r="G359" i="2"/>
  <c r="F360" i="2"/>
  <c r="G360" i="2"/>
  <c r="F361" i="2"/>
  <c r="G361" i="2"/>
  <c r="F362" i="2"/>
  <c r="G362" i="2"/>
  <c r="F363" i="2"/>
  <c r="G363" i="2"/>
  <c r="F364" i="2"/>
  <c r="G364" i="2"/>
  <c r="F365" i="2"/>
  <c r="G365" i="2"/>
  <c r="F366" i="2"/>
  <c r="G366" i="2"/>
  <c r="F367" i="2"/>
  <c r="G367" i="2"/>
  <c r="F368" i="2"/>
  <c r="G368" i="2"/>
  <c r="F369" i="2"/>
  <c r="G369" i="2"/>
  <c r="F370" i="2"/>
  <c r="G370" i="2"/>
  <c r="F371" i="2"/>
  <c r="G371" i="2"/>
  <c r="F372" i="2"/>
  <c r="G372" i="2"/>
  <c r="F373" i="2"/>
  <c r="G373" i="2"/>
  <c r="F374" i="2"/>
  <c r="G374" i="2"/>
  <c r="F375" i="2"/>
  <c r="G375" i="2"/>
  <c r="F376" i="2"/>
  <c r="G376" i="2"/>
  <c r="F377" i="2"/>
  <c r="G377" i="2"/>
  <c r="F378" i="2"/>
  <c r="G378" i="2"/>
  <c r="F379" i="2"/>
  <c r="G379" i="2"/>
  <c r="F380" i="2"/>
  <c r="G380" i="2"/>
  <c r="F381" i="2"/>
  <c r="G381" i="2"/>
  <c r="F382" i="2"/>
  <c r="G382" i="2"/>
  <c r="F383" i="2"/>
  <c r="G383" i="2"/>
  <c r="F384" i="2"/>
  <c r="G384" i="2"/>
  <c r="F385" i="2"/>
  <c r="G385" i="2"/>
  <c r="F386" i="2"/>
  <c r="G386" i="2"/>
  <c r="F387" i="2"/>
  <c r="G387" i="2"/>
  <c r="F388" i="2"/>
  <c r="G388" i="2"/>
  <c r="F389" i="2"/>
  <c r="G389" i="2"/>
  <c r="F390" i="2"/>
  <c r="G390" i="2"/>
  <c r="F391" i="2"/>
  <c r="G391" i="2"/>
  <c r="F392" i="2"/>
  <c r="G392" i="2"/>
  <c r="F393" i="2"/>
  <c r="G393" i="2"/>
  <c r="F394" i="2"/>
  <c r="G394" i="2"/>
  <c r="F395" i="2"/>
  <c r="G395" i="2"/>
  <c r="F396" i="2"/>
  <c r="G396" i="2"/>
  <c r="F397" i="2"/>
  <c r="G397" i="2"/>
  <c r="F398" i="2"/>
  <c r="G398" i="2"/>
  <c r="F399" i="2"/>
  <c r="G399" i="2"/>
  <c r="F400" i="2"/>
  <c r="G400" i="2"/>
  <c r="F401" i="2"/>
  <c r="G401" i="2"/>
  <c r="F402" i="2"/>
  <c r="G402" i="2"/>
  <c r="F403" i="2"/>
  <c r="G403" i="2"/>
  <c r="F404" i="2"/>
  <c r="G404" i="2"/>
  <c r="F405" i="2"/>
  <c r="G405" i="2"/>
  <c r="F406" i="2"/>
  <c r="G406" i="2"/>
  <c r="F407" i="2"/>
  <c r="G407" i="2"/>
  <c r="F408" i="2"/>
  <c r="G408" i="2"/>
  <c r="F409" i="2"/>
  <c r="G409" i="2"/>
  <c r="F410" i="2"/>
  <c r="G410" i="2"/>
  <c r="F411" i="2"/>
  <c r="G411" i="2"/>
  <c r="F412" i="2"/>
  <c r="G412" i="2"/>
  <c r="F413" i="2"/>
  <c r="G413" i="2"/>
  <c r="F414" i="2"/>
  <c r="G414" i="2"/>
  <c r="F415" i="2"/>
  <c r="G415" i="2"/>
  <c r="F416" i="2"/>
  <c r="G416" i="2"/>
  <c r="F417" i="2"/>
  <c r="G417" i="2"/>
  <c r="F418" i="2"/>
  <c r="G418" i="2"/>
  <c r="F419" i="2"/>
  <c r="G419" i="2"/>
  <c r="F420" i="2"/>
  <c r="G420" i="2"/>
  <c r="F421" i="2"/>
  <c r="G421" i="2"/>
  <c r="F422" i="2"/>
  <c r="G422" i="2"/>
  <c r="F423" i="2"/>
  <c r="G423" i="2"/>
  <c r="F424" i="2"/>
  <c r="G424" i="2"/>
  <c r="F425" i="2"/>
  <c r="G425" i="2"/>
  <c r="F426" i="2"/>
  <c r="G426" i="2"/>
  <c r="F427" i="2"/>
  <c r="G427" i="2"/>
  <c r="F428" i="2"/>
  <c r="G428" i="2"/>
  <c r="F429" i="2"/>
  <c r="G429" i="2"/>
  <c r="F430" i="2"/>
  <c r="G430" i="2"/>
  <c r="F431" i="2"/>
  <c r="G431" i="2"/>
  <c r="F432" i="2"/>
  <c r="G432" i="2"/>
  <c r="F433" i="2"/>
  <c r="G433" i="2"/>
  <c r="F434" i="2"/>
  <c r="G434" i="2"/>
  <c r="F435" i="2"/>
  <c r="G435" i="2"/>
  <c r="F436" i="2"/>
  <c r="G436" i="2"/>
  <c r="F437" i="2"/>
  <c r="G437" i="2"/>
  <c r="F438" i="2"/>
  <c r="G438" i="2"/>
  <c r="F439" i="2"/>
  <c r="G439" i="2"/>
  <c r="F440" i="2"/>
  <c r="G440" i="2"/>
  <c r="F441" i="2"/>
  <c r="G441" i="2"/>
  <c r="F442" i="2"/>
  <c r="G442" i="2"/>
  <c r="F443" i="2"/>
  <c r="G443" i="2"/>
  <c r="F444" i="2"/>
  <c r="G444" i="2"/>
  <c r="F445" i="2"/>
  <c r="G445" i="2"/>
  <c r="F446" i="2"/>
  <c r="G446" i="2"/>
  <c r="F447" i="2"/>
  <c r="G447" i="2"/>
  <c r="F448" i="2"/>
  <c r="G448" i="2"/>
  <c r="F449" i="2"/>
  <c r="G449" i="2"/>
  <c r="F450" i="2"/>
  <c r="G450" i="2"/>
  <c r="F451" i="2"/>
  <c r="G451" i="2"/>
  <c r="F452" i="2"/>
  <c r="G452" i="2"/>
  <c r="F453" i="2"/>
  <c r="G453" i="2"/>
  <c r="F454" i="2"/>
  <c r="G454" i="2"/>
  <c r="F455" i="2"/>
  <c r="G455" i="2"/>
  <c r="F456" i="2"/>
  <c r="G456" i="2"/>
  <c r="F457" i="2"/>
  <c r="G457" i="2"/>
  <c r="F458" i="2"/>
  <c r="G458" i="2"/>
  <c r="F459" i="2"/>
  <c r="G459" i="2"/>
  <c r="F460" i="2"/>
  <c r="G460" i="2"/>
  <c r="F461" i="2"/>
  <c r="G461" i="2"/>
  <c r="F462" i="2"/>
  <c r="G462" i="2"/>
  <c r="F463" i="2"/>
  <c r="G463" i="2"/>
  <c r="F464" i="2"/>
  <c r="G464" i="2"/>
  <c r="F465" i="2"/>
  <c r="G465" i="2"/>
  <c r="F466" i="2"/>
  <c r="G466" i="2"/>
  <c r="F467" i="2"/>
  <c r="G467" i="2"/>
  <c r="F468" i="2"/>
  <c r="G468" i="2"/>
  <c r="F469" i="2"/>
  <c r="G469" i="2"/>
  <c r="F470" i="2"/>
  <c r="G470" i="2"/>
  <c r="F471" i="2"/>
  <c r="G471" i="2"/>
  <c r="F472" i="2"/>
  <c r="G472" i="2"/>
  <c r="F473" i="2"/>
  <c r="G473" i="2"/>
  <c r="F474" i="2"/>
  <c r="G474" i="2"/>
  <c r="F475" i="2"/>
  <c r="G475" i="2"/>
  <c r="F476" i="2"/>
  <c r="G476" i="2"/>
  <c r="F477" i="2"/>
  <c r="G477" i="2"/>
  <c r="F478" i="2"/>
  <c r="G478" i="2"/>
  <c r="F479" i="2"/>
  <c r="G479" i="2"/>
  <c r="F480" i="2"/>
  <c r="G480" i="2"/>
  <c r="F481" i="2"/>
  <c r="G481" i="2"/>
  <c r="F482" i="2"/>
  <c r="G482" i="2"/>
  <c r="F483" i="2"/>
  <c r="G483" i="2"/>
  <c r="F484" i="2"/>
  <c r="G484" i="2"/>
  <c r="F485" i="2"/>
  <c r="G485" i="2"/>
  <c r="F486" i="2"/>
  <c r="G486" i="2"/>
  <c r="F487" i="2"/>
  <c r="G487" i="2"/>
  <c r="F488" i="2"/>
  <c r="G488" i="2"/>
  <c r="F489" i="2"/>
  <c r="G489" i="2"/>
  <c r="F490" i="2"/>
  <c r="G490" i="2"/>
  <c r="F491" i="2"/>
  <c r="G491" i="2"/>
  <c r="F492" i="2"/>
  <c r="G492" i="2"/>
  <c r="F493" i="2"/>
  <c r="G493" i="2"/>
  <c r="F494" i="2"/>
  <c r="G494" i="2"/>
  <c r="F495" i="2"/>
  <c r="G495" i="2"/>
  <c r="F496" i="2"/>
  <c r="G496" i="2"/>
  <c r="F497" i="2"/>
  <c r="G497" i="2"/>
  <c r="F498" i="2"/>
  <c r="G498" i="2"/>
  <c r="F499" i="2"/>
  <c r="G499" i="2"/>
  <c r="F500" i="2"/>
  <c r="G500" i="2"/>
  <c r="F501" i="2"/>
  <c r="G501" i="2"/>
  <c r="F502" i="2"/>
  <c r="G502" i="2"/>
  <c r="F503" i="2"/>
  <c r="G503" i="2"/>
  <c r="F504" i="2"/>
  <c r="G504" i="2"/>
  <c r="F505" i="2"/>
  <c r="G505" i="2"/>
  <c r="F506" i="2"/>
  <c r="G506" i="2"/>
  <c r="F507" i="2"/>
  <c r="G507" i="2"/>
  <c r="F508" i="2"/>
  <c r="G508" i="2"/>
  <c r="F509" i="2"/>
  <c r="G509" i="2"/>
  <c r="F510" i="2"/>
  <c r="G510" i="2"/>
  <c r="F511" i="2"/>
  <c r="G511" i="2"/>
  <c r="F512" i="2"/>
  <c r="G512" i="2"/>
  <c r="F513" i="2"/>
  <c r="G513" i="2"/>
  <c r="F514" i="2"/>
  <c r="G514" i="2"/>
  <c r="F515" i="2"/>
  <c r="G515" i="2"/>
  <c r="F516" i="2"/>
  <c r="G516" i="2"/>
  <c r="F517" i="2"/>
  <c r="G517" i="2"/>
  <c r="F518" i="2"/>
  <c r="G518" i="2"/>
  <c r="F519" i="2"/>
  <c r="G519" i="2"/>
  <c r="F520" i="2"/>
  <c r="G520" i="2"/>
  <c r="F521" i="2"/>
  <c r="G521" i="2"/>
  <c r="F522" i="2"/>
  <c r="G522" i="2"/>
  <c r="F523" i="2"/>
  <c r="G523" i="2"/>
  <c r="F524" i="2"/>
  <c r="G524" i="2"/>
  <c r="F525" i="2"/>
  <c r="G525" i="2"/>
  <c r="F526" i="2"/>
  <c r="G526" i="2"/>
  <c r="F527" i="2"/>
  <c r="G527" i="2"/>
  <c r="F528" i="2"/>
  <c r="G528" i="2"/>
  <c r="F529" i="2"/>
  <c r="G529" i="2"/>
  <c r="F530" i="2"/>
  <c r="G530" i="2"/>
  <c r="F531" i="2"/>
  <c r="G531" i="2"/>
  <c r="F532" i="2"/>
  <c r="G532" i="2"/>
  <c r="F533" i="2"/>
  <c r="G533" i="2"/>
  <c r="F534" i="2"/>
  <c r="G534" i="2"/>
  <c r="F535" i="2"/>
  <c r="G535" i="2"/>
  <c r="F536" i="2"/>
  <c r="G536" i="2"/>
  <c r="F537" i="2"/>
  <c r="G537" i="2"/>
  <c r="F538" i="2"/>
  <c r="G538" i="2"/>
  <c r="F539" i="2"/>
  <c r="G539" i="2"/>
  <c r="F540" i="2"/>
  <c r="G540" i="2"/>
  <c r="F541" i="2"/>
  <c r="G541" i="2"/>
  <c r="F542" i="2"/>
  <c r="G542" i="2"/>
  <c r="F543" i="2"/>
  <c r="G543" i="2"/>
  <c r="F544" i="2"/>
  <c r="G544" i="2"/>
  <c r="F545" i="2"/>
  <c r="G545" i="2"/>
  <c r="F546" i="2"/>
  <c r="G546" i="2"/>
  <c r="F547" i="2"/>
  <c r="G547" i="2"/>
  <c r="F548" i="2"/>
  <c r="G548" i="2"/>
  <c r="F549" i="2"/>
  <c r="G549" i="2"/>
  <c r="F550" i="2"/>
  <c r="G550" i="2"/>
  <c r="F551" i="2"/>
  <c r="G551" i="2"/>
  <c r="F552" i="2"/>
  <c r="G552" i="2"/>
  <c r="F553" i="2"/>
  <c r="G553" i="2"/>
  <c r="F554" i="2"/>
  <c r="G554" i="2"/>
  <c r="F555" i="2"/>
  <c r="G555" i="2"/>
  <c r="F556" i="2"/>
  <c r="G556" i="2"/>
  <c r="F557" i="2"/>
  <c r="G557" i="2"/>
  <c r="F558" i="2"/>
  <c r="G558" i="2"/>
  <c r="F559" i="2"/>
  <c r="G559" i="2"/>
  <c r="F560" i="2"/>
  <c r="G560" i="2"/>
  <c r="F561" i="2"/>
  <c r="G561" i="2"/>
  <c r="F562" i="2"/>
  <c r="G562" i="2"/>
  <c r="F563" i="2"/>
  <c r="G563" i="2"/>
  <c r="F564" i="2"/>
  <c r="G564" i="2"/>
  <c r="F565" i="2"/>
  <c r="G565" i="2"/>
  <c r="F566" i="2"/>
  <c r="G566" i="2"/>
  <c r="F567" i="2"/>
  <c r="G567" i="2"/>
  <c r="F568" i="2"/>
  <c r="G568" i="2"/>
  <c r="F569" i="2"/>
  <c r="G569" i="2"/>
  <c r="F570" i="2"/>
  <c r="G570" i="2"/>
  <c r="F571" i="2"/>
  <c r="G571" i="2"/>
  <c r="F572" i="2"/>
  <c r="G572" i="2"/>
  <c r="F573" i="2"/>
  <c r="G573" i="2"/>
  <c r="F574" i="2"/>
  <c r="G574" i="2"/>
  <c r="F575" i="2"/>
  <c r="G575" i="2"/>
  <c r="F576" i="2"/>
  <c r="G576" i="2"/>
  <c r="F577" i="2"/>
  <c r="G577" i="2"/>
  <c r="F578" i="2"/>
  <c r="G578" i="2"/>
  <c r="F579" i="2"/>
  <c r="G579" i="2"/>
  <c r="F580" i="2"/>
  <c r="G580" i="2"/>
  <c r="F581" i="2"/>
  <c r="G581" i="2"/>
  <c r="F582" i="2"/>
  <c r="G582" i="2"/>
  <c r="F583" i="2"/>
  <c r="G583" i="2"/>
  <c r="F584" i="2"/>
  <c r="G584" i="2"/>
  <c r="F585" i="2"/>
  <c r="G585" i="2"/>
  <c r="F586" i="2"/>
  <c r="G586" i="2"/>
  <c r="F587" i="2"/>
  <c r="G587" i="2"/>
  <c r="F588" i="2"/>
  <c r="G588" i="2"/>
  <c r="F589" i="2"/>
  <c r="G589" i="2"/>
  <c r="F590" i="2"/>
  <c r="G590" i="2"/>
  <c r="F591" i="2"/>
  <c r="G591" i="2"/>
  <c r="F592" i="2"/>
  <c r="G592" i="2"/>
  <c r="F593" i="2"/>
  <c r="G593" i="2"/>
  <c r="F594" i="2"/>
  <c r="G594" i="2"/>
  <c r="F595" i="2"/>
  <c r="G595" i="2"/>
  <c r="F596" i="2"/>
  <c r="G596" i="2"/>
  <c r="F597" i="2"/>
  <c r="G597" i="2"/>
  <c r="F598" i="2"/>
  <c r="G598" i="2"/>
  <c r="F599" i="2"/>
  <c r="G599" i="2"/>
  <c r="F600" i="2"/>
  <c r="G600" i="2"/>
  <c r="F601" i="2"/>
  <c r="G601" i="2"/>
  <c r="F602" i="2"/>
  <c r="G602" i="2"/>
  <c r="F603" i="2"/>
  <c r="G603" i="2"/>
  <c r="F604" i="2"/>
  <c r="G604" i="2"/>
  <c r="F605" i="2"/>
  <c r="G605" i="2"/>
  <c r="F606" i="2"/>
  <c r="G606" i="2"/>
  <c r="F607" i="2"/>
  <c r="G607" i="2"/>
  <c r="F608" i="2"/>
  <c r="G608" i="2"/>
  <c r="F609" i="2"/>
  <c r="G609" i="2"/>
  <c r="F610" i="2"/>
  <c r="G610" i="2"/>
  <c r="F611" i="2"/>
  <c r="G611" i="2"/>
  <c r="F612" i="2"/>
  <c r="G612" i="2"/>
  <c r="F613" i="2"/>
  <c r="G613" i="2"/>
  <c r="F614" i="2"/>
  <c r="G614" i="2"/>
  <c r="F615" i="2"/>
  <c r="G615" i="2"/>
  <c r="F616" i="2"/>
  <c r="G616" i="2"/>
  <c r="F617" i="2"/>
  <c r="G617" i="2"/>
  <c r="F618" i="2"/>
  <c r="G618" i="2"/>
  <c r="F619" i="2"/>
  <c r="G619" i="2"/>
  <c r="F620" i="2"/>
  <c r="G620" i="2"/>
  <c r="F621" i="2"/>
  <c r="G621" i="2"/>
  <c r="F622" i="2"/>
  <c r="G622" i="2"/>
  <c r="F623" i="2"/>
  <c r="G623" i="2"/>
  <c r="F624" i="2"/>
  <c r="G624" i="2"/>
  <c r="F625" i="2"/>
  <c r="G625" i="2"/>
  <c r="F626" i="2"/>
  <c r="G626" i="2"/>
  <c r="F627" i="2"/>
  <c r="G627" i="2"/>
  <c r="F628" i="2"/>
  <c r="G628" i="2"/>
  <c r="F629" i="2"/>
  <c r="G629" i="2"/>
  <c r="F630" i="2"/>
  <c r="G630" i="2"/>
  <c r="F631" i="2"/>
  <c r="G631" i="2"/>
  <c r="F632" i="2"/>
  <c r="G632" i="2"/>
  <c r="F633" i="2"/>
  <c r="G633" i="2"/>
  <c r="F634" i="2"/>
  <c r="G634" i="2"/>
  <c r="F635" i="2"/>
  <c r="G635" i="2"/>
  <c r="F636" i="2"/>
  <c r="G636" i="2"/>
  <c r="F637" i="2"/>
  <c r="G637" i="2"/>
  <c r="F638" i="2"/>
  <c r="G638" i="2"/>
  <c r="F639" i="2"/>
  <c r="G639" i="2"/>
  <c r="F640" i="2"/>
  <c r="G640" i="2"/>
  <c r="F641" i="2"/>
  <c r="G641" i="2"/>
  <c r="F642" i="2"/>
  <c r="G642" i="2"/>
  <c r="F643" i="2"/>
  <c r="G643" i="2"/>
  <c r="F644" i="2"/>
  <c r="G644" i="2"/>
  <c r="F645" i="2"/>
  <c r="G645" i="2"/>
  <c r="F646" i="2"/>
  <c r="G646" i="2"/>
  <c r="F647" i="2"/>
  <c r="G647" i="2"/>
  <c r="F648" i="2"/>
  <c r="G648" i="2"/>
  <c r="F649" i="2"/>
  <c r="G649" i="2"/>
  <c r="F650" i="2"/>
  <c r="G650" i="2"/>
  <c r="F651" i="2"/>
  <c r="G651" i="2"/>
  <c r="F652" i="2"/>
  <c r="G652" i="2"/>
  <c r="F653" i="2"/>
  <c r="G653" i="2"/>
  <c r="F654" i="2"/>
  <c r="G654" i="2"/>
  <c r="F655" i="2"/>
  <c r="G655" i="2"/>
  <c r="F656" i="2"/>
  <c r="G656" i="2"/>
  <c r="F657" i="2"/>
  <c r="G657" i="2"/>
  <c r="F658" i="2"/>
  <c r="G658" i="2"/>
  <c r="F659" i="2"/>
  <c r="G659" i="2"/>
  <c r="F660" i="2"/>
  <c r="G660" i="2"/>
  <c r="F661" i="2"/>
  <c r="G661" i="2"/>
  <c r="F662" i="2"/>
  <c r="G662" i="2"/>
  <c r="F663" i="2"/>
  <c r="G663" i="2"/>
  <c r="F664" i="2"/>
  <c r="G664" i="2"/>
  <c r="F665" i="2"/>
  <c r="G665" i="2"/>
  <c r="F666" i="2"/>
  <c r="G666" i="2"/>
  <c r="F667" i="2"/>
  <c r="G667" i="2"/>
  <c r="F668" i="2"/>
  <c r="G668" i="2"/>
  <c r="F669" i="2"/>
  <c r="G669" i="2"/>
  <c r="F670" i="2"/>
  <c r="G670" i="2"/>
  <c r="F671" i="2"/>
  <c r="G671" i="2"/>
  <c r="F672" i="2"/>
  <c r="G672" i="2"/>
  <c r="F673" i="2"/>
  <c r="G673" i="2"/>
  <c r="F674" i="2"/>
  <c r="G674" i="2"/>
  <c r="F675" i="2"/>
  <c r="G675" i="2"/>
  <c r="F676" i="2"/>
  <c r="G676" i="2"/>
  <c r="F677" i="2"/>
  <c r="G677" i="2"/>
  <c r="F678" i="2"/>
  <c r="G678" i="2"/>
  <c r="F679" i="2"/>
  <c r="G679" i="2"/>
  <c r="F680" i="2"/>
  <c r="G680" i="2"/>
  <c r="F681" i="2"/>
  <c r="G681" i="2"/>
  <c r="F682" i="2"/>
  <c r="G682" i="2"/>
  <c r="F683" i="2"/>
  <c r="G683" i="2"/>
  <c r="F684" i="2"/>
  <c r="G684" i="2"/>
  <c r="F685" i="2"/>
  <c r="G685" i="2"/>
  <c r="F686" i="2"/>
  <c r="G686" i="2"/>
  <c r="F687" i="2"/>
  <c r="G687" i="2"/>
  <c r="F688" i="2"/>
  <c r="G688" i="2"/>
  <c r="F689" i="2"/>
  <c r="G689" i="2"/>
  <c r="F690" i="2"/>
  <c r="G690" i="2"/>
  <c r="F691" i="2"/>
  <c r="G691" i="2"/>
  <c r="F692" i="2"/>
  <c r="G692" i="2"/>
  <c r="F693" i="2"/>
  <c r="G693" i="2"/>
  <c r="F694" i="2"/>
  <c r="G694" i="2"/>
  <c r="F695" i="2"/>
  <c r="G695" i="2"/>
  <c r="F696" i="2"/>
  <c r="G696" i="2"/>
  <c r="F697" i="2"/>
  <c r="G697" i="2"/>
  <c r="F698" i="2"/>
  <c r="G698" i="2"/>
  <c r="F699" i="2"/>
  <c r="G699" i="2"/>
  <c r="F700" i="2"/>
  <c r="G700" i="2"/>
  <c r="F701" i="2"/>
  <c r="G701" i="2"/>
  <c r="F702" i="2"/>
  <c r="G702" i="2"/>
  <c r="F703" i="2"/>
  <c r="G703" i="2"/>
  <c r="F704" i="2"/>
  <c r="G704" i="2"/>
  <c r="F705" i="2"/>
  <c r="G705" i="2"/>
  <c r="F706" i="2"/>
  <c r="G706" i="2"/>
  <c r="F707" i="2"/>
  <c r="G707" i="2"/>
  <c r="F708" i="2"/>
  <c r="G708" i="2"/>
  <c r="F709" i="2"/>
  <c r="G709" i="2"/>
  <c r="F710" i="2"/>
  <c r="G710" i="2"/>
  <c r="F711" i="2"/>
  <c r="G711" i="2"/>
  <c r="F712" i="2"/>
  <c r="G712" i="2"/>
  <c r="F713" i="2"/>
  <c r="G713" i="2"/>
  <c r="F714" i="2"/>
  <c r="G714" i="2"/>
  <c r="F715" i="2"/>
  <c r="G715" i="2"/>
  <c r="F716" i="2"/>
  <c r="G716" i="2"/>
  <c r="F717" i="2"/>
  <c r="G717" i="2"/>
  <c r="F718" i="2"/>
  <c r="G718" i="2"/>
  <c r="F719" i="2"/>
  <c r="G719" i="2"/>
  <c r="F720" i="2"/>
  <c r="G720" i="2"/>
  <c r="F721" i="2"/>
  <c r="G721" i="2"/>
  <c r="F722" i="2"/>
  <c r="G722" i="2"/>
  <c r="F723" i="2"/>
  <c r="G723" i="2"/>
  <c r="F724" i="2"/>
  <c r="G724" i="2"/>
  <c r="F725" i="2"/>
  <c r="G725" i="2"/>
  <c r="F726" i="2"/>
  <c r="G726" i="2"/>
  <c r="F727" i="2"/>
  <c r="G727" i="2"/>
  <c r="F728" i="2"/>
  <c r="G728" i="2"/>
  <c r="F729" i="2"/>
  <c r="G729" i="2"/>
  <c r="F730" i="2"/>
  <c r="G730" i="2"/>
  <c r="F731" i="2"/>
  <c r="G731" i="2"/>
  <c r="F732" i="2"/>
  <c r="G732" i="2"/>
  <c r="F733" i="2"/>
  <c r="G733" i="2"/>
  <c r="F734" i="2"/>
  <c r="G734" i="2"/>
  <c r="F735" i="2"/>
  <c r="G735" i="2"/>
  <c r="F736" i="2"/>
  <c r="G736" i="2"/>
  <c r="F737" i="2"/>
  <c r="G737" i="2"/>
  <c r="F738" i="2"/>
  <c r="G738" i="2"/>
  <c r="F739" i="2"/>
  <c r="G739" i="2"/>
  <c r="F740" i="2"/>
  <c r="G740" i="2"/>
  <c r="F741" i="2"/>
  <c r="G741" i="2"/>
  <c r="F742" i="2"/>
  <c r="G742" i="2"/>
  <c r="F743" i="2"/>
  <c r="G743" i="2"/>
  <c r="F744" i="2"/>
  <c r="G744" i="2"/>
  <c r="F745" i="2"/>
  <c r="G745" i="2"/>
  <c r="F746" i="2"/>
  <c r="G746" i="2"/>
  <c r="F747" i="2"/>
  <c r="G747" i="2"/>
  <c r="F748" i="2"/>
  <c r="G748" i="2"/>
  <c r="F749" i="2"/>
  <c r="G749" i="2"/>
  <c r="F750" i="2"/>
  <c r="G750" i="2"/>
  <c r="F751" i="2"/>
  <c r="G751" i="2"/>
  <c r="F752" i="2"/>
  <c r="G752" i="2"/>
  <c r="F753" i="2"/>
  <c r="G753" i="2"/>
  <c r="F754" i="2"/>
  <c r="G754" i="2"/>
  <c r="F755" i="2"/>
  <c r="G755" i="2"/>
  <c r="F756" i="2"/>
  <c r="G756" i="2"/>
  <c r="F757" i="2"/>
  <c r="G757" i="2"/>
  <c r="F758" i="2"/>
  <c r="G758" i="2"/>
  <c r="F759" i="2"/>
  <c r="G759" i="2"/>
  <c r="F760" i="2"/>
  <c r="G760" i="2"/>
  <c r="F761" i="2"/>
  <c r="G761" i="2"/>
  <c r="F762" i="2"/>
  <c r="G762" i="2"/>
  <c r="F763" i="2"/>
  <c r="G763" i="2"/>
  <c r="F764" i="2"/>
  <c r="G764" i="2"/>
  <c r="F765" i="2"/>
  <c r="G765" i="2"/>
  <c r="F766" i="2"/>
  <c r="G766" i="2"/>
  <c r="F767" i="2"/>
  <c r="G767" i="2"/>
  <c r="F768" i="2"/>
  <c r="G768" i="2"/>
  <c r="F769" i="2"/>
  <c r="G769" i="2"/>
  <c r="F770" i="2"/>
  <c r="G770" i="2"/>
  <c r="F771" i="2"/>
  <c r="G771" i="2"/>
  <c r="F772" i="2"/>
  <c r="G772" i="2"/>
  <c r="F773" i="2"/>
  <c r="G773" i="2"/>
  <c r="F774" i="2"/>
  <c r="G774" i="2"/>
  <c r="F775" i="2"/>
  <c r="G775" i="2"/>
  <c r="F776" i="2"/>
  <c r="G776" i="2"/>
  <c r="F777" i="2"/>
  <c r="G777" i="2"/>
  <c r="F778" i="2"/>
  <c r="G778" i="2"/>
  <c r="F779" i="2"/>
  <c r="G779" i="2"/>
  <c r="F780" i="2"/>
  <c r="G780" i="2"/>
  <c r="F781" i="2"/>
  <c r="G781" i="2"/>
  <c r="F782" i="2"/>
  <c r="G782" i="2"/>
  <c r="F783" i="2"/>
  <c r="G783" i="2"/>
  <c r="F784" i="2"/>
  <c r="G784" i="2"/>
  <c r="F785" i="2"/>
  <c r="G785" i="2"/>
  <c r="F786" i="2"/>
  <c r="G786" i="2"/>
  <c r="F787" i="2"/>
  <c r="G787" i="2"/>
  <c r="F788" i="2"/>
  <c r="G788" i="2"/>
  <c r="F789" i="2"/>
  <c r="G789" i="2"/>
  <c r="F790" i="2"/>
  <c r="G790" i="2"/>
  <c r="F791" i="2"/>
  <c r="G791" i="2"/>
  <c r="F792" i="2"/>
  <c r="G792" i="2"/>
  <c r="F793" i="2"/>
  <c r="G793" i="2"/>
  <c r="F794" i="2"/>
  <c r="G794" i="2"/>
  <c r="F795" i="2"/>
  <c r="G795" i="2"/>
  <c r="F796" i="2"/>
  <c r="G796" i="2"/>
  <c r="F797" i="2"/>
  <c r="G797" i="2"/>
  <c r="F798" i="2"/>
  <c r="G798" i="2"/>
  <c r="F799" i="2"/>
  <c r="G799" i="2"/>
  <c r="F800" i="2"/>
  <c r="G800" i="2"/>
  <c r="F801" i="2"/>
  <c r="G801" i="2"/>
  <c r="F802" i="2"/>
  <c r="G802" i="2"/>
  <c r="F803" i="2"/>
  <c r="G803" i="2"/>
  <c r="F804" i="2"/>
  <c r="G804" i="2"/>
  <c r="F805" i="2"/>
  <c r="G805" i="2"/>
  <c r="F806" i="2"/>
  <c r="G806" i="2"/>
  <c r="F807" i="2"/>
  <c r="G807" i="2"/>
  <c r="F808" i="2"/>
  <c r="G808" i="2"/>
  <c r="F809" i="2"/>
  <c r="G809" i="2"/>
  <c r="F810" i="2"/>
  <c r="G810" i="2"/>
  <c r="F811" i="2"/>
  <c r="G811" i="2"/>
  <c r="F812" i="2"/>
  <c r="G812" i="2"/>
  <c r="F813" i="2"/>
  <c r="G813" i="2"/>
  <c r="F814" i="2"/>
  <c r="G814" i="2"/>
  <c r="F815" i="2"/>
  <c r="G815" i="2"/>
  <c r="F816" i="2"/>
  <c r="G816" i="2"/>
  <c r="F817" i="2"/>
  <c r="G817" i="2"/>
  <c r="F818" i="2"/>
  <c r="G818" i="2"/>
  <c r="F819" i="2"/>
  <c r="G819" i="2"/>
  <c r="F820" i="2"/>
  <c r="G820" i="2"/>
  <c r="F821" i="2"/>
  <c r="G821" i="2"/>
  <c r="F822" i="2"/>
  <c r="G822" i="2"/>
  <c r="F823" i="2"/>
  <c r="G823" i="2"/>
  <c r="F824" i="2"/>
  <c r="G824" i="2"/>
  <c r="F825" i="2"/>
  <c r="G825" i="2"/>
  <c r="F826" i="2"/>
  <c r="G826" i="2"/>
  <c r="F827" i="2"/>
  <c r="G827" i="2"/>
  <c r="F828" i="2"/>
  <c r="G828" i="2"/>
  <c r="F829" i="2"/>
  <c r="G829" i="2"/>
  <c r="F830" i="2"/>
  <c r="G830" i="2"/>
  <c r="F831" i="2"/>
  <c r="G831" i="2"/>
  <c r="F832" i="2"/>
  <c r="G832" i="2"/>
  <c r="F833" i="2"/>
  <c r="G833" i="2"/>
  <c r="F834" i="2"/>
  <c r="G834" i="2"/>
  <c r="F835" i="2"/>
  <c r="G835" i="2"/>
  <c r="F836" i="2"/>
  <c r="G836" i="2"/>
  <c r="F837" i="2"/>
  <c r="G837" i="2"/>
  <c r="F838" i="2"/>
  <c r="G838" i="2"/>
  <c r="F839" i="2"/>
  <c r="G839" i="2"/>
  <c r="F840" i="2"/>
  <c r="G840" i="2"/>
  <c r="F841" i="2"/>
  <c r="G841" i="2"/>
  <c r="F842" i="2"/>
  <c r="G842" i="2"/>
  <c r="F843" i="2"/>
  <c r="G843" i="2"/>
  <c r="F844" i="2"/>
  <c r="G844" i="2"/>
  <c r="F845" i="2"/>
  <c r="G845" i="2"/>
  <c r="F846" i="2"/>
  <c r="G846" i="2"/>
  <c r="F847" i="2"/>
  <c r="G847" i="2"/>
  <c r="F848" i="2"/>
  <c r="G848" i="2"/>
  <c r="F849" i="2"/>
  <c r="G849" i="2"/>
  <c r="F850" i="2"/>
  <c r="G850" i="2"/>
  <c r="F851" i="2"/>
  <c r="G851" i="2"/>
  <c r="F852" i="2"/>
  <c r="G852" i="2"/>
  <c r="F853" i="2"/>
  <c r="G853" i="2"/>
  <c r="F854" i="2"/>
  <c r="G854" i="2"/>
  <c r="F855" i="2"/>
  <c r="G855" i="2"/>
  <c r="F856" i="2"/>
  <c r="G856" i="2"/>
  <c r="F857" i="2"/>
  <c r="G857" i="2"/>
  <c r="F858" i="2"/>
  <c r="G858" i="2"/>
  <c r="F859" i="2"/>
  <c r="G859" i="2"/>
  <c r="F860" i="2"/>
  <c r="G860" i="2"/>
  <c r="F861" i="2"/>
  <c r="G861" i="2"/>
  <c r="F862" i="2"/>
  <c r="G862" i="2"/>
  <c r="F863" i="2"/>
  <c r="G863" i="2"/>
  <c r="F864" i="2"/>
  <c r="G864" i="2"/>
  <c r="F865" i="2"/>
  <c r="G865" i="2"/>
  <c r="F866" i="2"/>
  <c r="G866" i="2"/>
  <c r="F867" i="2"/>
  <c r="G867" i="2"/>
  <c r="F868" i="2"/>
  <c r="G868" i="2"/>
  <c r="F869" i="2"/>
  <c r="G869" i="2"/>
  <c r="F870" i="2"/>
  <c r="G870" i="2"/>
  <c r="F871" i="2"/>
  <c r="G871" i="2"/>
  <c r="F872" i="2"/>
  <c r="G872" i="2"/>
  <c r="F873" i="2"/>
  <c r="G873" i="2"/>
  <c r="F874" i="2"/>
  <c r="G874" i="2"/>
  <c r="F875" i="2"/>
  <c r="G875" i="2"/>
  <c r="F876" i="2"/>
  <c r="G876" i="2"/>
  <c r="F877" i="2"/>
  <c r="G877" i="2"/>
  <c r="F878" i="2"/>
  <c r="G878" i="2"/>
  <c r="F879" i="2"/>
  <c r="G879" i="2"/>
  <c r="F880" i="2"/>
  <c r="G880" i="2"/>
  <c r="F881" i="2"/>
  <c r="G881" i="2"/>
  <c r="F882" i="2"/>
  <c r="G882" i="2"/>
  <c r="F883" i="2"/>
  <c r="G883" i="2"/>
  <c r="F884" i="2"/>
  <c r="G884" i="2"/>
  <c r="F885" i="2"/>
  <c r="G885" i="2"/>
  <c r="F886" i="2"/>
  <c r="G886" i="2"/>
  <c r="F887" i="2"/>
  <c r="G887" i="2"/>
  <c r="F888" i="2"/>
  <c r="G888" i="2"/>
  <c r="F889" i="2"/>
  <c r="G889" i="2"/>
  <c r="F890" i="2"/>
  <c r="G890" i="2"/>
  <c r="F891" i="2"/>
  <c r="G891" i="2"/>
  <c r="F892" i="2"/>
  <c r="G892" i="2"/>
  <c r="F893" i="2"/>
  <c r="G893" i="2"/>
  <c r="F894" i="2"/>
  <c r="G894" i="2"/>
  <c r="F895" i="2"/>
  <c r="G895" i="2"/>
  <c r="F896" i="2"/>
  <c r="G896" i="2"/>
  <c r="F897" i="2"/>
  <c r="G897" i="2"/>
  <c r="F898" i="2"/>
  <c r="G898" i="2"/>
  <c r="F899" i="2"/>
  <c r="G899" i="2"/>
  <c r="F900" i="2"/>
  <c r="G900" i="2"/>
  <c r="F901" i="2"/>
  <c r="G901" i="2"/>
  <c r="F902" i="2"/>
  <c r="G902" i="2"/>
  <c r="F903" i="2"/>
  <c r="G903" i="2"/>
  <c r="F904" i="2"/>
  <c r="G904" i="2"/>
  <c r="F905" i="2"/>
  <c r="G905" i="2"/>
  <c r="F906" i="2"/>
  <c r="G906" i="2"/>
  <c r="F907" i="2"/>
  <c r="G907" i="2"/>
  <c r="F908" i="2"/>
  <c r="G908" i="2"/>
  <c r="F909" i="2"/>
  <c r="G909" i="2"/>
  <c r="F910" i="2"/>
  <c r="G910" i="2"/>
  <c r="F911" i="2"/>
  <c r="G911" i="2"/>
  <c r="F912" i="2"/>
  <c r="G912" i="2"/>
  <c r="F913" i="2"/>
  <c r="G913" i="2"/>
  <c r="F914" i="2"/>
  <c r="G914" i="2"/>
  <c r="F915" i="2"/>
  <c r="G915" i="2"/>
  <c r="F916" i="2"/>
  <c r="G916" i="2"/>
  <c r="F917" i="2"/>
  <c r="G917" i="2"/>
  <c r="F918" i="2"/>
  <c r="G918" i="2"/>
  <c r="F919" i="2"/>
  <c r="G919" i="2"/>
  <c r="F920" i="2"/>
  <c r="G920" i="2"/>
  <c r="F921" i="2"/>
  <c r="G921" i="2"/>
  <c r="F922" i="2"/>
  <c r="G922" i="2"/>
  <c r="F923" i="2"/>
  <c r="G923" i="2"/>
  <c r="F924" i="2"/>
  <c r="G924" i="2"/>
  <c r="F925" i="2"/>
  <c r="G925" i="2"/>
  <c r="F926" i="2"/>
  <c r="G926" i="2"/>
  <c r="F927" i="2"/>
  <c r="G927" i="2"/>
  <c r="F928" i="2"/>
  <c r="G928" i="2"/>
  <c r="F929" i="2"/>
  <c r="G929" i="2"/>
  <c r="F930" i="2"/>
  <c r="G930" i="2"/>
  <c r="F931" i="2"/>
  <c r="G931" i="2"/>
  <c r="F932" i="2"/>
  <c r="G932" i="2"/>
  <c r="F933" i="2"/>
  <c r="G933" i="2"/>
  <c r="F934" i="2"/>
  <c r="G934" i="2"/>
  <c r="F935" i="2"/>
  <c r="G935" i="2"/>
  <c r="F936" i="2"/>
  <c r="G936" i="2"/>
  <c r="F937" i="2"/>
  <c r="G937" i="2"/>
  <c r="F938" i="2"/>
  <c r="G938" i="2"/>
  <c r="F939" i="2"/>
  <c r="G939" i="2"/>
  <c r="F940" i="2"/>
  <c r="G940" i="2"/>
  <c r="F941" i="2"/>
  <c r="G941" i="2"/>
  <c r="F942" i="2"/>
  <c r="G942" i="2"/>
  <c r="F943" i="2"/>
  <c r="G943" i="2"/>
  <c r="F944" i="2"/>
  <c r="G944" i="2"/>
  <c r="F945" i="2"/>
  <c r="G945" i="2"/>
  <c r="F946" i="2"/>
  <c r="G946" i="2"/>
  <c r="F947" i="2"/>
  <c r="G947" i="2"/>
  <c r="F948" i="2"/>
  <c r="G948" i="2"/>
  <c r="F949" i="2"/>
  <c r="G949" i="2"/>
  <c r="F950" i="2"/>
  <c r="G950" i="2"/>
  <c r="F951" i="2"/>
  <c r="G951" i="2"/>
  <c r="F952" i="2"/>
  <c r="G952" i="2"/>
  <c r="F953" i="2"/>
  <c r="G953" i="2"/>
  <c r="F954" i="2"/>
  <c r="G954" i="2"/>
  <c r="F955" i="2"/>
  <c r="G955" i="2"/>
  <c r="F956" i="2"/>
  <c r="G956" i="2"/>
  <c r="F957" i="2"/>
  <c r="G957" i="2"/>
  <c r="F958" i="2"/>
  <c r="G958" i="2"/>
  <c r="F959" i="2"/>
  <c r="G959" i="2"/>
  <c r="F960" i="2"/>
  <c r="G960" i="2"/>
  <c r="F961" i="2"/>
  <c r="G961" i="2"/>
  <c r="F962" i="2"/>
  <c r="G962" i="2"/>
  <c r="F963" i="2"/>
  <c r="G963" i="2"/>
  <c r="F964" i="2"/>
  <c r="G964" i="2"/>
  <c r="F965" i="2"/>
  <c r="G965" i="2"/>
  <c r="F966" i="2"/>
  <c r="G966" i="2"/>
  <c r="F967" i="2"/>
  <c r="G967" i="2"/>
  <c r="F968" i="2"/>
  <c r="G968" i="2"/>
  <c r="F969" i="2"/>
  <c r="G969" i="2"/>
  <c r="F970" i="2"/>
  <c r="G970" i="2"/>
  <c r="F971" i="2"/>
  <c r="G971" i="2"/>
  <c r="F972" i="2"/>
  <c r="G972" i="2"/>
  <c r="F973" i="2"/>
  <c r="G973" i="2"/>
  <c r="F974" i="2"/>
  <c r="G974" i="2"/>
  <c r="F975" i="2"/>
  <c r="G975" i="2"/>
  <c r="F976" i="2"/>
  <c r="G976" i="2"/>
  <c r="F977" i="2"/>
  <c r="G977" i="2"/>
  <c r="F978" i="2"/>
  <c r="G978" i="2"/>
  <c r="F979" i="2"/>
  <c r="G979" i="2"/>
  <c r="F980" i="2"/>
  <c r="G980" i="2"/>
  <c r="F981" i="2"/>
  <c r="G981" i="2"/>
  <c r="F982" i="2"/>
  <c r="G982" i="2"/>
  <c r="F983" i="2"/>
  <c r="G983" i="2"/>
  <c r="F984" i="2"/>
  <c r="G984" i="2"/>
  <c r="F985" i="2"/>
  <c r="G985" i="2"/>
  <c r="F986" i="2"/>
  <c r="G986" i="2"/>
  <c r="F987" i="2"/>
  <c r="G987" i="2"/>
  <c r="F988" i="2"/>
  <c r="G988" i="2"/>
  <c r="F989" i="2"/>
  <c r="G989" i="2"/>
  <c r="F990" i="2"/>
  <c r="G990" i="2"/>
  <c r="F991" i="2"/>
  <c r="G991" i="2"/>
  <c r="F992" i="2"/>
  <c r="G992" i="2"/>
  <c r="F993" i="2"/>
  <c r="G993" i="2"/>
  <c r="F994" i="2"/>
  <c r="G994" i="2"/>
  <c r="F995" i="2"/>
  <c r="G995" i="2"/>
  <c r="F996" i="2"/>
  <c r="G996" i="2"/>
  <c r="F997" i="2"/>
  <c r="G997" i="2"/>
  <c r="F998" i="2"/>
  <c r="G998" i="2"/>
  <c r="F999" i="2"/>
  <c r="G999" i="2"/>
  <c r="F1000" i="2"/>
  <c r="G1000" i="2"/>
  <c r="F1001" i="2"/>
  <c r="G1001" i="2"/>
  <c r="F1002" i="2"/>
  <c r="G1002" i="2"/>
  <c r="F1003" i="2"/>
  <c r="G1003" i="2"/>
  <c r="F1004" i="2"/>
  <c r="G1004" i="2"/>
  <c r="F1005" i="2"/>
  <c r="G1005" i="2"/>
  <c r="F1006" i="2"/>
  <c r="G1006" i="2"/>
  <c r="F1007" i="2"/>
  <c r="G1007" i="2"/>
  <c r="F1008" i="2"/>
  <c r="G1008" i="2"/>
  <c r="F1009" i="2"/>
  <c r="G1009" i="2"/>
  <c r="F1010" i="2"/>
  <c r="G1010" i="2"/>
  <c r="F1011" i="2"/>
  <c r="G1011" i="2"/>
  <c r="F1012" i="2"/>
  <c r="G1012" i="2"/>
  <c r="F1013" i="2"/>
  <c r="G1013" i="2"/>
  <c r="F1014" i="2"/>
  <c r="G1014" i="2"/>
  <c r="F1015" i="2"/>
  <c r="G1015" i="2"/>
  <c r="F1016" i="2"/>
  <c r="G1016" i="2"/>
  <c r="F1017" i="2"/>
  <c r="G1017" i="2"/>
  <c r="F1018" i="2"/>
  <c r="G1018" i="2"/>
  <c r="F1019" i="2"/>
  <c r="G1019" i="2"/>
  <c r="F1020" i="2"/>
  <c r="G1020" i="2"/>
  <c r="F1021" i="2"/>
  <c r="G1021" i="2"/>
  <c r="F1022" i="2"/>
  <c r="G1022" i="2"/>
  <c r="F1023" i="2"/>
  <c r="G1023" i="2"/>
  <c r="F1024" i="2"/>
  <c r="G1024" i="2"/>
  <c r="F1025" i="2"/>
  <c r="G1025" i="2"/>
  <c r="F1026" i="2"/>
  <c r="G1026" i="2"/>
  <c r="F1027" i="2"/>
  <c r="G1027" i="2"/>
  <c r="F1028" i="2"/>
  <c r="G1028" i="2"/>
  <c r="F1029" i="2"/>
  <c r="G1029" i="2"/>
  <c r="F1030" i="2"/>
  <c r="G1030" i="2"/>
  <c r="F1031" i="2"/>
  <c r="G1031" i="2"/>
  <c r="F1032" i="2"/>
  <c r="G1032" i="2"/>
  <c r="F1033" i="2"/>
  <c r="G1033" i="2"/>
  <c r="F1034" i="2"/>
  <c r="G1034" i="2"/>
  <c r="F1035" i="2"/>
  <c r="G1035" i="2"/>
  <c r="F1036" i="2"/>
  <c r="G1036" i="2"/>
  <c r="F1037" i="2"/>
  <c r="G1037" i="2"/>
  <c r="F1038" i="2"/>
  <c r="G1038" i="2"/>
  <c r="F1039" i="2"/>
  <c r="G1039" i="2"/>
  <c r="F1040" i="2"/>
  <c r="G1040" i="2"/>
  <c r="F1041" i="2"/>
  <c r="G1041" i="2"/>
  <c r="F1042" i="2"/>
  <c r="G1042" i="2"/>
  <c r="F1043" i="2"/>
  <c r="G1043" i="2"/>
  <c r="F1044" i="2"/>
  <c r="G1044" i="2"/>
  <c r="F1045" i="2"/>
  <c r="G1045" i="2"/>
  <c r="F1046" i="2"/>
  <c r="G1046" i="2"/>
  <c r="F1047" i="2"/>
  <c r="G1047" i="2"/>
  <c r="F1048" i="2"/>
  <c r="G1048" i="2"/>
  <c r="F1049" i="2"/>
  <c r="G1049" i="2"/>
  <c r="F1050" i="2"/>
  <c r="G1050" i="2"/>
  <c r="F1051" i="2"/>
  <c r="G1051" i="2"/>
  <c r="F1052" i="2"/>
  <c r="G1052" i="2"/>
  <c r="F1053" i="2"/>
  <c r="G1053" i="2"/>
  <c r="F1054" i="2"/>
  <c r="G1054" i="2"/>
  <c r="F1055" i="2"/>
  <c r="G1055" i="2"/>
  <c r="F1056" i="2"/>
  <c r="G1056" i="2"/>
  <c r="F1057" i="2"/>
  <c r="G1057" i="2"/>
  <c r="F1058" i="2"/>
  <c r="G1058" i="2"/>
  <c r="F1059" i="2"/>
  <c r="G1059" i="2"/>
  <c r="F1060" i="2"/>
  <c r="G1060" i="2"/>
  <c r="F1061" i="2"/>
  <c r="G1061" i="2"/>
  <c r="F1062" i="2"/>
  <c r="G1062" i="2"/>
  <c r="F1063" i="2"/>
  <c r="G1063" i="2"/>
  <c r="F1064" i="2"/>
  <c r="G1064" i="2"/>
  <c r="F1065" i="2"/>
  <c r="G1065" i="2"/>
  <c r="F1066" i="2"/>
  <c r="G1066" i="2"/>
  <c r="F1067" i="2"/>
  <c r="G1067" i="2"/>
  <c r="F1068" i="2"/>
  <c r="G1068" i="2"/>
  <c r="F1069" i="2"/>
  <c r="G1069" i="2"/>
  <c r="F1070" i="2"/>
  <c r="G1070" i="2"/>
  <c r="F1071" i="2"/>
  <c r="G1071" i="2"/>
  <c r="F1072" i="2"/>
  <c r="G1072" i="2"/>
  <c r="F1073" i="2"/>
  <c r="G1073" i="2"/>
  <c r="F1074" i="2"/>
  <c r="G1074" i="2"/>
  <c r="F1075" i="2"/>
  <c r="G1075" i="2"/>
  <c r="F1076" i="2"/>
  <c r="G1076" i="2"/>
  <c r="F1077" i="2"/>
  <c r="G1077" i="2"/>
  <c r="F1078" i="2"/>
  <c r="G1078" i="2"/>
  <c r="F1079" i="2"/>
  <c r="G1079" i="2"/>
  <c r="F1080" i="2"/>
  <c r="G1080" i="2"/>
  <c r="F1081" i="2"/>
  <c r="G1081" i="2"/>
  <c r="F1082" i="2"/>
  <c r="G1082" i="2"/>
  <c r="F1083" i="2"/>
  <c r="G1083" i="2"/>
  <c r="F1084" i="2"/>
  <c r="G1084" i="2"/>
  <c r="F1085" i="2"/>
  <c r="G1085" i="2"/>
  <c r="F1086" i="2"/>
  <c r="G1086" i="2"/>
  <c r="F1087" i="2"/>
  <c r="G1087" i="2"/>
  <c r="F1088" i="2"/>
  <c r="G1088" i="2"/>
  <c r="F1089" i="2"/>
  <c r="G1089" i="2"/>
  <c r="F1090" i="2"/>
  <c r="G1090" i="2"/>
  <c r="F1091" i="2"/>
  <c r="G1091" i="2"/>
  <c r="F1092" i="2"/>
  <c r="G1092" i="2"/>
  <c r="F1093" i="2"/>
  <c r="G1093" i="2"/>
  <c r="F1094" i="2"/>
  <c r="G1094" i="2"/>
  <c r="F1095" i="2"/>
  <c r="G1095" i="2"/>
  <c r="F1096" i="2"/>
  <c r="G1096" i="2"/>
  <c r="F1097" i="2"/>
  <c r="G1097" i="2"/>
  <c r="F1098" i="2"/>
  <c r="G1098" i="2"/>
  <c r="F1099" i="2"/>
  <c r="G1099" i="2"/>
  <c r="F1100" i="2"/>
  <c r="G1100" i="2"/>
  <c r="F1101" i="2"/>
  <c r="G1101" i="2"/>
  <c r="F1102" i="2"/>
  <c r="G1102" i="2"/>
  <c r="F1103" i="2"/>
  <c r="G1103" i="2"/>
  <c r="F1104" i="2"/>
  <c r="G1104" i="2"/>
  <c r="F1105" i="2"/>
  <c r="G1105" i="2"/>
  <c r="F1106" i="2"/>
  <c r="G1106" i="2"/>
  <c r="F1107" i="2"/>
  <c r="G1107" i="2"/>
  <c r="F1108" i="2"/>
  <c r="G1108" i="2"/>
  <c r="F1109" i="2"/>
  <c r="G1109" i="2"/>
  <c r="F1110" i="2"/>
  <c r="G1110" i="2"/>
  <c r="F1111" i="2"/>
  <c r="G1111" i="2"/>
  <c r="F1112" i="2"/>
  <c r="G1112" i="2"/>
  <c r="F1113" i="2"/>
  <c r="G1113" i="2"/>
  <c r="F1114" i="2"/>
  <c r="G1114" i="2"/>
  <c r="F1115" i="2"/>
  <c r="G1115" i="2"/>
  <c r="F1116" i="2"/>
  <c r="G1116" i="2"/>
  <c r="F1117" i="2"/>
  <c r="G1117" i="2"/>
  <c r="F1118" i="2"/>
  <c r="G1118" i="2"/>
  <c r="F1119" i="2"/>
  <c r="G1119" i="2"/>
  <c r="F1120" i="2"/>
  <c r="G1120" i="2"/>
  <c r="F1121" i="2"/>
  <c r="G1121" i="2"/>
  <c r="F1122" i="2"/>
  <c r="G1122" i="2"/>
  <c r="F1123" i="2"/>
  <c r="G1123" i="2"/>
  <c r="F1124" i="2"/>
  <c r="G1124" i="2"/>
  <c r="F1125" i="2"/>
  <c r="G1125" i="2"/>
  <c r="F1126" i="2"/>
  <c r="G1126" i="2"/>
  <c r="F1127" i="2"/>
  <c r="G1127" i="2"/>
  <c r="F1128" i="2"/>
  <c r="G1128" i="2"/>
  <c r="F1129" i="2"/>
  <c r="G1129" i="2"/>
  <c r="F1130" i="2"/>
  <c r="G1130" i="2"/>
  <c r="F1131" i="2"/>
  <c r="G1131" i="2"/>
  <c r="F1132" i="2"/>
  <c r="G1132" i="2"/>
  <c r="F1133" i="2"/>
  <c r="G1133" i="2"/>
  <c r="F1134" i="2"/>
  <c r="G1134" i="2"/>
  <c r="F1135" i="2"/>
  <c r="G1135" i="2"/>
  <c r="F1136" i="2"/>
  <c r="G1136" i="2"/>
  <c r="F1137" i="2"/>
  <c r="G1137" i="2"/>
  <c r="F1138" i="2"/>
  <c r="G1138" i="2"/>
  <c r="F1139" i="2"/>
  <c r="G1139" i="2"/>
  <c r="F1140" i="2"/>
  <c r="G1140" i="2"/>
  <c r="F1141" i="2"/>
  <c r="G1141" i="2"/>
  <c r="F1142" i="2"/>
  <c r="G1142" i="2"/>
  <c r="F1143" i="2"/>
  <c r="G1143" i="2"/>
  <c r="F1144" i="2"/>
  <c r="G1144" i="2"/>
  <c r="F1145" i="2"/>
  <c r="G1145" i="2"/>
  <c r="F1146" i="2"/>
  <c r="G1146" i="2"/>
  <c r="F1147" i="2"/>
  <c r="G1147" i="2"/>
  <c r="F1148" i="2"/>
  <c r="G1148" i="2"/>
  <c r="F1149" i="2"/>
  <c r="G1149" i="2"/>
  <c r="F1150" i="2"/>
  <c r="G1150" i="2"/>
  <c r="F1151" i="2"/>
  <c r="G1151" i="2"/>
  <c r="F1152" i="2"/>
  <c r="G1152" i="2"/>
  <c r="F1153" i="2"/>
  <c r="G1153" i="2"/>
  <c r="F1154" i="2"/>
  <c r="G1154" i="2"/>
  <c r="F1155" i="2"/>
  <c r="G1155" i="2"/>
  <c r="F1156" i="2"/>
  <c r="G1156" i="2"/>
  <c r="F1157" i="2"/>
  <c r="G1157" i="2"/>
  <c r="F1158" i="2"/>
  <c r="G1158" i="2"/>
  <c r="F1159" i="2"/>
  <c r="G1159" i="2"/>
  <c r="F1160" i="2"/>
  <c r="G1160" i="2"/>
  <c r="F1161" i="2"/>
  <c r="G1161" i="2"/>
  <c r="F1162" i="2"/>
  <c r="G1162" i="2"/>
  <c r="F1163" i="2"/>
  <c r="G1163" i="2"/>
  <c r="F1164" i="2"/>
  <c r="G1164" i="2"/>
  <c r="F1165" i="2"/>
  <c r="G1165" i="2"/>
  <c r="F1166" i="2"/>
  <c r="G1166" i="2"/>
  <c r="F1167" i="2"/>
  <c r="G1167" i="2"/>
  <c r="F1168" i="2"/>
  <c r="G1168" i="2"/>
  <c r="F1169" i="2"/>
  <c r="G1169" i="2"/>
  <c r="F1170" i="2"/>
  <c r="G1170" i="2"/>
  <c r="F1171" i="2"/>
  <c r="G1171" i="2"/>
  <c r="F1172" i="2"/>
  <c r="G1172" i="2"/>
  <c r="F1173" i="2"/>
  <c r="G1173" i="2"/>
  <c r="F1174" i="2"/>
  <c r="G1174" i="2"/>
  <c r="F1175" i="2"/>
  <c r="G1175" i="2"/>
  <c r="F1176" i="2"/>
  <c r="G1176" i="2"/>
  <c r="F1177" i="2"/>
  <c r="G1177" i="2"/>
  <c r="F1178" i="2"/>
  <c r="G1178" i="2"/>
  <c r="F1179" i="2"/>
  <c r="G1179" i="2"/>
  <c r="F1180" i="2"/>
  <c r="G1180" i="2"/>
  <c r="F1181" i="2"/>
  <c r="G1181" i="2"/>
  <c r="F1182" i="2"/>
  <c r="G1182" i="2"/>
  <c r="F1183" i="2"/>
  <c r="G1183" i="2"/>
  <c r="F1184" i="2"/>
  <c r="G1184" i="2"/>
  <c r="F1185" i="2"/>
  <c r="G1185" i="2"/>
  <c r="F1186" i="2"/>
  <c r="G1186" i="2"/>
  <c r="F1187" i="2"/>
  <c r="G1187" i="2"/>
  <c r="F1188" i="2"/>
  <c r="G1188" i="2"/>
  <c r="F1189" i="2"/>
  <c r="G1189" i="2"/>
  <c r="F1190" i="2"/>
  <c r="G1190" i="2"/>
  <c r="F1191" i="2"/>
  <c r="G1191" i="2"/>
  <c r="F1192" i="2"/>
  <c r="G1192" i="2"/>
  <c r="F1193" i="2"/>
  <c r="G1193" i="2"/>
  <c r="F1194" i="2"/>
  <c r="G1194" i="2"/>
  <c r="F1195" i="2"/>
  <c r="G1195" i="2"/>
  <c r="F1196" i="2"/>
  <c r="G1196" i="2"/>
  <c r="F1197" i="2"/>
  <c r="G1197" i="2"/>
  <c r="F1198" i="2"/>
  <c r="G1198" i="2"/>
  <c r="F1199" i="2"/>
  <c r="G1199" i="2"/>
  <c r="F1200" i="2"/>
  <c r="G1200" i="2"/>
  <c r="F1201" i="2"/>
  <c r="G1201" i="2"/>
  <c r="F1202" i="2"/>
  <c r="G1202" i="2"/>
  <c r="F1203" i="2"/>
  <c r="G1203" i="2"/>
  <c r="F1204" i="2"/>
  <c r="G1204" i="2"/>
  <c r="F1205" i="2"/>
  <c r="G1205" i="2"/>
  <c r="F1206" i="2"/>
  <c r="G1206" i="2"/>
  <c r="F1207" i="2"/>
  <c r="G1207" i="2"/>
  <c r="F1208" i="2"/>
  <c r="G1208" i="2"/>
  <c r="F1209" i="2"/>
  <c r="G1209" i="2"/>
  <c r="F1210" i="2"/>
  <c r="G1210" i="2"/>
  <c r="F1211" i="2"/>
  <c r="G1211" i="2"/>
  <c r="F1212" i="2"/>
  <c r="G1212" i="2"/>
  <c r="F1213" i="2"/>
  <c r="G1213" i="2"/>
  <c r="F1214" i="2"/>
  <c r="G1214" i="2"/>
  <c r="F1215" i="2"/>
  <c r="G1215" i="2"/>
  <c r="F1216" i="2"/>
  <c r="G1216" i="2"/>
  <c r="F1217" i="2"/>
  <c r="G1217" i="2"/>
  <c r="F1218" i="2"/>
  <c r="G1218" i="2"/>
  <c r="F1219" i="2"/>
  <c r="G1219" i="2"/>
  <c r="F1220" i="2"/>
  <c r="G1220" i="2"/>
  <c r="F1221" i="2"/>
  <c r="G1221" i="2"/>
  <c r="F1222" i="2"/>
  <c r="G1222" i="2"/>
  <c r="F1223" i="2"/>
  <c r="G1223" i="2"/>
  <c r="F1224" i="2"/>
  <c r="G1224" i="2"/>
  <c r="F1225" i="2"/>
  <c r="G1225" i="2"/>
  <c r="F1226" i="2"/>
  <c r="G1226" i="2"/>
  <c r="F1227" i="2"/>
  <c r="G1227" i="2"/>
  <c r="F1228" i="2"/>
  <c r="G1228" i="2"/>
  <c r="F1229" i="2"/>
  <c r="G1229" i="2"/>
  <c r="F1230" i="2"/>
  <c r="G1230" i="2"/>
  <c r="F1231" i="2"/>
  <c r="G1231" i="2"/>
  <c r="F1232" i="2"/>
  <c r="G1232" i="2"/>
  <c r="F1233" i="2"/>
  <c r="G1233" i="2"/>
  <c r="F1234" i="2"/>
  <c r="G1234" i="2"/>
  <c r="F1235" i="2"/>
  <c r="G1235" i="2"/>
  <c r="F1236" i="2"/>
  <c r="G1236" i="2"/>
  <c r="F1237" i="2"/>
  <c r="G1237" i="2"/>
  <c r="F1238" i="2"/>
  <c r="G1238" i="2"/>
  <c r="F1239" i="2"/>
  <c r="G1239" i="2"/>
  <c r="F1240" i="2"/>
  <c r="G1240" i="2"/>
  <c r="F1241" i="2"/>
  <c r="G1241" i="2"/>
  <c r="F1242" i="2"/>
  <c r="G1242" i="2"/>
  <c r="F1243" i="2"/>
  <c r="G1243" i="2"/>
  <c r="F1244" i="2"/>
  <c r="G1244" i="2"/>
  <c r="F1245" i="2"/>
  <c r="G1245" i="2"/>
  <c r="F1246" i="2"/>
  <c r="G1246" i="2"/>
  <c r="F1247" i="2"/>
  <c r="G1247" i="2"/>
  <c r="F1248" i="2"/>
  <c r="G1248" i="2"/>
  <c r="F1249" i="2"/>
  <c r="G1249" i="2"/>
  <c r="F1250" i="2"/>
  <c r="G1250" i="2"/>
  <c r="F1251" i="2"/>
  <c r="G1251" i="2"/>
  <c r="F1252" i="2"/>
  <c r="G1252" i="2"/>
  <c r="F1253" i="2"/>
  <c r="G1253" i="2"/>
  <c r="F1254" i="2"/>
  <c r="G1254" i="2"/>
  <c r="F1255" i="2"/>
  <c r="G1255" i="2"/>
  <c r="F1256" i="2"/>
  <c r="G1256" i="2"/>
  <c r="F1257" i="2"/>
  <c r="G1257" i="2"/>
  <c r="F1258" i="2"/>
  <c r="G1258" i="2"/>
  <c r="F1259" i="2"/>
  <c r="G1259" i="2"/>
  <c r="F1260" i="2"/>
  <c r="G1260" i="2"/>
  <c r="F1261" i="2"/>
  <c r="G1261" i="2"/>
  <c r="F1262" i="2"/>
  <c r="G1262" i="2"/>
  <c r="F1263" i="2"/>
  <c r="G1263" i="2"/>
  <c r="F1264" i="2"/>
  <c r="G1264" i="2"/>
  <c r="F1265" i="2"/>
  <c r="G1265" i="2"/>
  <c r="F1266" i="2"/>
  <c r="G1266" i="2"/>
  <c r="F1267" i="2"/>
  <c r="G1267" i="2"/>
  <c r="F1268" i="2"/>
  <c r="G1268" i="2"/>
  <c r="F1269" i="2"/>
  <c r="G1269" i="2"/>
  <c r="F1270" i="2"/>
  <c r="G1270" i="2"/>
  <c r="F1271" i="2"/>
  <c r="G1271" i="2"/>
  <c r="F1272" i="2"/>
  <c r="G1272" i="2"/>
  <c r="F1273" i="2"/>
  <c r="G1273" i="2"/>
  <c r="F1274" i="2"/>
  <c r="G1274" i="2"/>
  <c r="F1275" i="2"/>
  <c r="G1275" i="2"/>
  <c r="F1276" i="2"/>
  <c r="G1276" i="2"/>
  <c r="F1277" i="2"/>
  <c r="G1277" i="2"/>
  <c r="F1278" i="2"/>
  <c r="G1278" i="2"/>
  <c r="F1279" i="2"/>
  <c r="G1279" i="2"/>
  <c r="F1280" i="2"/>
  <c r="G1280" i="2"/>
  <c r="F1281" i="2"/>
  <c r="G1281" i="2"/>
  <c r="F1282" i="2"/>
  <c r="G1282" i="2"/>
  <c r="F1283" i="2"/>
  <c r="G1283" i="2"/>
  <c r="F1284" i="2"/>
  <c r="G1284" i="2"/>
  <c r="F1285" i="2"/>
  <c r="G1285" i="2"/>
  <c r="F1286" i="2"/>
  <c r="G1286" i="2"/>
  <c r="F1287" i="2"/>
  <c r="G1287" i="2"/>
  <c r="F1288" i="2"/>
  <c r="G1288" i="2"/>
  <c r="F1289" i="2"/>
  <c r="G1289" i="2"/>
  <c r="F1290" i="2"/>
  <c r="G1290" i="2"/>
  <c r="F1291" i="2"/>
  <c r="G1291" i="2"/>
  <c r="F1292" i="2"/>
  <c r="G1292" i="2"/>
  <c r="F1293" i="2"/>
  <c r="G1293" i="2"/>
  <c r="F1294" i="2"/>
  <c r="G1294" i="2"/>
  <c r="F1295" i="2"/>
  <c r="G1295" i="2"/>
  <c r="F1296" i="2"/>
  <c r="G1296" i="2"/>
  <c r="F1297" i="2"/>
  <c r="G1297" i="2"/>
  <c r="F1298" i="2"/>
  <c r="G1298" i="2"/>
  <c r="F1299" i="2"/>
  <c r="G1299" i="2"/>
  <c r="F1300" i="2"/>
  <c r="G1300" i="2"/>
  <c r="F1301" i="2"/>
  <c r="G1301" i="2"/>
  <c r="F1302" i="2"/>
  <c r="G1302" i="2"/>
  <c r="F1303" i="2"/>
  <c r="G1303" i="2"/>
  <c r="F1304" i="2"/>
  <c r="G1304" i="2"/>
  <c r="F1305" i="2"/>
  <c r="G1305" i="2"/>
  <c r="F1306" i="2"/>
  <c r="G1306" i="2"/>
  <c r="F1307" i="2"/>
  <c r="G1307" i="2"/>
  <c r="F1308" i="2"/>
  <c r="G1308" i="2"/>
  <c r="F1309" i="2"/>
  <c r="G1309" i="2"/>
  <c r="F1310" i="2"/>
  <c r="G1310" i="2"/>
  <c r="F1311" i="2"/>
  <c r="G1311" i="2"/>
  <c r="F1312" i="2"/>
  <c r="G1312" i="2"/>
  <c r="F1313" i="2"/>
  <c r="G1313" i="2"/>
  <c r="F1314" i="2"/>
  <c r="G1314" i="2"/>
  <c r="F1315" i="2"/>
  <c r="G1315" i="2"/>
  <c r="F1316" i="2"/>
  <c r="G1316" i="2"/>
  <c r="F1317" i="2"/>
  <c r="G1317" i="2"/>
  <c r="F1318" i="2"/>
  <c r="G1318" i="2"/>
  <c r="F1319" i="2"/>
  <c r="G1319" i="2"/>
  <c r="F1320" i="2"/>
  <c r="G1320" i="2"/>
  <c r="F1321" i="2"/>
  <c r="G1321" i="2"/>
  <c r="F1322" i="2"/>
  <c r="G1322" i="2"/>
  <c r="F1323" i="2"/>
  <c r="G1323" i="2"/>
  <c r="F1324" i="2"/>
  <c r="G1324" i="2"/>
  <c r="F1325" i="2"/>
  <c r="G1325" i="2"/>
  <c r="F1326" i="2"/>
  <c r="G1326" i="2"/>
  <c r="F1327" i="2"/>
  <c r="G1327" i="2"/>
  <c r="F1328" i="2"/>
  <c r="G1328" i="2"/>
  <c r="F1329" i="2"/>
  <c r="G1329" i="2"/>
  <c r="F1330" i="2"/>
  <c r="G1330" i="2"/>
  <c r="F1331" i="2"/>
  <c r="G1331" i="2"/>
  <c r="F1332" i="2"/>
  <c r="G1332" i="2"/>
  <c r="F1333" i="2"/>
  <c r="G1333" i="2"/>
  <c r="F1334" i="2"/>
  <c r="G1334" i="2"/>
  <c r="F1335" i="2"/>
  <c r="G1335" i="2"/>
  <c r="F1336" i="2"/>
  <c r="G1336" i="2"/>
  <c r="F1337" i="2"/>
  <c r="G1337" i="2"/>
  <c r="F1338" i="2"/>
  <c r="G1338" i="2"/>
  <c r="F1339" i="2"/>
  <c r="G1339" i="2"/>
  <c r="F1340" i="2"/>
  <c r="G1340" i="2"/>
  <c r="F1341" i="2"/>
  <c r="G1341" i="2"/>
  <c r="F1342" i="2"/>
  <c r="G1342" i="2"/>
  <c r="F1343" i="2"/>
  <c r="G1343" i="2"/>
  <c r="F1344" i="2"/>
  <c r="G1344" i="2"/>
  <c r="F1345" i="2"/>
  <c r="G1345" i="2"/>
  <c r="F1346" i="2"/>
  <c r="G1346" i="2"/>
  <c r="F1347" i="2"/>
  <c r="G1347" i="2"/>
  <c r="F1348" i="2"/>
  <c r="G1348" i="2"/>
  <c r="F1349" i="2"/>
  <c r="G1349" i="2"/>
  <c r="F1350" i="2"/>
  <c r="G1350" i="2"/>
  <c r="F1351" i="2"/>
  <c r="G1351" i="2"/>
  <c r="F1352" i="2"/>
  <c r="G1352" i="2"/>
  <c r="F1353" i="2"/>
  <c r="G1353" i="2"/>
  <c r="F1354" i="2"/>
  <c r="G1354" i="2"/>
  <c r="F1355" i="2"/>
  <c r="G1355" i="2"/>
  <c r="F1356" i="2"/>
  <c r="G1356" i="2"/>
  <c r="F1357" i="2"/>
  <c r="G1357" i="2"/>
  <c r="F1358" i="2"/>
  <c r="G1358" i="2"/>
  <c r="F1359" i="2"/>
  <c r="G1359" i="2"/>
  <c r="F1360" i="2"/>
  <c r="G1360" i="2"/>
  <c r="F1361" i="2"/>
  <c r="G1361" i="2"/>
  <c r="F1362" i="2"/>
  <c r="G1362" i="2"/>
  <c r="F1363" i="2"/>
  <c r="G1363" i="2"/>
  <c r="F1364" i="2"/>
  <c r="G1364" i="2"/>
  <c r="F1365" i="2"/>
  <c r="G1365" i="2"/>
  <c r="F1366" i="2"/>
  <c r="G1366" i="2"/>
  <c r="F1367" i="2"/>
  <c r="G1367" i="2"/>
  <c r="F1368" i="2"/>
  <c r="G1368" i="2"/>
  <c r="F1369" i="2"/>
  <c r="G1369" i="2"/>
  <c r="F1370" i="2"/>
  <c r="G1370" i="2"/>
  <c r="F1371" i="2"/>
  <c r="G1371" i="2"/>
  <c r="F1372" i="2"/>
  <c r="G1372" i="2"/>
  <c r="F1373" i="2"/>
  <c r="G1373" i="2"/>
  <c r="F1374" i="2"/>
  <c r="G1374" i="2"/>
  <c r="F1375" i="2"/>
  <c r="G1375" i="2"/>
  <c r="F1376" i="2"/>
  <c r="G1376" i="2"/>
  <c r="F1377" i="2"/>
  <c r="G1377" i="2"/>
  <c r="F1378" i="2"/>
  <c r="G1378" i="2"/>
  <c r="F1379" i="2"/>
  <c r="G1379" i="2"/>
  <c r="F1380" i="2"/>
  <c r="G1380" i="2"/>
  <c r="F1381" i="2"/>
  <c r="G1381" i="2"/>
  <c r="F1382" i="2"/>
  <c r="G1382" i="2"/>
  <c r="F1383" i="2"/>
  <c r="G1383" i="2"/>
  <c r="F1384" i="2"/>
  <c r="G1384" i="2"/>
  <c r="F1385" i="2"/>
  <c r="G1385" i="2"/>
  <c r="F1386" i="2"/>
  <c r="G1386" i="2"/>
  <c r="F1387" i="2"/>
  <c r="G1387" i="2"/>
  <c r="F1388" i="2"/>
  <c r="G1388" i="2"/>
  <c r="F1389" i="2"/>
  <c r="G1389" i="2"/>
  <c r="F1390" i="2"/>
  <c r="G1390" i="2"/>
  <c r="F1391" i="2"/>
  <c r="G1391" i="2"/>
  <c r="F1392" i="2"/>
  <c r="G1392" i="2"/>
  <c r="F1393" i="2"/>
  <c r="G1393" i="2"/>
  <c r="F1394" i="2"/>
  <c r="G1394" i="2"/>
  <c r="F1395" i="2"/>
  <c r="G1395" i="2"/>
  <c r="F1396" i="2"/>
  <c r="G1396" i="2"/>
  <c r="F1397" i="2"/>
  <c r="G1397" i="2"/>
  <c r="F1398" i="2"/>
  <c r="G1398" i="2"/>
  <c r="F1399" i="2"/>
  <c r="G1399" i="2"/>
  <c r="F1400" i="2"/>
  <c r="G1400" i="2"/>
  <c r="F1401" i="2"/>
  <c r="G1401" i="2"/>
  <c r="F1402" i="2"/>
  <c r="G1402" i="2"/>
  <c r="F1403" i="2"/>
  <c r="G1403" i="2"/>
  <c r="F1404" i="2"/>
  <c r="G1404" i="2"/>
  <c r="F1405" i="2"/>
  <c r="G1405" i="2"/>
  <c r="F1406" i="2"/>
  <c r="G1406" i="2"/>
  <c r="F1407" i="2"/>
  <c r="G1407" i="2"/>
  <c r="F1408" i="2"/>
  <c r="G1408" i="2"/>
  <c r="F1409" i="2"/>
  <c r="G1409" i="2"/>
  <c r="F1410" i="2"/>
  <c r="G1410" i="2"/>
  <c r="F1411" i="2"/>
  <c r="G1411" i="2"/>
  <c r="F1412" i="2"/>
  <c r="G1412" i="2"/>
  <c r="F1413" i="2"/>
  <c r="G1413" i="2"/>
  <c r="F1414" i="2"/>
  <c r="G1414" i="2"/>
  <c r="F1415" i="2"/>
  <c r="G1415" i="2"/>
  <c r="F1416" i="2"/>
  <c r="G1416" i="2"/>
  <c r="F1417" i="2"/>
  <c r="G1417" i="2"/>
  <c r="F1418" i="2"/>
  <c r="G1418" i="2"/>
  <c r="F1419" i="2"/>
  <c r="G1419" i="2"/>
  <c r="F1420" i="2"/>
  <c r="G1420" i="2"/>
  <c r="F1421" i="2"/>
  <c r="G1421" i="2"/>
  <c r="F1422" i="2"/>
  <c r="G1422" i="2"/>
  <c r="F1423" i="2"/>
  <c r="G1423" i="2"/>
  <c r="F1424" i="2"/>
  <c r="G1424" i="2"/>
  <c r="F1425" i="2"/>
  <c r="G1425" i="2"/>
  <c r="F1426" i="2"/>
  <c r="G1426" i="2"/>
  <c r="F1427" i="2"/>
  <c r="G1427" i="2"/>
  <c r="F1428" i="2"/>
  <c r="G1428" i="2"/>
  <c r="F1429" i="2"/>
  <c r="G1429" i="2"/>
  <c r="F1430" i="2"/>
  <c r="G1430" i="2"/>
  <c r="F1431" i="2"/>
  <c r="G1431" i="2"/>
  <c r="F1432" i="2"/>
  <c r="G1432" i="2"/>
  <c r="F1433" i="2"/>
  <c r="G1433" i="2"/>
  <c r="F1434" i="2"/>
  <c r="G1434" i="2"/>
  <c r="F1435" i="2"/>
  <c r="G1435" i="2"/>
  <c r="F1436" i="2"/>
  <c r="G1436" i="2"/>
  <c r="F1437" i="2"/>
  <c r="G1437" i="2"/>
  <c r="F1438" i="2"/>
  <c r="G1438" i="2"/>
  <c r="F1439" i="2"/>
  <c r="G1439" i="2"/>
  <c r="F1440" i="2"/>
  <c r="G1440" i="2"/>
  <c r="F1441" i="2"/>
  <c r="G1441" i="2"/>
  <c r="F1442" i="2"/>
  <c r="G1442" i="2"/>
  <c r="F1443" i="2"/>
  <c r="G1443" i="2"/>
  <c r="F1444" i="2"/>
  <c r="G1444" i="2"/>
  <c r="F1445" i="2"/>
  <c r="G1445" i="2"/>
  <c r="F1446" i="2"/>
  <c r="G1446" i="2"/>
  <c r="F1447" i="2"/>
  <c r="G1447" i="2"/>
  <c r="F1448" i="2"/>
  <c r="G1448" i="2"/>
  <c r="F1449" i="2"/>
  <c r="G1449" i="2"/>
  <c r="F1450" i="2"/>
  <c r="G1450" i="2"/>
  <c r="F1451" i="2"/>
  <c r="G1451" i="2"/>
  <c r="F1452" i="2"/>
  <c r="G1452" i="2"/>
  <c r="F1453" i="2"/>
  <c r="G1453" i="2"/>
  <c r="F1454" i="2"/>
  <c r="G1454" i="2"/>
  <c r="F1455" i="2"/>
  <c r="G1455" i="2"/>
  <c r="F1456" i="2"/>
  <c r="G1456" i="2"/>
  <c r="F1457" i="2"/>
  <c r="G1457" i="2"/>
  <c r="F1458" i="2"/>
  <c r="G1458" i="2"/>
  <c r="F1459" i="2"/>
  <c r="G1459" i="2"/>
  <c r="F1460" i="2"/>
  <c r="G1460" i="2"/>
  <c r="F1461" i="2"/>
  <c r="G1461" i="2"/>
  <c r="F1462" i="2"/>
  <c r="G1462" i="2"/>
  <c r="F1463" i="2"/>
  <c r="G1463" i="2"/>
  <c r="F1464" i="2"/>
  <c r="G1464" i="2"/>
  <c r="F1465" i="2"/>
  <c r="G1465" i="2"/>
  <c r="F1466" i="2"/>
  <c r="G1466" i="2"/>
  <c r="F1467" i="2"/>
  <c r="G1467" i="2"/>
  <c r="F1468" i="2"/>
  <c r="G1468" i="2"/>
  <c r="F1469" i="2"/>
  <c r="G1469" i="2"/>
  <c r="F1470" i="2"/>
  <c r="G1470" i="2"/>
  <c r="F1471" i="2"/>
  <c r="G1471" i="2"/>
  <c r="F1472" i="2"/>
  <c r="G1472" i="2"/>
  <c r="F1473" i="2"/>
  <c r="G1473" i="2"/>
  <c r="F1474" i="2"/>
  <c r="G1474" i="2"/>
  <c r="F1475" i="2"/>
  <c r="G1475" i="2"/>
  <c r="F1476" i="2"/>
  <c r="G1476" i="2"/>
  <c r="F1477" i="2"/>
  <c r="G1477" i="2"/>
  <c r="F1478" i="2"/>
  <c r="G1478" i="2"/>
  <c r="F1479" i="2"/>
  <c r="G1479" i="2"/>
  <c r="F1480" i="2"/>
  <c r="G1480" i="2"/>
  <c r="F1481" i="2"/>
  <c r="G1481" i="2"/>
  <c r="F1482" i="2"/>
  <c r="G1482" i="2"/>
  <c r="F1483" i="2"/>
  <c r="G1483" i="2"/>
  <c r="F1484" i="2"/>
  <c r="G1484" i="2"/>
  <c r="F1485" i="2"/>
  <c r="G1485" i="2"/>
  <c r="F1486" i="2"/>
  <c r="G1486" i="2"/>
  <c r="F1487" i="2"/>
  <c r="G1487" i="2"/>
  <c r="F1488" i="2"/>
  <c r="G1488" i="2"/>
  <c r="F1489" i="2"/>
  <c r="G1489" i="2"/>
  <c r="F1490" i="2"/>
  <c r="G1490" i="2"/>
  <c r="F1491" i="2"/>
  <c r="G1491" i="2"/>
  <c r="F1492" i="2"/>
  <c r="G1492" i="2"/>
  <c r="F1493" i="2"/>
  <c r="G1493" i="2"/>
  <c r="F1494" i="2"/>
  <c r="G1494" i="2"/>
  <c r="F1495" i="2"/>
  <c r="G1495" i="2"/>
  <c r="F1496" i="2"/>
  <c r="G1496" i="2"/>
  <c r="F1497" i="2"/>
  <c r="G1497" i="2"/>
  <c r="F1498" i="2"/>
  <c r="G1498" i="2"/>
  <c r="F1499" i="2"/>
  <c r="G1499" i="2"/>
  <c r="F1500" i="2"/>
  <c r="G1500" i="2"/>
  <c r="F1501" i="2"/>
  <c r="G1501" i="2"/>
  <c r="F1502" i="2"/>
  <c r="G1502" i="2"/>
  <c r="F1503" i="2"/>
  <c r="G1503" i="2"/>
  <c r="F1504" i="2"/>
  <c r="G1504" i="2"/>
  <c r="F1505" i="2"/>
  <c r="G1505" i="2"/>
  <c r="F1506" i="2"/>
  <c r="G1506" i="2"/>
  <c r="F1507" i="2"/>
  <c r="G1507" i="2"/>
  <c r="F1508" i="2"/>
  <c r="G1508" i="2"/>
  <c r="F1509" i="2"/>
  <c r="G1509" i="2"/>
  <c r="F1510" i="2"/>
  <c r="G1510" i="2"/>
  <c r="F1511" i="2"/>
  <c r="G1511" i="2"/>
  <c r="F1512" i="2"/>
  <c r="G1512" i="2"/>
  <c r="F1513" i="2"/>
  <c r="G1513" i="2"/>
  <c r="F1514" i="2"/>
  <c r="G1514" i="2"/>
  <c r="F1515" i="2"/>
  <c r="G1515" i="2"/>
  <c r="F1516" i="2"/>
  <c r="G1516" i="2"/>
  <c r="F1517" i="2"/>
  <c r="G1517" i="2"/>
  <c r="F1518" i="2"/>
  <c r="G1518" i="2"/>
  <c r="F1519" i="2"/>
  <c r="G1519" i="2"/>
  <c r="F1520" i="2"/>
  <c r="G1520" i="2"/>
  <c r="F1521" i="2"/>
  <c r="G1521" i="2"/>
  <c r="F1522" i="2"/>
  <c r="G1522" i="2"/>
  <c r="F1523" i="2"/>
  <c r="G1523" i="2"/>
  <c r="F1524" i="2"/>
  <c r="G1524" i="2"/>
  <c r="F1525" i="2"/>
  <c r="G1525" i="2"/>
  <c r="F1526" i="2"/>
  <c r="G1526" i="2"/>
  <c r="F1527" i="2"/>
  <c r="G1527" i="2"/>
  <c r="F1528" i="2"/>
  <c r="G1528" i="2"/>
  <c r="F1529" i="2"/>
  <c r="G1529" i="2"/>
  <c r="F1530" i="2"/>
  <c r="G1530" i="2"/>
  <c r="F1531" i="2"/>
  <c r="G1531" i="2"/>
  <c r="F1532" i="2"/>
  <c r="G1532" i="2"/>
  <c r="F1533" i="2"/>
  <c r="G1533" i="2"/>
  <c r="F1534" i="2"/>
  <c r="G1534" i="2"/>
  <c r="F1535" i="2"/>
  <c r="G1535" i="2"/>
  <c r="F1536" i="2"/>
  <c r="G1536" i="2"/>
  <c r="F1537" i="2"/>
  <c r="G1537" i="2"/>
  <c r="F1538" i="2"/>
  <c r="G1538" i="2"/>
  <c r="F1539" i="2"/>
  <c r="G1539" i="2"/>
  <c r="F1540" i="2"/>
  <c r="G1540" i="2"/>
  <c r="F1541" i="2"/>
  <c r="G1541" i="2"/>
  <c r="F1542" i="2"/>
  <c r="G1542" i="2"/>
  <c r="F1543" i="2"/>
  <c r="G1543" i="2"/>
  <c r="F1544" i="2"/>
  <c r="G1544" i="2"/>
  <c r="F1545" i="2"/>
  <c r="G1545" i="2"/>
  <c r="F1546" i="2"/>
  <c r="G1546" i="2"/>
  <c r="F1547" i="2"/>
  <c r="G1547" i="2"/>
  <c r="F1548" i="2"/>
  <c r="G1548" i="2"/>
  <c r="F1549" i="2"/>
  <c r="G1549" i="2"/>
  <c r="F1550" i="2"/>
  <c r="G1550" i="2"/>
  <c r="F1551" i="2"/>
  <c r="G1551" i="2"/>
  <c r="F1552" i="2"/>
  <c r="G1552" i="2"/>
  <c r="F1553" i="2"/>
  <c r="G1553" i="2"/>
  <c r="F1554" i="2"/>
  <c r="G1554" i="2"/>
  <c r="F1555" i="2"/>
  <c r="G1555" i="2"/>
  <c r="F1556" i="2"/>
  <c r="G1556" i="2"/>
  <c r="F1557" i="2"/>
  <c r="G1557" i="2"/>
  <c r="F1558" i="2"/>
  <c r="G1558" i="2"/>
  <c r="F1559" i="2"/>
  <c r="G1559" i="2"/>
  <c r="F1560" i="2"/>
  <c r="G1560" i="2"/>
  <c r="F1561" i="2"/>
  <c r="G1561" i="2"/>
  <c r="F1562" i="2"/>
  <c r="G1562" i="2"/>
  <c r="F1563" i="2"/>
  <c r="G1563" i="2"/>
  <c r="F1564" i="2"/>
  <c r="G1564" i="2"/>
  <c r="F1565" i="2"/>
  <c r="G1565" i="2"/>
  <c r="F1566" i="2"/>
  <c r="G1566" i="2"/>
  <c r="F1567" i="2"/>
  <c r="G1567" i="2"/>
  <c r="F1568" i="2"/>
  <c r="G1568" i="2"/>
  <c r="F1569" i="2"/>
  <c r="G1569" i="2"/>
  <c r="F1570" i="2"/>
  <c r="G1570" i="2"/>
  <c r="F1571" i="2"/>
  <c r="G1571" i="2"/>
  <c r="F1572" i="2"/>
  <c r="G1572" i="2"/>
  <c r="F1573" i="2"/>
  <c r="G1573" i="2"/>
  <c r="F1574" i="2"/>
  <c r="G1574" i="2"/>
  <c r="F1575" i="2"/>
  <c r="G1575" i="2"/>
  <c r="F1576" i="2"/>
  <c r="G1576" i="2"/>
  <c r="F1577" i="2"/>
  <c r="G1577" i="2"/>
  <c r="F1578" i="2"/>
  <c r="G1578" i="2"/>
  <c r="F1579" i="2"/>
  <c r="G1579" i="2"/>
  <c r="F1580" i="2"/>
  <c r="G1580" i="2"/>
  <c r="F1581" i="2"/>
  <c r="G1581" i="2"/>
  <c r="F1582" i="2"/>
  <c r="G1582" i="2"/>
  <c r="F1583" i="2"/>
  <c r="G1583" i="2"/>
  <c r="F1584" i="2"/>
  <c r="G1584" i="2"/>
  <c r="F1585" i="2"/>
  <c r="G1585" i="2"/>
  <c r="F1586" i="2"/>
  <c r="G1586" i="2"/>
  <c r="F1587" i="2"/>
  <c r="G1587" i="2"/>
  <c r="F1588" i="2"/>
  <c r="G1588" i="2"/>
  <c r="F1589" i="2"/>
  <c r="G1589" i="2"/>
  <c r="F1590" i="2"/>
  <c r="G1590" i="2"/>
  <c r="F1591" i="2"/>
  <c r="G1591" i="2"/>
  <c r="F1592" i="2"/>
  <c r="G1592" i="2"/>
  <c r="F1593" i="2"/>
  <c r="G1593" i="2"/>
  <c r="F1594" i="2"/>
  <c r="G1594" i="2"/>
  <c r="F1595" i="2"/>
  <c r="G1595" i="2"/>
  <c r="F1596" i="2"/>
  <c r="G1596" i="2"/>
  <c r="F1597" i="2"/>
  <c r="G1597" i="2"/>
  <c r="F1598" i="2"/>
  <c r="G1598" i="2"/>
  <c r="F1599" i="2"/>
  <c r="G1599" i="2"/>
  <c r="F1600" i="2"/>
  <c r="G1600" i="2"/>
  <c r="F1601" i="2"/>
  <c r="G1601" i="2"/>
  <c r="F1602" i="2"/>
  <c r="G1602" i="2"/>
  <c r="F1603" i="2"/>
  <c r="G1603" i="2"/>
  <c r="F1604" i="2"/>
  <c r="G1604" i="2"/>
  <c r="F1605" i="2"/>
  <c r="G1605" i="2"/>
  <c r="F1606" i="2"/>
  <c r="G1606" i="2"/>
  <c r="F1607" i="2"/>
  <c r="G1607" i="2"/>
  <c r="F1608" i="2"/>
  <c r="G1608" i="2"/>
  <c r="F1609" i="2"/>
  <c r="G1609" i="2"/>
  <c r="F1610" i="2"/>
  <c r="G1610" i="2"/>
  <c r="F1611" i="2"/>
  <c r="G1611" i="2"/>
  <c r="F1612" i="2"/>
  <c r="G1612" i="2"/>
  <c r="F1613" i="2"/>
  <c r="G1613" i="2"/>
  <c r="F1614" i="2"/>
  <c r="G1614" i="2"/>
  <c r="F1615" i="2"/>
  <c r="G1615" i="2"/>
  <c r="F1616" i="2"/>
  <c r="G1616" i="2"/>
  <c r="F1617" i="2"/>
  <c r="G1617" i="2"/>
  <c r="F1618" i="2"/>
  <c r="G1618" i="2"/>
  <c r="F1619" i="2"/>
  <c r="G1619" i="2"/>
  <c r="F1620" i="2"/>
  <c r="G1620" i="2"/>
  <c r="F1621" i="2"/>
  <c r="G1621" i="2"/>
  <c r="F1622" i="2"/>
  <c r="G1622" i="2"/>
  <c r="F1623" i="2"/>
  <c r="G1623" i="2"/>
  <c r="F1624" i="2"/>
  <c r="G1624" i="2"/>
  <c r="F1625" i="2"/>
  <c r="G1625" i="2"/>
  <c r="F1626" i="2"/>
  <c r="G1626" i="2"/>
  <c r="F1627" i="2"/>
  <c r="G1627" i="2"/>
  <c r="F1628" i="2"/>
  <c r="G1628" i="2"/>
  <c r="F1629" i="2"/>
  <c r="G1629" i="2"/>
  <c r="F1630" i="2"/>
  <c r="G1630" i="2"/>
  <c r="F1631" i="2"/>
  <c r="G1631" i="2"/>
  <c r="F1632" i="2"/>
  <c r="G1632" i="2"/>
  <c r="F1633" i="2"/>
  <c r="G1633" i="2"/>
  <c r="F1634" i="2"/>
  <c r="G1634" i="2"/>
  <c r="F1635" i="2"/>
  <c r="G1635" i="2"/>
  <c r="F1636" i="2"/>
  <c r="G1636" i="2"/>
  <c r="F1637" i="2"/>
  <c r="G1637" i="2"/>
  <c r="F1638" i="2"/>
  <c r="G1638" i="2"/>
  <c r="F1639" i="2"/>
  <c r="G1639" i="2"/>
  <c r="F1640" i="2"/>
  <c r="G1640" i="2"/>
  <c r="F1641" i="2"/>
  <c r="G1641" i="2"/>
  <c r="F1642" i="2"/>
  <c r="G1642" i="2"/>
  <c r="F1643" i="2"/>
  <c r="G1643" i="2"/>
  <c r="F1644" i="2"/>
  <c r="G1644" i="2"/>
  <c r="F1645" i="2"/>
  <c r="G1645" i="2"/>
  <c r="F1646" i="2"/>
  <c r="G1646" i="2"/>
  <c r="F1647" i="2"/>
  <c r="G1647" i="2"/>
  <c r="F1648" i="2"/>
  <c r="G1648" i="2"/>
  <c r="F1649" i="2"/>
  <c r="G1649" i="2"/>
  <c r="F1650" i="2"/>
  <c r="G1650" i="2"/>
  <c r="F1651" i="2"/>
  <c r="G1651" i="2"/>
  <c r="F1652" i="2"/>
  <c r="G1652" i="2"/>
  <c r="F1653" i="2"/>
  <c r="G1653" i="2"/>
  <c r="F1654" i="2"/>
  <c r="G1654" i="2"/>
  <c r="F1655" i="2"/>
  <c r="G1655" i="2"/>
  <c r="F1656" i="2"/>
  <c r="G1656" i="2"/>
  <c r="F1657" i="2"/>
  <c r="G1657" i="2"/>
  <c r="F1658" i="2"/>
  <c r="G1658" i="2"/>
  <c r="F1659" i="2"/>
  <c r="G1659" i="2"/>
  <c r="F1660" i="2"/>
  <c r="G1660" i="2"/>
  <c r="F1661" i="2"/>
  <c r="G1661" i="2"/>
  <c r="F1662" i="2"/>
  <c r="G1662" i="2"/>
  <c r="F1663" i="2"/>
  <c r="G1663" i="2"/>
  <c r="F1664" i="2"/>
  <c r="G1664" i="2"/>
  <c r="F1665" i="2"/>
  <c r="G1665" i="2"/>
  <c r="F1666" i="2"/>
  <c r="G1666" i="2"/>
  <c r="F1667" i="2"/>
  <c r="G1667" i="2"/>
  <c r="F1668" i="2"/>
  <c r="G1668" i="2"/>
  <c r="F1669" i="2"/>
  <c r="G1669" i="2"/>
  <c r="F1670" i="2"/>
  <c r="G1670" i="2"/>
  <c r="F1671" i="2"/>
  <c r="G1671" i="2"/>
  <c r="F1672" i="2"/>
  <c r="G1672" i="2"/>
  <c r="F1673" i="2"/>
  <c r="G1673" i="2"/>
  <c r="F1674" i="2"/>
  <c r="G1674" i="2"/>
  <c r="F1675" i="2"/>
  <c r="G1675" i="2"/>
  <c r="F1676" i="2"/>
  <c r="G1676" i="2"/>
  <c r="F1677" i="2"/>
  <c r="G1677" i="2"/>
  <c r="F1678" i="2"/>
  <c r="G1678" i="2"/>
  <c r="F1679" i="2"/>
  <c r="G1679" i="2"/>
  <c r="F1680" i="2"/>
  <c r="G1680" i="2"/>
  <c r="F1681" i="2"/>
  <c r="G1681" i="2"/>
  <c r="F1682" i="2"/>
  <c r="G1682" i="2"/>
  <c r="F1683" i="2"/>
  <c r="G1683" i="2"/>
  <c r="F1684" i="2"/>
  <c r="G1684" i="2"/>
  <c r="F1685" i="2"/>
  <c r="G1685" i="2"/>
  <c r="F1686" i="2"/>
  <c r="G1686" i="2"/>
  <c r="F1687" i="2"/>
  <c r="G1687" i="2"/>
  <c r="F1688" i="2"/>
  <c r="G1688" i="2"/>
  <c r="F1689" i="2"/>
  <c r="G1689" i="2"/>
  <c r="F1690" i="2"/>
  <c r="G1690" i="2"/>
  <c r="F1691" i="2"/>
  <c r="G1691" i="2"/>
  <c r="F1692" i="2"/>
  <c r="G1692" i="2"/>
  <c r="F1693" i="2"/>
  <c r="G1693" i="2"/>
  <c r="F1694" i="2"/>
  <c r="G1694" i="2"/>
  <c r="F1695" i="2"/>
  <c r="G1695" i="2"/>
  <c r="F1696" i="2"/>
  <c r="G1696" i="2"/>
  <c r="F1697" i="2"/>
  <c r="G1697" i="2"/>
  <c r="F1698" i="2"/>
  <c r="G1698" i="2"/>
  <c r="F1699" i="2"/>
  <c r="G1699" i="2"/>
  <c r="F1700" i="2"/>
  <c r="G1700" i="2"/>
  <c r="F1701" i="2"/>
  <c r="G1701" i="2"/>
  <c r="F1702" i="2"/>
  <c r="G1702" i="2"/>
  <c r="F1703" i="2"/>
  <c r="G1703" i="2"/>
  <c r="F1704" i="2"/>
  <c r="G1704" i="2"/>
  <c r="F1705" i="2"/>
  <c r="G1705" i="2"/>
  <c r="F1706" i="2"/>
  <c r="G1706" i="2"/>
  <c r="F1707" i="2"/>
  <c r="G1707" i="2"/>
  <c r="F1708" i="2"/>
  <c r="G1708" i="2"/>
  <c r="F1709" i="2"/>
  <c r="G1709" i="2"/>
  <c r="F1710" i="2"/>
  <c r="G1710" i="2"/>
  <c r="F1711" i="2"/>
  <c r="G1711" i="2"/>
  <c r="F1712" i="2"/>
  <c r="G1712" i="2"/>
  <c r="F1713" i="2"/>
  <c r="G1713" i="2"/>
  <c r="F1714" i="2"/>
  <c r="G1714" i="2"/>
  <c r="F1715" i="2"/>
  <c r="G1715" i="2"/>
  <c r="F1716" i="2"/>
  <c r="G1716" i="2"/>
  <c r="F1717" i="2"/>
  <c r="G1717" i="2"/>
  <c r="F1718" i="2"/>
  <c r="G1718" i="2"/>
  <c r="F1719" i="2"/>
  <c r="G1719" i="2"/>
  <c r="F1720" i="2"/>
  <c r="G1720" i="2"/>
  <c r="F1721" i="2"/>
  <c r="G1721" i="2"/>
  <c r="F1722" i="2"/>
  <c r="G1722" i="2"/>
  <c r="F1723" i="2"/>
  <c r="G1723" i="2"/>
  <c r="F1724" i="2"/>
  <c r="G1724" i="2"/>
  <c r="F1725" i="2"/>
  <c r="G1725" i="2"/>
  <c r="F1726" i="2"/>
  <c r="G1726" i="2"/>
  <c r="F1727" i="2"/>
  <c r="G1727" i="2"/>
  <c r="F1728" i="2"/>
  <c r="G1728" i="2"/>
  <c r="F1729" i="2"/>
  <c r="G1729" i="2"/>
  <c r="F1730" i="2"/>
  <c r="G1730" i="2"/>
  <c r="F1731" i="2"/>
  <c r="G1731" i="2"/>
  <c r="F1732" i="2"/>
  <c r="G1732" i="2"/>
  <c r="F1733" i="2"/>
  <c r="G1733" i="2"/>
  <c r="F1734" i="2"/>
  <c r="G1734" i="2"/>
  <c r="F1735" i="2"/>
  <c r="G1735" i="2"/>
  <c r="F1736" i="2"/>
  <c r="G1736" i="2"/>
  <c r="F1737" i="2"/>
  <c r="G1737" i="2"/>
  <c r="F1738" i="2"/>
  <c r="G1738" i="2"/>
  <c r="F1739" i="2"/>
  <c r="G1739" i="2"/>
  <c r="F1740" i="2"/>
  <c r="G1740" i="2"/>
  <c r="F1741" i="2"/>
  <c r="G1741" i="2"/>
  <c r="F1742" i="2"/>
  <c r="G1742" i="2"/>
  <c r="F1743" i="2"/>
  <c r="G1743" i="2"/>
  <c r="F1744" i="2"/>
  <c r="G1744" i="2"/>
  <c r="F1745" i="2"/>
  <c r="G1745" i="2"/>
  <c r="F1746" i="2"/>
  <c r="G1746" i="2"/>
  <c r="F1747" i="2"/>
  <c r="G1747" i="2"/>
  <c r="F1748" i="2"/>
  <c r="G1748" i="2"/>
  <c r="F1749" i="2"/>
  <c r="G1749" i="2"/>
  <c r="F1750" i="2"/>
  <c r="G1750" i="2"/>
  <c r="F1751" i="2"/>
  <c r="G1751" i="2"/>
  <c r="F1752" i="2"/>
  <c r="G1752" i="2"/>
  <c r="F1753" i="2"/>
  <c r="G1753" i="2"/>
  <c r="F1754" i="2"/>
  <c r="G1754" i="2"/>
  <c r="F1755" i="2"/>
  <c r="G1755" i="2"/>
  <c r="F1756" i="2"/>
  <c r="G1756" i="2"/>
  <c r="F1757" i="2"/>
  <c r="G1757" i="2"/>
  <c r="F1758" i="2"/>
  <c r="G1758" i="2"/>
  <c r="F1759" i="2"/>
  <c r="G1759" i="2"/>
  <c r="F1760" i="2"/>
  <c r="G1760" i="2"/>
  <c r="F1761" i="2"/>
  <c r="G1761" i="2"/>
  <c r="F1762" i="2"/>
  <c r="G1762" i="2"/>
  <c r="F1763" i="2"/>
  <c r="G1763" i="2"/>
  <c r="F1764" i="2"/>
  <c r="G1764" i="2"/>
  <c r="F1765" i="2"/>
  <c r="G1765" i="2"/>
  <c r="F1766" i="2"/>
  <c r="G1766" i="2"/>
  <c r="F1767" i="2"/>
  <c r="G1767" i="2"/>
  <c r="F1768" i="2"/>
  <c r="G1768" i="2"/>
  <c r="F1769" i="2"/>
  <c r="G1769" i="2"/>
  <c r="F1770" i="2"/>
  <c r="G1770" i="2"/>
  <c r="F1771" i="2"/>
  <c r="G1771" i="2"/>
  <c r="F1772" i="2"/>
  <c r="G1772" i="2"/>
  <c r="F1773" i="2"/>
  <c r="G1773" i="2"/>
  <c r="F1774" i="2"/>
  <c r="G1774" i="2"/>
  <c r="F1775" i="2"/>
  <c r="G1775" i="2"/>
  <c r="F1776" i="2"/>
  <c r="G1776" i="2"/>
  <c r="F1777" i="2"/>
  <c r="G1777" i="2"/>
  <c r="F1778" i="2"/>
  <c r="G1778" i="2"/>
  <c r="F1779" i="2"/>
  <c r="G1779" i="2"/>
  <c r="F1780" i="2"/>
  <c r="G1780" i="2"/>
  <c r="F1781" i="2"/>
  <c r="G1781" i="2"/>
  <c r="F1782" i="2"/>
  <c r="G1782" i="2"/>
  <c r="F1783" i="2"/>
  <c r="G1783" i="2"/>
  <c r="F1784" i="2"/>
  <c r="G1784" i="2"/>
  <c r="F1785" i="2"/>
  <c r="G1785" i="2"/>
  <c r="F1786" i="2"/>
  <c r="G1786" i="2"/>
  <c r="F1787" i="2"/>
  <c r="G1787" i="2"/>
  <c r="F1788" i="2"/>
  <c r="G1788" i="2"/>
  <c r="F1789" i="2"/>
  <c r="G1789" i="2"/>
  <c r="F1790" i="2"/>
  <c r="G1790" i="2"/>
  <c r="F1791" i="2"/>
  <c r="G1791" i="2"/>
  <c r="F1792" i="2"/>
  <c r="G1792" i="2"/>
  <c r="F1793" i="2"/>
  <c r="G1793" i="2"/>
  <c r="F1794" i="2"/>
  <c r="G1794" i="2"/>
  <c r="F1795" i="2"/>
  <c r="G1795" i="2"/>
  <c r="F1796" i="2"/>
  <c r="G1796" i="2"/>
  <c r="F1797" i="2"/>
  <c r="G1797" i="2"/>
  <c r="F1798" i="2"/>
  <c r="G1798" i="2"/>
  <c r="F1799" i="2"/>
  <c r="G1799" i="2"/>
  <c r="F1800" i="2"/>
  <c r="G1800" i="2"/>
  <c r="F1801" i="2"/>
  <c r="G1801" i="2"/>
  <c r="F1802" i="2"/>
  <c r="G1802" i="2"/>
  <c r="F1803" i="2"/>
  <c r="G1803" i="2"/>
  <c r="F1804" i="2"/>
  <c r="G1804" i="2"/>
  <c r="F1805" i="2"/>
  <c r="G1805" i="2"/>
  <c r="F1806" i="2"/>
  <c r="G1806" i="2"/>
  <c r="F1807" i="2"/>
  <c r="G1807" i="2"/>
  <c r="F1808" i="2"/>
  <c r="G1808" i="2"/>
  <c r="F1809" i="2"/>
  <c r="G1809" i="2"/>
  <c r="F1810" i="2"/>
  <c r="G1810" i="2"/>
  <c r="F1811" i="2"/>
  <c r="G1811" i="2"/>
  <c r="F1812" i="2"/>
  <c r="G1812" i="2"/>
  <c r="F1813" i="2"/>
  <c r="G1813" i="2"/>
  <c r="F1814" i="2"/>
  <c r="G1814" i="2"/>
  <c r="F1815" i="2"/>
  <c r="G1815" i="2"/>
  <c r="F1816" i="2"/>
  <c r="G1816" i="2"/>
  <c r="F1817" i="2"/>
  <c r="G1817" i="2"/>
  <c r="F1818" i="2"/>
  <c r="G1818" i="2"/>
  <c r="F1819" i="2"/>
  <c r="G1819" i="2"/>
  <c r="F1820" i="2"/>
  <c r="G1820" i="2"/>
  <c r="F1821" i="2"/>
  <c r="G1821" i="2"/>
  <c r="F1822" i="2"/>
  <c r="G1822" i="2"/>
  <c r="F1823" i="2"/>
  <c r="G1823" i="2"/>
  <c r="F1824" i="2"/>
  <c r="G1824" i="2"/>
  <c r="F1825" i="2"/>
  <c r="G1825" i="2"/>
  <c r="F1826" i="2"/>
  <c r="G1826" i="2"/>
  <c r="F1827" i="2"/>
  <c r="G1827" i="2"/>
  <c r="F1828" i="2"/>
  <c r="G1828" i="2"/>
  <c r="F1829" i="2"/>
  <c r="G1829" i="2"/>
  <c r="F1830" i="2"/>
  <c r="G1830" i="2"/>
  <c r="F1831" i="2"/>
  <c r="G1831" i="2"/>
  <c r="F1832" i="2"/>
  <c r="G1832" i="2"/>
  <c r="F1833" i="2"/>
  <c r="G1833" i="2"/>
  <c r="F1834" i="2"/>
  <c r="G1834" i="2"/>
  <c r="F1835" i="2"/>
  <c r="G1835" i="2"/>
  <c r="F1836" i="2"/>
  <c r="G1836" i="2"/>
  <c r="F1837" i="2"/>
  <c r="G1837" i="2"/>
  <c r="F1838" i="2"/>
  <c r="G1838" i="2"/>
  <c r="F1839" i="2"/>
  <c r="G1839" i="2"/>
  <c r="F1840" i="2"/>
  <c r="G1840" i="2"/>
  <c r="F1841" i="2"/>
  <c r="G1841" i="2"/>
  <c r="F1842" i="2"/>
  <c r="G1842" i="2"/>
  <c r="F1843" i="2"/>
  <c r="G1843" i="2"/>
  <c r="F1844" i="2"/>
  <c r="G1844" i="2"/>
  <c r="F1845" i="2"/>
  <c r="G1845" i="2"/>
  <c r="F1846" i="2"/>
  <c r="G1846" i="2"/>
  <c r="F1847" i="2"/>
  <c r="G1847" i="2"/>
  <c r="F1848" i="2"/>
  <c r="G1848" i="2"/>
  <c r="F1849" i="2"/>
  <c r="G1849" i="2"/>
  <c r="F1850" i="2"/>
  <c r="G1850" i="2"/>
  <c r="F1851" i="2"/>
  <c r="G1851" i="2"/>
  <c r="F1852" i="2"/>
  <c r="G1852" i="2"/>
  <c r="F1853" i="2"/>
  <c r="G1853" i="2"/>
  <c r="F1854" i="2"/>
  <c r="G1854" i="2"/>
  <c r="F1855" i="2"/>
  <c r="G1855" i="2"/>
  <c r="F1856" i="2"/>
  <c r="G1856" i="2"/>
  <c r="F1857" i="2"/>
  <c r="G1857" i="2"/>
  <c r="F1858" i="2"/>
  <c r="G1858" i="2"/>
  <c r="F1859" i="2"/>
  <c r="G1859" i="2"/>
  <c r="F1860" i="2"/>
  <c r="G1860" i="2"/>
  <c r="F1861" i="2"/>
  <c r="G1861" i="2"/>
  <c r="F1862" i="2"/>
  <c r="G1862" i="2"/>
  <c r="F1863" i="2"/>
  <c r="G1863" i="2"/>
  <c r="F1864" i="2"/>
  <c r="G1864" i="2"/>
  <c r="F1865" i="2"/>
  <c r="G1865" i="2"/>
  <c r="F1866" i="2"/>
  <c r="G1866" i="2"/>
  <c r="F1867" i="2"/>
  <c r="G1867" i="2"/>
  <c r="F1868" i="2"/>
  <c r="G1868" i="2"/>
  <c r="F1869" i="2"/>
  <c r="G1869" i="2"/>
  <c r="F1870" i="2"/>
  <c r="G1870" i="2"/>
  <c r="F1871" i="2"/>
  <c r="G1871" i="2"/>
  <c r="F1872" i="2"/>
  <c r="G1872" i="2"/>
  <c r="F1873" i="2"/>
  <c r="G1873" i="2"/>
  <c r="F1874" i="2"/>
  <c r="G1874" i="2"/>
  <c r="F1875" i="2"/>
  <c r="G1875" i="2"/>
  <c r="F1876" i="2"/>
  <c r="G1876" i="2"/>
  <c r="F1877" i="2"/>
  <c r="G1877" i="2"/>
  <c r="F1878" i="2"/>
  <c r="G1878" i="2"/>
  <c r="F1879" i="2"/>
  <c r="G1879" i="2"/>
  <c r="F1880" i="2"/>
  <c r="G1880" i="2"/>
  <c r="F1881" i="2"/>
  <c r="G1881" i="2"/>
  <c r="F1882" i="2"/>
  <c r="G1882" i="2"/>
  <c r="F1883" i="2"/>
  <c r="G1883" i="2"/>
  <c r="F1884" i="2"/>
  <c r="G1884" i="2"/>
  <c r="F1885" i="2"/>
  <c r="G1885" i="2"/>
  <c r="F1886" i="2"/>
  <c r="G1886" i="2"/>
  <c r="F1887" i="2"/>
  <c r="G1887" i="2"/>
  <c r="F1888" i="2"/>
  <c r="G1888" i="2"/>
  <c r="F1889" i="2"/>
  <c r="G1889" i="2"/>
  <c r="F1890" i="2"/>
  <c r="G1890" i="2"/>
  <c r="F1891" i="2"/>
  <c r="G1891" i="2"/>
  <c r="F1892" i="2"/>
  <c r="G1892" i="2"/>
  <c r="F1893" i="2"/>
  <c r="G1893" i="2"/>
  <c r="F1894" i="2"/>
  <c r="G1894" i="2"/>
  <c r="F1895" i="2"/>
  <c r="G1895" i="2"/>
  <c r="F1896" i="2"/>
  <c r="G1896" i="2"/>
  <c r="F1897" i="2"/>
  <c r="G1897" i="2"/>
  <c r="F1898" i="2"/>
  <c r="G1898" i="2"/>
  <c r="F1899" i="2"/>
  <c r="G1899" i="2"/>
  <c r="F1900" i="2"/>
  <c r="G1900" i="2"/>
  <c r="F1901" i="2"/>
  <c r="G1901" i="2"/>
  <c r="F1902" i="2"/>
  <c r="G1902" i="2"/>
  <c r="F1903" i="2"/>
  <c r="G1903" i="2"/>
  <c r="F1904" i="2"/>
  <c r="G1904" i="2"/>
  <c r="F1905" i="2"/>
  <c r="G1905" i="2"/>
  <c r="F1906" i="2"/>
  <c r="G1906" i="2"/>
  <c r="F1907" i="2"/>
  <c r="G1907" i="2"/>
  <c r="F1908" i="2"/>
  <c r="G1908" i="2"/>
  <c r="F1909" i="2"/>
  <c r="G1909" i="2"/>
  <c r="F1910" i="2"/>
  <c r="G1910" i="2"/>
  <c r="F1911" i="2"/>
  <c r="G1911" i="2"/>
  <c r="F1912" i="2"/>
  <c r="G1912" i="2"/>
  <c r="F1913" i="2"/>
  <c r="G1913" i="2"/>
  <c r="F1914" i="2"/>
  <c r="G1914" i="2"/>
  <c r="F1915" i="2"/>
  <c r="G1915" i="2"/>
  <c r="F1916" i="2"/>
  <c r="G1916" i="2"/>
  <c r="F1917" i="2"/>
  <c r="G1917" i="2"/>
  <c r="F1918" i="2"/>
  <c r="G1918" i="2"/>
  <c r="F1919" i="2"/>
  <c r="G1919" i="2"/>
  <c r="F1920" i="2"/>
  <c r="G1920" i="2"/>
  <c r="F1921" i="2"/>
  <c r="G1921" i="2"/>
  <c r="F1922" i="2"/>
  <c r="G1922" i="2"/>
  <c r="F1923" i="2"/>
  <c r="G1923" i="2"/>
  <c r="F1924" i="2"/>
  <c r="G1924" i="2"/>
  <c r="F1925" i="2"/>
  <c r="G1925" i="2"/>
  <c r="F1926" i="2"/>
  <c r="G1926" i="2"/>
  <c r="F1927" i="2"/>
  <c r="G1927" i="2"/>
  <c r="F1928" i="2"/>
  <c r="G1928" i="2"/>
  <c r="F1929" i="2"/>
  <c r="G1929" i="2"/>
  <c r="F1930" i="2"/>
  <c r="G1930" i="2"/>
  <c r="F1931" i="2"/>
  <c r="G1931" i="2"/>
  <c r="F1932" i="2"/>
  <c r="G1932" i="2"/>
  <c r="F1933" i="2"/>
  <c r="G1933" i="2"/>
  <c r="F1934" i="2"/>
  <c r="G1934" i="2"/>
  <c r="F1935" i="2"/>
  <c r="G1935" i="2"/>
  <c r="F1936" i="2"/>
  <c r="G1936" i="2"/>
  <c r="F1937" i="2"/>
  <c r="G1937" i="2"/>
  <c r="F1938" i="2"/>
  <c r="G1938" i="2"/>
  <c r="F1939" i="2"/>
  <c r="G1939" i="2"/>
  <c r="F1940" i="2"/>
  <c r="G1940" i="2"/>
  <c r="F1941" i="2"/>
  <c r="G1941" i="2"/>
  <c r="F1942" i="2"/>
  <c r="G1942" i="2"/>
  <c r="F1943" i="2"/>
  <c r="G1943" i="2"/>
  <c r="F1944" i="2"/>
  <c r="G1944" i="2"/>
  <c r="F1945" i="2"/>
  <c r="G1945" i="2"/>
  <c r="F1946" i="2"/>
  <c r="G1946" i="2"/>
  <c r="F1947" i="2"/>
  <c r="G1947" i="2"/>
  <c r="F1948" i="2"/>
  <c r="G1948" i="2"/>
  <c r="F1949" i="2"/>
  <c r="G1949" i="2"/>
  <c r="F1950" i="2"/>
  <c r="G1950" i="2"/>
  <c r="F1951" i="2"/>
  <c r="G1951" i="2"/>
  <c r="F1952" i="2"/>
  <c r="G1952" i="2"/>
  <c r="F1953" i="2"/>
  <c r="G1953" i="2"/>
  <c r="F1954" i="2"/>
  <c r="G1954" i="2"/>
  <c r="F1955" i="2"/>
  <c r="G1955" i="2"/>
  <c r="F1956" i="2"/>
  <c r="G1956" i="2"/>
  <c r="F1957" i="2"/>
  <c r="G1957" i="2"/>
  <c r="F1958" i="2"/>
  <c r="G1958" i="2"/>
  <c r="F1959" i="2"/>
  <c r="G1959" i="2"/>
  <c r="F1960" i="2"/>
  <c r="G1960" i="2"/>
  <c r="F1961" i="2"/>
  <c r="G1961" i="2"/>
  <c r="F1962" i="2"/>
  <c r="G1962" i="2"/>
  <c r="F1963" i="2"/>
  <c r="G1963" i="2"/>
  <c r="F1964" i="2"/>
  <c r="G1964" i="2"/>
  <c r="F1965" i="2"/>
  <c r="G1965" i="2"/>
  <c r="F1966" i="2"/>
  <c r="G1966" i="2"/>
  <c r="F1967" i="2"/>
  <c r="G1967" i="2"/>
  <c r="F1968" i="2"/>
  <c r="G1968" i="2"/>
  <c r="F1969" i="2"/>
  <c r="G1969" i="2"/>
  <c r="F1970" i="2"/>
  <c r="G1970" i="2"/>
  <c r="F1971" i="2"/>
  <c r="G1971" i="2"/>
  <c r="F1972" i="2"/>
  <c r="G1972" i="2"/>
  <c r="F1973" i="2"/>
  <c r="G1973" i="2"/>
  <c r="F1974" i="2"/>
  <c r="G1974" i="2"/>
  <c r="F1975" i="2"/>
  <c r="G1975" i="2"/>
  <c r="F1976" i="2"/>
  <c r="G1976" i="2"/>
  <c r="F1977" i="2"/>
  <c r="G1977" i="2"/>
  <c r="F1978" i="2"/>
  <c r="G1978" i="2"/>
  <c r="F1979" i="2"/>
  <c r="G1979" i="2"/>
  <c r="F1980" i="2"/>
  <c r="G1980" i="2"/>
  <c r="F1981" i="2"/>
  <c r="G1981" i="2"/>
  <c r="F1982" i="2"/>
  <c r="G1982" i="2"/>
  <c r="F1983" i="2"/>
  <c r="G1983" i="2"/>
  <c r="F1984" i="2"/>
  <c r="G1984" i="2"/>
  <c r="F1985" i="2"/>
  <c r="G1985" i="2"/>
  <c r="F1986" i="2"/>
  <c r="G1986" i="2"/>
  <c r="F1987" i="2"/>
  <c r="G1987" i="2"/>
  <c r="F1988" i="2"/>
  <c r="G1988" i="2"/>
  <c r="F1989" i="2"/>
  <c r="G1989" i="2"/>
  <c r="F1990" i="2"/>
  <c r="G1990" i="2"/>
  <c r="F1991" i="2"/>
  <c r="G1991" i="2"/>
  <c r="F1992" i="2"/>
  <c r="G1992" i="2"/>
  <c r="F1993" i="2"/>
  <c r="G1993" i="2"/>
  <c r="F1994" i="2"/>
  <c r="G1994" i="2"/>
  <c r="F1995" i="2"/>
  <c r="G1995" i="2"/>
  <c r="F1996" i="2"/>
  <c r="G1996" i="2"/>
  <c r="F1997" i="2"/>
  <c r="G1997" i="2"/>
  <c r="F1998" i="2"/>
  <c r="G1998" i="2"/>
  <c r="F1999" i="2"/>
  <c r="G1999" i="2"/>
  <c r="F2000" i="2"/>
  <c r="G2000" i="2"/>
  <c r="F2001" i="2"/>
  <c r="G2001" i="2"/>
  <c r="F2002" i="2"/>
  <c r="G2002" i="2"/>
  <c r="F2003" i="2"/>
  <c r="G2003" i="2"/>
  <c r="F2004" i="2"/>
  <c r="G2004" i="2"/>
  <c r="F2005" i="2"/>
  <c r="G2005" i="2"/>
  <c r="F2006" i="2"/>
  <c r="G2006" i="2"/>
  <c r="F2007" i="2"/>
  <c r="G2007" i="2"/>
  <c r="F2008" i="2"/>
  <c r="G2008" i="2"/>
  <c r="F2009" i="2"/>
  <c r="G2009" i="2"/>
  <c r="F2010" i="2"/>
  <c r="G2010" i="2"/>
  <c r="F2011" i="2"/>
  <c r="G2011" i="2"/>
  <c r="F2012" i="2"/>
  <c r="G2012" i="2"/>
  <c r="F2013" i="2"/>
  <c r="G2013" i="2"/>
  <c r="F2014" i="2"/>
  <c r="G2014" i="2"/>
  <c r="F2015" i="2"/>
  <c r="G2015" i="2"/>
  <c r="F2016" i="2"/>
  <c r="G2016" i="2"/>
  <c r="F2017" i="2"/>
  <c r="G2017" i="2"/>
  <c r="F2018" i="2"/>
  <c r="G2018" i="2"/>
  <c r="F2019" i="2"/>
  <c r="G2019" i="2"/>
  <c r="F2020" i="2"/>
  <c r="G2020" i="2"/>
  <c r="F2021" i="2"/>
  <c r="G2021" i="2"/>
  <c r="F2022" i="2"/>
  <c r="G2022" i="2"/>
  <c r="F2023" i="2"/>
  <c r="G2023" i="2"/>
  <c r="G21" i="2"/>
  <c r="H23" i="2"/>
  <c r="K23" i="2"/>
  <c r="H24" i="2"/>
  <c r="K24" i="2"/>
  <c r="H25" i="2"/>
  <c r="K25" i="2"/>
  <c r="H26" i="2"/>
  <c r="K26" i="2"/>
  <c r="H27" i="2"/>
  <c r="K27" i="2"/>
  <c r="H28" i="2"/>
  <c r="K28" i="2"/>
  <c r="H29" i="2"/>
  <c r="K29" i="2"/>
  <c r="H30" i="2"/>
  <c r="K30" i="2"/>
  <c r="H31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O1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N11" i="2"/>
  <c r="M11" i="2"/>
  <c r="L11" i="2"/>
  <c r="T11" i="2"/>
  <c r="A15" i="2"/>
  <c r="D24" i="2"/>
  <c r="E23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H21" i="2"/>
  <c r="I1820" i="2"/>
  <c r="J1820" i="2"/>
  <c r="L1820" i="2"/>
  <c r="M1820" i="2"/>
  <c r="I1821" i="2"/>
  <c r="J1821" i="2"/>
  <c r="L1821" i="2"/>
  <c r="M1821" i="2"/>
  <c r="I1822" i="2"/>
  <c r="J1822" i="2"/>
  <c r="L1822" i="2"/>
  <c r="M1822" i="2"/>
  <c r="I1823" i="2"/>
  <c r="J1823" i="2"/>
  <c r="L1823" i="2"/>
  <c r="M1823" i="2"/>
  <c r="I1824" i="2"/>
  <c r="J1824" i="2"/>
  <c r="L1824" i="2"/>
  <c r="M1824" i="2"/>
  <c r="I1825" i="2"/>
  <c r="J1825" i="2"/>
  <c r="L1825" i="2"/>
  <c r="M1825" i="2"/>
  <c r="I1826" i="2"/>
  <c r="J1826" i="2"/>
  <c r="L1826" i="2"/>
  <c r="M1826" i="2"/>
  <c r="I1827" i="2"/>
  <c r="J1827" i="2"/>
  <c r="L1827" i="2"/>
  <c r="M1827" i="2"/>
  <c r="I1828" i="2"/>
  <c r="J1828" i="2"/>
  <c r="L1828" i="2"/>
  <c r="M1828" i="2"/>
  <c r="I1829" i="2"/>
  <c r="J1829" i="2"/>
  <c r="L1829" i="2"/>
  <c r="M1829" i="2"/>
  <c r="I1830" i="2"/>
  <c r="J1830" i="2"/>
  <c r="L1830" i="2"/>
  <c r="M1830" i="2"/>
  <c r="I1831" i="2"/>
  <c r="J1831" i="2"/>
  <c r="L1831" i="2"/>
  <c r="M1831" i="2"/>
  <c r="I1832" i="2"/>
  <c r="J1832" i="2"/>
  <c r="L1832" i="2"/>
  <c r="M1832" i="2"/>
  <c r="I1833" i="2"/>
  <c r="J1833" i="2"/>
  <c r="L1833" i="2"/>
  <c r="M1833" i="2"/>
  <c r="I1834" i="2"/>
  <c r="J1834" i="2"/>
  <c r="L1834" i="2"/>
  <c r="M1834" i="2"/>
  <c r="I1835" i="2"/>
  <c r="J1835" i="2"/>
  <c r="L1835" i="2"/>
  <c r="M1835" i="2"/>
  <c r="I1836" i="2"/>
  <c r="J1836" i="2"/>
  <c r="L1836" i="2"/>
  <c r="M1836" i="2"/>
  <c r="I1837" i="2"/>
  <c r="J1837" i="2"/>
  <c r="L1837" i="2"/>
  <c r="M1837" i="2"/>
  <c r="I1838" i="2"/>
  <c r="J1838" i="2"/>
  <c r="L1838" i="2"/>
  <c r="M1838" i="2"/>
  <c r="I1839" i="2"/>
  <c r="J1839" i="2"/>
  <c r="L1839" i="2"/>
  <c r="M1839" i="2"/>
  <c r="I1840" i="2"/>
  <c r="J1840" i="2"/>
  <c r="L1840" i="2"/>
  <c r="M1840" i="2"/>
  <c r="I1841" i="2"/>
  <c r="J1841" i="2"/>
  <c r="L1841" i="2"/>
  <c r="M1841" i="2"/>
  <c r="I1842" i="2"/>
  <c r="J1842" i="2"/>
  <c r="L1842" i="2"/>
  <c r="M1842" i="2"/>
  <c r="I1843" i="2"/>
  <c r="J1843" i="2"/>
  <c r="L1843" i="2"/>
  <c r="M1843" i="2"/>
  <c r="I1844" i="2"/>
  <c r="J1844" i="2"/>
  <c r="L1844" i="2"/>
  <c r="M1844" i="2"/>
  <c r="I1845" i="2"/>
  <c r="J1845" i="2"/>
  <c r="L1845" i="2"/>
  <c r="M1845" i="2"/>
  <c r="I1846" i="2"/>
  <c r="J1846" i="2"/>
  <c r="L1846" i="2"/>
  <c r="M1846" i="2"/>
  <c r="I1847" i="2"/>
  <c r="J1847" i="2"/>
  <c r="L1847" i="2"/>
  <c r="M1847" i="2"/>
  <c r="I1848" i="2"/>
  <c r="J1848" i="2"/>
  <c r="L1848" i="2"/>
  <c r="M1848" i="2"/>
  <c r="I1849" i="2"/>
  <c r="J1849" i="2"/>
  <c r="L1849" i="2"/>
  <c r="M1849" i="2"/>
  <c r="I1850" i="2"/>
  <c r="J1850" i="2"/>
  <c r="L1850" i="2"/>
  <c r="M1850" i="2"/>
  <c r="I1851" i="2"/>
  <c r="J1851" i="2"/>
  <c r="L1851" i="2"/>
  <c r="M1851" i="2"/>
  <c r="I1852" i="2"/>
  <c r="J1852" i="2"/>
  <c r="L1852" i="2"/>
  <c r="M1852" i="2"/>
  <c r="I1853" i="2"/>
  <c r="J1853" i="2"/>
  <c r="L1853" i="2"/>
  <c r="M1853" i="2"/>
  <c r="I1854" i="2"/>
  <c r="J1854" i="2"/>
  <c r="L1854" i="2"/>
  <c r="M1854" i="2"/>
  <c r="I1855" i="2"/>
  <c r="J1855" i="2"/>
  <c r="L1855" i="2"/>
  <c r="M1855" i="2"/>
  <c r="I1856" i="2"/>
  <c r="J1856" i="2"/>
  <c r="L1856" i="2"/>
  <c r="M1856" i="2"/>
  <c r="I1857" i="2"/>
  <c r="J1857" i="2"/>
  <c r="L1857" i="2"/>
  <c r="M1857" i="2"/>
  <c r="I1858" i="2"/>
  <c r="J1858" i="2"/>
  <c r="L1858" i="2"/>
  <c r="M1858" i="2"/>
  <c r="I1859" i="2"/>
  <c r="J1859" i="2"/>
  <c r="L1859" i="2"/>
  <c r="M1859" i="2"/>
  <c r="I1860" i="2"/>
  <c r="J1860" i="2"/>
  <c r="L1860" i="2"/>
  <c r="M1860" i="2"/>
  <c r="I1861" i="2"/>
  <c r="J1861" i="2"/>
  <c r="L1861" i="2"/>
  <c r="M1861" i="2"/>
  <c r="I1862" i="2"/>
  <c r="J1862" i="2"/>
  <c r="L1862" i="2"/>
  <c r="M1862" i="2"/>
  <c r="I1863" i="2"/>
  <c r="J1863" i="2"/>
  <c r="L1863" i="2"/>
  <c r="M1863" i="2"/>
  <c r="I1864" i="2"/>
  <c r="J1864" i="2"/>
  <c r="L1864" i="2"/>
  <c r="M1864" i="2"/>
  <c r="I1865" i="2"/>
  <c r="J1865" i="2"/>
  <c r="L1865" i="2"/>
  <c r="M1865" i="2"/>
  <c r="I1866" i="2"/>
  <c r="J1866" i="2"/>
  <c r="L1866" i="2"/>
  <c r="M1866" i="2"/>
  <c r="I1867" i="2"/>
  <c r="J1867" i="2"/>
  <c r="L1867" i="2"/>
  <c r="M1867" i="2"/>
  <c r="I1868" i="2"/>
  <c r="J1868" i="2"/>
  <c r="L1868" i="2"/>
  <c r="M1868" i="2"/>
  <c r="I1869" i="2"/>
  <c r="J1869" i="2"/>
  <c r="L1869" i="2"/>
  <c r="M1869" i="2"/>
  <c r="I1870" i="2"/>
  <c r="J1870" i="2"/>
  <c r="L1870" i="2"/>
  <c r="M1870" i="2"/>
  <c r="I1871" i="2"/>
  <c r="J1871" i="2"/>
  <c r="L1871" i="2"/>
  <c r="M1871" i="2"/>
  <c r="I1872" i="2"/>
  <c r="J1872" i="2"/>
  <c r="L1872" i="2"/>
  <c r="M1872" i="2"/>
  <c r="I1873" i="2"/>
  <c r="J1873" i="2"/>
  <c r="L1873" i="2"/>
  <c r="M1873" i="2"/>
  <c r="I1874" i="2"/>
  <c r="J1874" i="2"/>
  <c r="L1874" i="2"/>
  <c r="M1874" i="2"/>
  <c r="I1875" i="2"/>
  <c r="J1875" i="2"/>
  <c r="L1875" i="2"/>
  <c r="M1875" i="2"/>
  <c r="I1876" i="2"/>
  <c r="J1876" i="2"/>
  <c r="L1876" i="2"/>
  <c r="M1876" i="2"/>
  <c r="I1877" i="2"/>
  <c r="J1877" i="2"/>
  <c r="L1877" i="2"/>
  <c r="M1877" i="2"/>
  <c r="I1878" i="2"/>
  <c r="J1878" i="2"/>
  <c r="L1878" i="2"/>
  <c r="M1878" i="2"/>
  <c r="I1879" i="2"/>
  <c r="J1879" i="2"/>
  <c r="L1879" i="2"/>
  <c r="M1879" i="2"/>
  <c r="I1880" i="2"/>
  <c r="J1880" i="2"/>
  <c r="L1880" i="2"/>
  <c r="M1880" i="2"/>
  <c r="I1881" i="2"/>
  <c r="J1881" i="2"/>
  <c r="L1881" i="2"/>
  <c r="M1881" i="2"/>
  <c r="I1882" i="2"/>
  <c r="J1882" i="2"/>
  <c r="L1882" i="2"/>
  <c r="M1882" i="2"/>
  <c r="I1883" i="2"/>
  <c r="J1883" i="2"/>
  <c r="L1883" i="2"/>
  <c r="M1883" i="2"/>
  <c r="I1884" i="2"/>
  <c r="J1884" i="2"/>
  <c r="L1884" i="2"/>
  <c r="M1884" i="2"/>
  <c r="I1885" i="2"/>
  <c r="J1885" i="2"/>
  <c r="L1885" i="2"/>
  <c r="M1885" i="2"/>
  <c r="I1886" i="2"/>
  <c r="J1886" i="2"/>
  <c r="L1886" i="2"/>
  <c r="M1886" i="2"/>
  <c r="I1887" i="2"/>
  <c r="J1887" i="2"/>
  <c r="L1887" i="2"/>
  <c r="M1887" i="2"/>
  <c r="I1888" i="2"/>
  <c r="J1888" i="2"/>
  <c r="L1888" i="2"/>
  <c r="M1888" i="2"/>
  <c r="I1889" i="2"/>
  <c r="J1889" i="2"/>
  <c r="L1889" i="2"/>
  <c r="M1889" i="2"/>
  <c r="I1890" i="2"/>
  <c r="J1890" i="2"/>
  <c r="L1890" i="2"/>
  <c r="M1890" i="2"/>
  <c r="I1891" i="2"/>
  <c r="J1891" i="2"/>
  <c r="L1891" i="2"/>
  <c r="M1891" i="2"/>
  <c r="I1892" i="2"/>
  <c r="J1892" i="2"/>
  <c r="L1892" i="2"/>
  <c r="M1892" i="2"/>
  <c r="I1893" i="2"/>
  <c r="J1893" i="2"/>
  <c r="L1893" i="2"/>
  <c r="M1893" i="2"/>
  <c r="I1894" i="2"/>
  <c r="J1894" i="2"/>
  <c r="L1894" i="2"/>
  <c r="M1894" i="2"/>
  <c r="I1895" i="2"/>
  <c r="J1895" i="2"/>
  <c r="L1895" i="2"/>
  <c r="M1895" i="2"/>
  <c r="I1896" i="2"/>
  <c r="J1896" i="2"/>
  <c r="L1896" i="2"/>
  <c r="M1896" i="2"/>
  <c r="I1897" i="2"/>
  <c r="J1897" i="2"/>
  <c r="L1897" i="2"/>
  <c r="M1897" i="2"/>
  <c r="I1898" i="2"/>
  <c r="J1898" i="2"/>
  <c r="L1898" i="2"/>
  <c r="M1898" i="2"/>
  <c r="I1899" i="2"/>
  <c r="J1899" i="2"/>
  <c r="L1899" i="2"/>
  <c r="M1899" i="2"/>
  <c r="I1900" i="2"/>
  <c r="J1900" i="2"/>
  <c r="L1900" i="2"/>
  <c r="M1900" i="2"/>
  <c r="I1901" i="2"/>
  <c r="J1901" i="2"/>
  <c r="L1901" i="2"/>
  <c r="M1901" i="2"/>
  <c r="I1902" i="2"/>
  <c r="J1902" i="2"/>
  <c r="L1902" i="2"/>
  <c r="M1902" i="2"/>
  <c r="I1903" i="2"/>
  <c r="J1903" i="2"/>
  <c r="L1903" i="2"/>
  <c r="M1903" i="2"/>
  <c r="I1904" i="2"/>
  <c r="J1904" i="2"/>
  <c r="L1904" i="2"/>
  <c r="M1904" i="2"/>
  <c r="I1905" i="2"/>
  <c r="J1905" i="2"/>
  <c r="L1905" i="2"/>
  <c r="M1905" i="2"/>
  <c r="I1906" i="2"/>
  <c r="J1906" i="2"/>
  <c r="L1906" i="2"/>
  <c r="M1906" i="2"/>
  <c r="I1907" i="2"/>
  <c r="J1907" i="2"/>
  <c r="L1907" i="2"/>
  <c r="M1907" i="2"/>
  <c r="I1908" i="2"/>
  <c r="J1908" i="2"/>
  <c r="L1908" i="2"/>
  <c r="M1908" i="2"/>
  <c r="I1909" i="2"/>
  <c r="J1909" i="2"/>
  <c r="L1909" i="2"/>
  <c r="M1909" i="2"/>
  <c r="I1910" i="2"/>
  <c r="J1910" i="2"/>
  <c r="L1910" i="2"/>
  <c r="M1910" i="2"/>
  <c r="I1911" i="2"/>
  <c r="J1911" i="2"/>
  <c r="L1911" i="2"/>
  <c r="M1911" i="2"/>
  <c r="I1912" i="2"/>
  <c r="J1912" i="2"/>
  <c r="L1912" i="2"/>
  <c r="M1912" i="2"/>
  <c r="I1913" i="2"/>
  <c r="J1913" i="2"/>
  <c r="L1913" i="2"/>
  <c r="M1913" i="2"/>
  <c r="I1914" i="2"/>
  <c r="J1914" i="2"/>
  <c r="L1914" i="2"/>
  <c r="M1914" i="2"/>
  <c r="I1915" i="2"/>
  <c r="J1915" i="2"/>
  <c r="L1915" i="2"/>
  <c r="M1915" i="2"/>
  <c r="I1916" i="2"/>
  <c r="J1916" i="2"/>
  <c r="L1916" i="2"/>
  <c r="M1916" i="2"/>
  <c r="I1917" i="2"/>
  <c r="J1917" i="2"/>
  <c r="L1917" i="2"/>
  <c r="M1917" i="2"/>
  <c r="I1918" i="2"/>
  <c r="J1918" i="2"/>
  <c r="L1918" i="2"/>
  <c r="M1918" i="2"/>
  <c r="I1919" i="2"/>
  <c r="J1919" i="2"/>
  <c r="L1919" i="2"/>
  <c r="M1919" i="2"/>
  <c r="I1920" i="2"/>
  <c r="J1920" i="2"/>
  <c r="L1920" i="2"/>
  <c r="M1920" i="2"/>
  <c r="I1921" i="2"/>
  <c r="J1921" i="2"/>
  <c r="L1921" i="2"/>
  <c r="M1921" i="2"/>
  <c r="I1922" i="2"/>
  <c r="J1922" i="2"/>
  <c r="L1922" i="2"/>
  <c r="M1922" i="2"/>
  <c r="I1923" i="2"/>
  <c r="J1923" i="2"/>
  <c r="L1923" i="2"/>
  <c r="M1923" i="2"/>
  <c r="I1924" i="2"/>
  <c r="J1924" i="2"/>
  <c r="L1924" i="2"/>
  <c r="M1924" i="2"/>
  <c r="I1925" i="2"/>
  <c r="J1925" i="2"/>
  <c r="L1925" i="2"/>
  <c r="M1925" i="2"/>
  <c r="I1926" i="2"/>
  <c r="J1926" i="2"/>
  <c r="L1926" i="2"/>
  <c r="M1926" i="2"/>
  <c r="I1927" i="2"/>
  <c r="J1927" i="2"/>
  <c r="L1927" i="2"/>
  <c r="M1927" i="2"/>
  <c r="I1928" i="2"/>
  <c r="J1928" i="2"/>
  <c r="L1928" i="2"/>
  <c r="M1928" i="2"/>
  <c r="I1929" i="2"/>
  <c r="J1929" i="2"/>
  <c r="L1929" i="2"/>
  <c r="M1929" i="2"/>
  <c r="I1930" i="2"/>
  <c r="J1930" i="2"/>
  <c r="L1930" i="2"/>
  <c r="M1930" i="2"/>
  <c r="I1931" i="2"/>
  <c r="J1931" i="2"/>
  <c r="L1931" i="2"/>
  <c r="M1931" i="2"/>
  <c r="I1932" i="2"/>
  <c r="J1932" i="2"/>
  <c r="L1932" i="2"/>
  <c r="M1932" i="2"/>
  <c r="I1933" i="2"/>
  <c r="J1933" i="2"/>
  <c r="L1933" i="2"/>
  <c r="M1933" i="2"/>
  <c r="I1934" i="2"/>
  <c r="J1934" i="2"/>
  <c r="L1934" i="2"/>
  <c r="M1934" i="2"/>
  <c r="I1935" i="2"/>
  <c r="J1935" i="2"/>
  <c r="L1935" i="2"/>
  <c r="M1935" i="2"/>
  <c r="I1936" i="2"/>
  <c r="J1936" i="2"/>
  <c r="L1936" i="2"/>
  <c r="M1936" i="2"/>
  <c r="I1937" i="2"/>
  <c r="J1937" i="2"/>
  <c r="L1937" i="2"/>
  <c r="M1937" i="2"/>
  <c r="I1938" i="2"/>
  <c r="J1938" i="2"/>
  <c r="L1938" i="2"/>
  <c r="M1938" i="2"/>
  <c r="I1939" i="2"/>
  <c r="J1939" i="2"/>
  <c r="L1939" i="2"/>
  <c r="M1939" i="2"/>
  <c r="I1940" i="2"/>
  <c r="J1940" i="2"/>
  <c r="L1940" i="2"/>
  <c r="M1940" i="2"/>
  <c r="I1941" i="2"/>
  <c r="J1941" i="2"/>
  <c r="L1941" i="2"/>
  <c r="M1941" i="2"/>
  <c r="I1942" i="2"/>
  <c r="J1942" i="2"/>
  <c r="L1942" i="2"/>
  <c r="M1942" i="2"/>
  <c r="I1943" i="2"/>
  <c r="J1943" i="2"/>
  <c r="L1943" i="2"/>
  <c r="M1943" i="2"/>
  <c r="I1944" i="2"/>
  <c r="J1944" i="2"/>
  <c r="L1944" i="2"/>
  <c r="M1944" i="2"/>
  <c r="I1945" i="2"/>
  <c r="J1945" i="2"/>
  <c r="L1945" i="2"/>
  <c r="M1945" i="2"/>
  <c r="I1946" i="2"/>
  <c r="J1946" i="2"/>
  <c r="L1946" i="2"/>
  <c r="M1946" i="2"/>
  <c r="I1947" i="2"/>
  <c r="J1947" i="2"/>
  <c r="L1947" i="2"/>
  <c r="M1947" i="2"/>
  <c r="I1948" i="2"/>
  <c r="J1948" i="2"/>
  <c r="L1948" i="2"/>
  <c r="M1948" i="2"/>
  <c r="I1949" i="2"/>
  <c r="J1949" i="2"/>
  <c r="L1949" i="2"/>
  <c r="M1949" i="2"/>
  <c r="I1950" i="2"/>
  <c r="J1950" i="2"/>
  <c r="L1950" i="2"/>
  <c r="M1950" i="2"/>
  <c r="I1951" i="2"/>
  <c r="J1951" i="2"/>
  <c r="L1951" i="2"/>
  <c r="M1951" i="2"/>
  <c r="I1952" i="2"/>
  <c r="J1952" i="2"/>
  <c r="L1952" i="2"/>
  <c r="M1952" i="2"/>
  <c r="I1953" i="2"/>
  <c r="J1953" i="2"/>
  <c r="L1953" i="2"/>
  <c r="M1953" i="2"/>
  <c r="I1954" i="2"/>
  <c r="J1954" i="2"/>
  <c r="L1954" i="2"/>
  <c r="M1954" i="2"/>
  <c r="I1955" i="2"/>
  <c r="J1955" i="2"/>
  <c r="L1955" i="2"/>
  <c r="M1955" i="2"/>
  <c r="I1956" i="2"/>
  <c r="J1956" i="2"/>
  <c r="L1956" i="2"/>
  <c r="M1956" i="2"/>
  <c r="I1957" i="2"/>
  <c r="J1957" i="2"/>
  <c r="L1957" i="2"/>
  <c r="M1957" i="2"/>
  <c r="I1958" i="2"/>
  <c r="J1958" i="2"/>
  <c r="L1958" i="2"/>
  <c r="M1958" i="2"/>
  <c r="I1959" i="2"/>
  <c r="J1959" i="2"/>
  <c r="L1959" i="2"/>
  <c r="M1959" i="2"/>
  <c r="I1960" i="2"/>
  <c r="J1960" i="2"/>
  <c r="L1960" i="2"/>
  <c r="M1960" i="2"/>
  <c r="I1961" i="2"/>
  <c r="J1961" i="2"/>
  <c r="L1961" i="2"/>
  <c r="M1961" i="2"/>
  <c r="I1962" i="2"/>
  <c r="J1962" i="2"/>
  <c r="L1962" i="2"/>
  <c r="M1962" i="2"/>
  <c r="I1963" i="2"/>
  <c r="J1963" i="2"/>
  <c r="L1963" i="2"/>
  <c r="M1963" i="2"/>
  <c r="I1964" i="2"/>
  <c r="J1964" i="2"/>
  <c r="L1964" i="2"/>
  <c r="M1964" i="2"/>
  <c r="I1965" i="2"/>
  <c r="J1965" i="2"/>
  <c r="L1965" i="2"/>
  <c r="M1965" i="2"/>
  <c r="I1966" i="2"/>
  <c r="J1966" i="2"/>
  <c r="L1966" i="2"/>
  <c r="M1966" i="2"/>
  <c r="I1967" i="2"/>
  <c r="J1967" i="2"/>
  <c r="L1967" i="2"/>
  <c r="M1967" i="2"/>
  <c r="I1968" i="2"/>
  <c r="J1968" i="2"/>
  <c r="L1968" i="2"/>
  <c r="M1968" i="2"/>
  <c r="I1969" i="2"/>
  <c r="J1969" i="2"/>
  <c r="L1969" i="2"/>
  <c r="M1969" i="2"/>
  <c r="I1970" i="2"/>
  <c r="J1970" i="2"/>
  <c r="L1970" i="2"/>
  <c r="M1970" i="2"/>
  <c r="I1971" i="2"/>
  <c r="J1971" i="2"/>
  <c r="L1971" i="2"/>
  <c r="M1971" i="2"/>
  <c r="I1972" i="2"/>
  <c r="J1972" i="2"/>
  <c r="L1972" i="2"/>
  <c r="M1972" i="2"/>
  <c r="I1973" i="2"/>
  <c r="J1973" i="2"/>
  <c r="L1973" i="2"/>
  <c r="M1973" i="2"/>
  <c r="I1974" i="2"/>
  <c r="J1974" i="2"/>
  <c r="L1974" i="2"/>
  <c r="M1974" i="2"/>
  <c r="I1975" i="2"/>
  <c r="J1975" i="2"/>
  <c r="L1975" i="2"/>
  <c r="M1975" i="2"/>
  <c r="I1976" i="2"/>
  <c r="J1976" i="2"/>
  <c r="L1976" i="2"/>
  <c r="M1976" i="2"/>
  <c r="I1977" i="2"/>
  <c r="J1977" i="2"/>
  <c r="L1977" i="2"/>
  <c r="M1977" i="2"/>
  <c r="I1978" i="2"/>
  <c r="J1978" i="2"/>
  <c r="L1978" i="2"/>
  <c r="M1978" i="2"/>
  <c r="I1979" i="2"/>
  <c r="J1979" i="2"/>
  <c r="L1979" i="2"/>
  <c r="M1979" i="2"/>
  <c r="I1980" i="2"/>
  <c r="J1980" i="2"/>
  <c r="L1980" i="2"/>
  <c r="M1980" i="2"/>
  <c r="I1981" i="2"/>
  <c r="J1981" i="2"/>
  <c r="L1981" i="2"/>
  <c r="M1981" i="2"/>
  <c r="I1982" i="2"/>
  <c r="J1982" i="2"/>
  <c r="L1982" i="2"/>
  <c r="M1982" i="2"/>
  <c r="I1983" i="2"/>
  <c r="J1983" i="2"/>
  <c r="L1983" i="2"/>
  <c r="M1983" i="2"/>
  <c r="I1984" i="2"/>
  <c r="J1984" i="2"/>
  <c r="L1984" i="2"/>
  <c r="M1984" i="2"/>
  <c r="I1985" i="2"/>
  <c r="J1985" i="2"/>
  <c r="L1985" i="2"/>
  <c r="M1985" i="2"/>
  <c r="I1986" i="2"/>
  <c r="J1986" i="2"/>
  <c r="L1986" i="2"/>
  <c r="M1986" i="2"/>
  <c r="I1987" i="2"/>
  <c r="J1987" i="2"/>
  <c r="L1987" i="2"/>
  <c r="M1987" i="2"/>
  <c r="I1988" i="2"/>
  <c r="J1988" i="2"/>
  <c r="L1988" i="2"/>
  <c r="M1988" i="2"/>
  <c r="I1989" i="2"/>
  <c r="J1989" i="2"/>
  <c r="L1989" i="2"/>
  <c r="M1989" i="2"/>
  <c r="I1990" i="2"/>
  <c r="J1990" i="2"/>
  <c r="L1990" i="2"/>
  <c r="M1990" i="2"/>
  <c r="I1991" i="2"/>
  <c r="J1991" i="2"/>
  <c r="L1991" i="2"/>
  <c r="M1991" i="2"/>
  <c r="I1992" i="2"/>
  <c r="J1992" i="2"/>
  <c r="L1992" i="2"/>
  <c r="M1992" i="2"/>
  <c r="I1993" i="2"/>
  <c r="J1993" i="2"/>
  <c r="L1993" i="2"/>
  <c r="M1993" i="2"/>
  <c r="I1994" i="2"/>
  <c r="J1994" i="2"/>
  <c r="L1994" i="2"/>
  <c r="M1994" i="2"/>
  <c r="I1995" i="2"/>
  <c r="J1995" i="2"/>
  <c r="L1995" i="2"/>
  <c r="M1995" i="2"/>
  <c r="I1996" i="2"/>
  <c r="J1996" i="2"/>
  <c r="L1996" i="2"/>
  <c r="M1996" i="2"/>
  <c r="I1997" i="2"/>
  <c r="J1997" i="2"/>
  <c r="L1997" i="2"/>
  <c r="M1997" i="2"/>
  <c r="I1998" i="2"/>
  <c r="J1998" i="2"/>
  <c r="L1998" i="2"/>
  <c r="M1998" i="2"/>
  <c r="I1999" i="2"/>
  <c r="J1999" i="2"/>
  <c r="L1999" i="2"/>
  <c r="M1999" i="2"/>
  <c r="I2000" i="2"/>
  <c r="J2000" i="2"/>
  <c r="L2000" i="2"/>
  <c r="M2000" i="2"/>
  <c r="I2001" i="2"/>
  <c r="J2001" i="2"/>
  <c r="L2001" i="2"/>
  <c r="M2001" i="2"/>
  <c r="I2002" i="2"/>
  <c r="J2002" i="2"/>
  <c r="L2002" i="2"/>
  <c r="M2002" i="2"/>
  <c r="I2003" i="2"/>
  <c r="J2003" i="2"/>
  <c r="L2003" i="2"/>
  <c r="M2003" i="2"/>
  <c r="I2004" i="2"/>
  <c r="J2004" i="2"/>
  <c r="L2004" i="2"/>
  <c r="M2004" i="2"/>
  <c r="I2005" i="2"/>
  <c r="J2005" i="2"/>
  <c r="L2005" i="2"/>
  <c r="M2005" i="2"/>
  <c r="I2006" i="2"/>
  <c r="J2006" i="2"/>
  <c r="L2006" i="2"/>
  <c r="M2006" i="2"/>
  <c r="I2007" i="2"/>
  <c r="J2007" i="2"/>
  <c r="L2007" i="2"/>
  <c r="M2007" i="2"/>
  <c r="I2008" i="2"/>
  <c r="J2008" i="2"/>
  <c r="L2008" i="2"/>
  <c r="M2008" i="2"/>
  <c r="I2009" i="2"/>
  <c r="J2009" i="2"/>
  <c r="L2009" i="2"/>
  <c r="M2009" i="2"/>
  <c r="I2010" i="2"/>
  <c r="J2010" i="2"/>
  <c r="L2010" i="2"/>
  <c r="M2010" i="2"/>
  <c r="I2011" i="2"/>
  <c r="J2011" i="2"/>
  <c r="L2011" i="2"/>
  <c r="M2011" i="2"/>
  <c r="I2012" i="2"/>
  <c r="J2012" i="2"/>
  <c r="L2012" i="2"/>
  <c r="M2012" i="2"/>
  <c r="I2013" i="2"/>
  <c r="J2013" i="2"/>
  <c r="L2013" i="2"/>
  <c r="M2013" i="2"/>
  <c r="I2014" i="2"/>
  <c r="J2014" i="2"/>
  <c r="L2014" i="2"/>
  <c r="M2014" i="2"/>
  <c r="I2015" i="2"/>
  <c r="J2015" i="2"/>
  <c r="L2015" i="2"/>
  <c r="M2015" i="2"/>
  <c r="I2016" i="2"/>
  <c r="J2016" i="2"/>
  <c r="L2016" i="2"/>
  <c r="M2016" i="2"/>
  <c r="I2017" i="2"/>
  <c r="J2017" i="2"/>
  <c r="L2017" i="2"/>
  <c r="M2017" i="2"/>
  <c r="I2018" i="2"/>
  <c r="J2018" i="2"/>
  <c r="L2018" i="2"/>
  <c r="M2018" i="2"/>
  <c r="I2019" i="2"/>
  <c r="J2019" i="2"/>
  <c r="L2019" i="2"/>
  <c r="M2019" i="2"/>
  <c r="I2020" i="2"/>
  <c r="J2020" i="2"/>
  <c r="L2020" i="2"/>
  <c r="M2020" i="2"/>
  <c r="I2021" i="2"/>
  <c r="J2021" i="2"/>
  <c r="L2021" i="2"/>
  <c r="M2021" i="2"/>
  <c r="I2022" i="2"/>
  <c r="J2022" i="2"/>
  <c r="L2022" i="2"/>
  <c r="M2022" i="2"/>
  <c r="I2023" i="2"/>
  <c r="J2023" i="2"/>
  <c r="L2023" i="2"/>
  <c r="M2023" i="2"/>
  <c r="I324" i="2"/>
  <c r="J324" i="2"/>
  <c r="L324" i="2"/>
  <c r="M324" i="2"/>
  <c r="I325" i="2"/>
  <c r="J325" i="2"/>
  <c r="L325" i="2"/>
  <c r="M325" i="2"/>
  <c r="I326" i="2"/>
  <c r="J326" i="2"/>
  <c r="L326" i="2"/>
  <c r="M326" i="2"/>
  <c r="I327" i="2"/>
  <c r="J327" i="2"/>
  <c r="L327" i="2"/>
  <c r="M327" i="2"/>
  <c r="I328" i="2"/>
  <c r="J328" i="2"/>
  <c r="L328" i="2"/>
  <c r="M328" i="2"/>
  <c r="I329" i="2"/>
  <c r="J329" i="2"/>
  <c r="L329" i="2"/>
  <c r="M329" i="2"/>
  <c r="I330" i="2"/>
  <c r="J330" i="2"/>
  <c r="L330" i="2"/>
  <c r="M330" i="2"/>
  <c r="I331" i="2"/>
  <c r="J331" i="2"/>
  <c r="L331" i="2"/>
  <c r="M331" i="2"/>
  <c r="I332" i="2"/>
  <c r="J332" i="2"/>
  <c r="L332" i="2"/>
  <c r="M332" i="2"/>
  <c r="I333" i="2"/>
  <c r="J333" i="2"/>
  <c r="L333" i="2"/>
  <c r="M333" i="2"/>
  <c r="I334" i="2"/>
  <c r="J334" i="2"/>
  <c r="L334" i="2"/>
  <c r="M334" i="2"/>
  <c r="I335" i="2"/>
  <c r="J335" i="2"/>
  <c r="L335" i="2"/>
  <c r="M335" i="2"/>
  <c r="I336" i="2"/>
  <c r="J336" i="2"/>
  <c r="L336" i="2"/>
  <c r="M336" i="2"/>
  <c r="I337" i="2"/>
  <c r="J337" i="2"/>
  <c r="L337" i="2"/>
  <c r="M337" i="2"/>
  <c r="I338" i="2"/>
  <c r="J338" i="2"/>
  <c r="L338" i="2"/>
  <c r="M338" i="2"/>
  <c r="I339" i="2"/>
  <c r="J339" i="2"/>
  <c r="L339" i="2"/>
  <c r="M339" i="2"/>
  <c r="I340" i="2"/>
  <c r="J340" i="2"/>
  <c r="L340" i="2"/>
  <c r="M340" i="2"/>
  <c r="I341" i="2"/>
  <c r="J341" i="2"/>
  <c r="L341" i="2"/>
  <c r="M341" i="2"/>
  <c r="I342" i="2"/>
  <c r="J342" i="2"/>
  <c r="L342" i="2"/>
  <c r="M342" i="2"/>
  <c r="I343" i="2"/>
  <c r="J343" i="2"/>
  <c r="L343" i="2"/>
  <c r="M343" i="2"/>
  <c r="I344" i="2"/>
  <c r="J344" i="2"/>
  <c r="L344" i="2"/>
  <c r="M344" i="2"/>
  <c r="I345" i="2"/>
  <c r="J345" i="2"/>
  <c r="L345" i="2"/>
  <c r="M345" i="2"/>
  <c r="I346" i="2"/>
  <c r="J346" i="2"/>
  <c r="L346" i="2"/>
  <c r="M346" i="2"/>
  <c r="I347" i="2"/>
  <c r="J347" i="2"/>
  <c r="L347" i="2"/>
  <c r="M347" i="2"/>
  <c r="I348" i="2"/>
  <c r="J348" i="2"/>
  <c r="L348" i="2"/>
  <c r="M348" i="2"/>
  <c r="I349" i="2"/>
  <c r="J349" i="2"/>
  <c r="L349" i="2"/>
  <c r="M349" i="2"/>
  <c r="I350" i="2"/>
  <c r="J350" i="2"/>
  <c r="L350" i="2"/>
  <c r="M350" i="2"/>
  <c r="I351" i="2"/>
  <c r="J351" i="2"/>
  <c r="L351" i="2"/>
  <c r="M351" i="2"/>
  <c r="I352" i="2"/>
  <c r="J352" i="2"/>
  <c r="L352" i="2"/>
  <c r="M352" i="2"/>
  <c r="I353" i="2"/>
  <c r="J353" i="2"/>
  <c r="L353" i="2"/>
  <c r="M353" i="2"/>
  <c r="I354" i="2"/>
  <c r="J354" i="2"/>
  <c r="L354" i="2"/>
  <c r="M354" i="2"/>
  <c r="I355" i="2"/>
  <c r="J355" i="2"/>
  <c r="L355" i="2"/>
  <c r="M355" i="2"/>
  <c r="I356" i="2"/>
  <c r="J356" i="2"/>
  <c r="L356" i="2"/>
  <c r="M356" i="2"/>
  <c r="I357" i="2"/>
  <c r="J357" i="2"/>
  <c r="L357" i="2"/>
  <c r="M357" i="2"/>
  <c r="I358" i="2"/>
  <c r="J358" i="2"/>
  <c r="L358" i="2"/>
  <c r="M358" i="2"/>
  <c r="I359" i="2"/>
  <c r="J359" i="2"/>
  <c r="L359" i="2"/>
  <c r="M359" i="2"/>
  <c r="I360" i="2"/>
  <c r="J360" i="2"/>
  <c r="L360" i="2"/>
  <c r="M360" i="2"/>
  <c r="I361" i="2"/>
  <c r="J361" i="2"/>
  <c r="L361" i="2"/>
  <c r="M361" i="2"/>
  <c r="I362" i="2"/>
  <c r="J362" i="2"/>
  <c r="L362" i="2"/>
  <c r="M362" i="2"/>
  <c r="I363" i="2"/>
  <c r="J363" i="2"/>
  <c r="L363" i="2"/>
  <c r="M363" i="2"/>
  <c r="I364" i="2"/>
  <c r="J364" i="2"/>
  <c r="L364" i="2"/>
  <c r="M364" i="2"/>
  <c r="I365" i="2"/>
  <c r="J365" i="2"/>
  <c r="L365" i="2"/>
  <c r="M365" i="2"/>
  <c r="I366" i="2"/>
  <c r="J366" i="2"/>
  <c r="L366" i="2"/>
  <c r="M366" i="2"/>
  <c r="I367" i="2"/>
  <c r="J367" i="2"/>
  <c r="L367" i="2"/>
  <c r="M367" i="2"/>
  <c r="I368" i="2"/>
  <c r="J368" i="2"/>
  <c r="L368" i="2"/>
  <c r="M368" i="2"/>
  <c r="I369" i="2"/>
  <c r="J369" i="2"/>
  <c r="L369" i="2"/>
  <c r="M369" i="2"/>
  <c r="I370" i="2"/>
  <c r="J370" i="2"/>
  <c r="L370" i="2"/>
  <c r="M370" i="2"/>
  <c r="I371" i="2"/>
  <c r="J371" i="2"/>
  <c r="L371" i="2"/>
  <c r="M371" i="2"/>
  <c r="I372" i="2"/>
  <c r="J372" i="2"/>
  <c r="L372" i="2"/>
  <c r="M372" i="2"/>
  <c r="I373" i="2"/>
  <c r="J373" i="2"/>
  <c r="L373" i="2"/>
  <c r="M373" i="2"/>
  <c r="I374" i="2"/>
  <c r="J374" i="2"/>
  <c r="L374" i="2"/>
  <c r="M374" i="2"/>
  <c r="I375" i="2"/>
  <c r="J375" i="2"/>
  <c r="L375" i="2"/>
  <c r="M375" i="2"/>
  <c r="I376" i="2"/>
  <c r="J376" i="2"/>
  <c r="L376" i="2"/>
  <c r="M376" i="2"/>
  <c r="I377" i="2"/>
  <c r="J377" i="2"/>
  <c r="L377" i="2"/>
  <c r="M377" i="2"/>
  <c r="I378" i="2"/>
  <c r="J378" i="2"/>
  <c r="L378" i="2"/>
  <c r="M378" i="2"/>
  <c r="I379" i="2"/>
  <c r="J379" i="2"/>
  <c r="L379" i="2"/>
  <c r="M379" i="2"/>
  <c r="I380" i="2"/>
  <c r="J380" i="2"/>
  <c r="L380" i="2"/>
  <c r="M380" i="2"/>
  <c r="I381" i="2"/>
  <c r="J381" i="2"/>
  <c r="L381" i="2"/>
  <c r="M381" i="2"/>
  <c r="I382" i="2"/>
  <c r="J382" i="2"/>
  <c r="L382" i="2"/>
  <c r="M382" i="2"/>
  <c r="I383" i="2"/>
  <c r="J383" i="2"/>
  <c r="L383" i="2"/>
  <c r="M383" i="2"/>
  <c r="I384" i="2"/>
  <c r="J384" i="2"/>
  <c r="L384" i="2"/>
  <c r="M384" i="2"/>
  <c r="I385" i="2"/>
  <c r="J385" i="2"/>
  <c r="L385" i="2"/>
  <c r="M385" i="2"/>
  <c r="I386" i="2"/>
  <c r="J386" i="2"/>
  <c r="L386" i="2"/>
  <c r="M386" i="2"/>
  <c r="I387" i="2"/>
  <c r="J387" i="2"/>
  <c r="L387" i="2"/>
  <c r="M387" i="2"/>
  <c r="I388" i="2"/>
  <c r="J388" i="2"/>
  <c r="L388" i="2"/>
  <c r="M388" i="2"/>
  <c r="I389" i="2"/>
  <c r="J389" i="2"/>
  <c r="L389" i="2"/>
  <c r="M389" i="2"/>
  <c r="I390" i="2"/>
  <c r="J390" i="2"/>
  <c r="L390" i="2"/>
  <c r="M390" i="2"/>
  <c r="I391" i="2"/>
  <c r="J391" i="2"/>
  <c r="L391" i="2"/>
  <c r="M391" i="2"/>
  <c r="I392" i="2"/>
  <c r="J392" i="2"/>
  <c r="L392" i="2"/>
  <c r="M392" i="2"/>
  <c r="I393" i="2"/>
  <c r="J393" i="2"/>
  <c r="L393" i="2"/>
  <c r="M393" i="2"/>
  <c r="I394" i="2"/>
  <c r="J394" i="2"/>
  <c r="L394" i="2"/>
  <c r="M394" i="2"/>
  <c r="I395" i="2"/>
  <c r="J395" i="2"/>
  <c r="L395" i="2"/>
  <c r="M395" i="2"/>
  <c r="I396" i="2"/>
  <c r="J396" i="2"/>
  <c r="L396" i="2"/>
  <c r="M396" i="2"/>
  <c r="I397" i="2"/>
  <c r="J397" i="2"/>
  <c r="L397" i="2"/>
  <c r="M397" i="2"/>
  <c r="I398" i="2"/>
  <c r="J398" i="2"/>
  <c r="L398" i="2"/>
  <c r="M398" i="2"/>
  <c r="I399" i="2"/>
  <c r="J399" i="2"/>
  <c r="L399" i="2"/>
  <c r="M399" i="2"/>
  <c r="I400" i="2"/>
  <c r="J400" i="2"/>
  <c r="L400" i="2"/>
  <c r="M400" i="2"/>
  <c r="I401" i="2"/>
  <c r="J401" i="2"/>
  <c r="L401" i="2"/>
  <c r="M401" i="2"/>
  <c r="I402" i="2"/>
  <c r="J402" i="2"/>
  <c r="L402" i="2"/>
  <c r="M402" i="2"/>
  <c r="I403" i="2"/>
  <c r="J403" i="2"/>
  <c r="L403" i="2"/>
  <c r="M403" i="2"/>
  <c r="I404" i="2"/>
  <c r="J404" i="2"/>
  <c r="L404" i="2"/>
  <c r="M404" i="2"/>
  <c r="I405" i="2"/>
  <c r="J405" i="2"/>
  <c r="L405" i="2"/>
  <c r="M405" i="2"/>
  <c r="I406" i="2"/>
  <c r="J406" i="2"/>
  <c r="L406" i="2"/>
  <c r="M406" i="2"/>
  <c r="I407" i="2"/>
  <c r="J407" i="2"/>
  <c r="L407" i="2"/>
  <c r="M407" i="2"/>
  <c r="I408" i="2"/>
  <c r="J408" i="2"/>
  <c r="L408" i="2"/>
  <c r="M408" i="2"/>
  <c r="I409" i="2"/>
  <c r="J409" i="2"/>
  <c r="L409" i="2"/>
  <c r="M409" i="2"/>
  <c r="I410" i="2"/>
  <c r="J410" i="2"/>
  <c r="L410" i="2"/>
  <c r="M410" i="2"/>
  <c r="I411" i="2"/>
  <c r="J411" i="2"/>
  <c r="L411" i="2"/>
  <c r="M411" i="2"/>
  <c r="I412" i="2"/>
  <c r="J412" i="2"/>
  <c r="L412" i="2"/>
  <c r="M412" i="2"/>
  <c r="I413" i="2"/>
  <c r="J413" i="2"/>
  <c r="L413" i="2"/>
  <c r="M413" i="2"/>
  <c r="I414" i="2"/>
  <c r="J414" i="2"/>
  <c r="L414" i="2"/>
  <c r="M414" i="2"/>
  <c r="I415" i="2"/>
  <c r="J415" i="2"/>
  <c r="L415" i="2"/>
  <c r="M415" i="2"/>
  <c r="I416" i="2"/>
  <c r="J416" i="2"/>
  <c r="L416" i="2"/>
  <c r="M416" i="2"/>
  <c r="I417" i="2"/>
  <c r="J417" i="2"/>
  <c r="L417" i="2"/>
  <c r="M417" i="2"/>
  <c r="I418" i="2"/>
  <c r="J418" i="2"/>
  <c r="L418" i="2"/>
  <c r="M418" i="2"/>
  <c r="I419" i="2"/>
  <c r="J419" i="2"/>
  <c r="L419" i="2"/>
  <c r="M419" i="2"/>
  <c r="I420" i="2"/>
  <c r="J420" i="2"/>
  <c r="L420" i="2"/>
  <c r="M420" i="2"/>
  <c r="I421" i="2"/>
  <c r="J421" i="2"/>
  <c r="L421" i="2"/>
  <c r="M421" i="2"/>
  <c r="I422" i="2"/>
  <c r="J422" i="2"/>
  <c r="L422" i="2"/>
  <c r="M422" i="2"/>
  <c r="I423" i="2"/>
  <c r="J423" i="2"/>
  <c r="L423" i="2"/>
  <c r="M423" i="2"/>
  <c r="I424" i="2"/>
  <c r="J424" i="2"/>
  <c r="L424" i="2"/>
  <c r="M424" i="2"/>
  <c r="I425" i="2"/>
  <c r="J425" i="2"/>
  <c r="L425" i="2"/>
  <c r="M425" i="2"/>
  <c r="I426" i="2"/>
  <c r="J426" i="2"/>
  <c r="L426" i="2"/>
  <c r="M426" i="2"/>
  <c r="I427" i="2"/>
  <c r="J427" i="2"/>
  <c r="L427" i="2"/>
  <c r="M427" i="2"/>
  <c r="I428" i="2"/>
  <c r="J428" i="2"/>
  <c r="L428" i="2"/>
  <c r="M428" i="2"/>
  <c r="I429" i="2"/>
  <c r="J429" i="2"/>
  <c r="L429" i="2"/>
  <c r="M429" i="2"/>
  <c r="I430" i="2"/>
  <c r="J430" i="2"/>
  <c r="L430" i="2"/>
  <c r="M430" i="2"/>
  <c r="I431" i="2"/>
  <c r="J431" i="2"/>
  <c r="L431" i="2"/>
  <c r="M431" i="2"/>
  <c r="I432" i="2"/>
  <c r="J432" i="2"/>
  <c r="L432" i="2"/>
  <c r="M432" i="2"/>
  <c r="I433" i="2"/>
  <c r="J433" i="2"/>
  <c r="L433" i="2"/>
  <c r="M433" i="2"/>
  <c r="I434" i="2"/>
  <c r="J434" i="2"/>
  <c r="L434" i="2"/>
  <c r="M434" i="2"/>
  <c r="I435" i="2"/>
  <c r="J435" i="2"/>
  <c r="L435" i="2"/>
  <c r="M435" i="2"/>
  <c r="I436" i="2"/>
  <c r="J436" i="2"/>
  <c r="L436" i="2"/>
  <c r="M436" i="2"/>
  <c r="I437" i="2"/>
  <c r="J437" i="2"/>
  <c r="L437" i="2"/>
  <c r="M437" i="2"/>
  <c r="I438" i="2"/>
  <c r="J438" i="2"/>
  <c r="L438" i="2"/>
  <c r="M438" i="2"/>
  <c r="I439" i="2"/>
  <c r="J439" i="2"/>
  <c r="L439" i="2"/>
  <c r="M439" i="2"/>
  <c r="I440" i="2"/>
  <c r="J440" i="2"/>
  <c r="L440" i="2"/>
  <c r="M440" i="2"/>
  <c r="I441" i="2"/>
  <c r="J441" i="2"/>
  <c r="L441" i="2"/>
  <c r="M441" i="2"/>
  <c r="I442" i="2"/>
  <c r="J442" i="2"/>
  <c r="L442" i="2"/>
  <c r="M442" i="2"/>
  <c r="I443" i="2"/>
  <c r="J443" i="2"/>
  <c r="L443" i="2"/>
  <c r="M443" i="2"/>
  <c r="I444" i="2"/>
  <c r="J444" i="2"/>
  <c r="L444" i="2"/>
  <c r="M444" i="2"/>
  <c r="I445" i="2"/>
  <c r="J445" i="2"/>
  <c r="L445" i="2"/>
  <c r="M445" i="2"/>
  <c r="I446" i="2"/>
  <c r="J446" i="2"/>
  <c r="L446" i="2"/>
  <c r="M446" i="2"/>
  <c r="I447" i="2"/>
  <c r="J447" i="2"/>
  <c r="L447" i="2"/>
  <c r="M447" i="2"/>
  <c r="I448" i="2"/>
  <c r="J448" i="2"/>
  <c r="L448" i="2"/>
  <c r="M448" i="2"/>
  <c r="I449" i="2"/>
  <c r="J449" i="2"/>
  <c r="L449" i="2"/>
  <c r="M449" i="2"/>
  <c r="I450" i="2"/>
  <c r="J450" i="2"/>
  <c r="L450" i="2"/>
  <c r="M450" i="2"/>
  <c r="I451" i="2"/>
  <c r="J451" i="2"/>
  <c r="L451" i="2"/>
  <c r="M451" i="2"/>
  <c r="I452" i="2"/>
  <c r="J452" i="2"/>
  <c r="L452" i="2"/>
  <c r="M452" i="2"/>
  <c r="I453" i="2"/>
  <c r="J453" i="2"/>
  <c r="L453" i="2"/>
  <c r="M453" i="2"/>
  <c r="I454" i="2"/>
  <c r="J454" i="2"/>
  <c r="L454" i="2"/>
  <c r="M454" i="2"/>
  <c r="I455" i="2"/>
  <c r="J455" i="2"/>
  <c r="L455" i="2"/>
  <c r="M455" i="2"/>
  <c r="I456" i="2"/>
  <c r="J456" i="2"/>
  <c r="L456" i="2"/>
  <c r="M456" i="2"/>
  <c r="I457" i="2"/>
  <c r="J457" i="2"/>
  <c r="L457" i="2"/>
  <c r="M457" i="2"/>
  <c r="I458" i="2"/>
  <c r="J458" i="2"/>
  <c r="L458" i="2"/>
  <c r="M458" i="2"/>
  <c r="I459" i="2"/>
  <c r="J459" i="2"/>
  <c r="L459" i="2"/>
  <c r="M459" i="2"/>
  <c r="I460" i="2"/>
  <c r="J460" i="2"/>
  <c r="L460" i="2"/>
  <c r="M460" i="2"/>
  <c r="I461" i="2"/>
  <c r="J461" i="2"/>
  <c r="L461" i="2"/>
  <c r="M461" i="2"/>
  <c r="I462" i="2"/>
  <c r="J462" i="2"/>
  <c r="L462" i="2"/>
  <c r="M462" i="2"/>
  <c r="I463" i="2"/>
  <c r="J463" i="2"/>
  <c r="L463" i="2"/>
  <c r="M463" i="2"/>
  <c r="I464" i="2"/>
  <c r="J464" i="2"/>
  <c r="L464" i="2"/>
  <c r="M464" i="2"/>
  <c r="I465" i="2"/>
  <c r="J465" i="2"/>
  <c r="L465" i="2"/>
  <c r="M465" i="2"/>
  <c r="I466" i="2"/>
  <c r="J466" i="2"/>
  <c r="L466" i="2"/>
  <c r="M466" i="2"/>
  <c r="I467" i="2"/>
  <c r="J467" i="2"/>
  <c r="L467" i="2"/>
  <c r="M467" i="2"/>
  <c r="I468" i="2"/>
  <c r="J468" i="2"/>
  <c r="L468" i="2"/>
  <c r="M468" i="2"/>
  <c r="I469" i="2"/>
  <c r="J469" i="2"/>
  <c r="L469" i="2"/>
  <c r="M469" i="2"/>
  <c r="I470" i="2"/>
  <c r="J470" i="2"/>
  <c r="L470" i="2"/>
  <c r="M470" i="2"/>
  <c r="I471" i="2"/>
  <c r="J471" i="2"/>
  <c r="L471" i="2"/>
  <c r="M471" i="2"/>
  <c r="I472" i="2"/>
  <c r="J472" i="2"/>
  <c r="L472" i="2"/>
  <c r="M472" i="2"/>
  <c r="I473" i="2"/>
  <c r="J473" i="2"/>
  <c r="L473" i="2"/>
  <c r="M473" i="2"/>
  <c r="I474" i="2"/>
  <c r="J474" i="2"/>
  <c r="L474" i="2"/>
  <c r="M474" i="2"/>
  <c r="I475" i="2"/>
  <c r="J475" i="2"/>
  <c r="L475" i="2"/>
  <c r="M475" i="2"/>
  <c r="I476" i="2"/>
  <c r="J476" i="2"/>
  <c r="L476" i="2"/>
  <c r="M476" i="2"/>
  <c r="I477" i="2"/>
  <c r="J477" i="2"/>
  <c r="L477" i="2"/>
  <c r="M477" i="2"/>
  <c r="I478" i="2"/>
  <c r="J478" i="2"/>
  <c r="L478" i="2"/>
  <c r="M478" i="2"/>
  <c r="I479" i="2"/>
  <c r="J479" i="2"/>
  <c r="L479" i="2"/>
  <c r="M479" i="2"/>
  <c r="I480" i="2"/>
  <c r="J480" i="2"/>
  <c r="L480" i="2"/>
  <c r="M480" i="2"/>
  <c r="I481" i="2"/>
  <c r="J481" i="2"/>
  <c r="L481" i="2"/>
  <c r="M481" i="2"/>
  <c r="I482" i="2"/>
  <c r="J482" i="2"/>
  <c r="L482" i="2"/>
  <c r="M482" i="2"/>
  <c r="I483" i="2"/>
  <c r="J483" i="2"/>
  <c r="L483" i="2"/>
  <c r="M483" i="2"/>
  <c r="I484" i="2"/>
  <c r="J484" i="2"/>
  <c r="L484" i="2"/>
  <c r="M484" i="2"/>
  <c r="I485" i="2"/>
  <c r="J485" i="2"/>
  <c r="L485" i="2"/>
  <c r="M485" i="2"/>
  <c r="I486" i="2"/>
  <c r="J486" i="2"/>
  <c r="L486" i="2"/>
  <c r="M486" i="2"/>
  <c r="I487" i="2"/>
  <c r="J487" i="2"/>
  <c r="L487" i="2"/>
  <c r="M487" i="2"/>
  <c r="I488" i="2"/>
  <c r="J488" i="2"/>
  <c r="L488" i="2"/>
  <c r="M488" i="2"/>
  <c r="I489" i="2"/>
  <c r="J489" i="2"/>
  <c r="L489" i="2"/>
  <c r="M489" i="2"/>
  <c r="I490" i="2"/>
  <c r="J490" i="2"/>
  <c r="L490" i="2"/>
  <c r="M490" i="2"/>
  <c r="I491" i="2"/>
  <c r="J491" i="2"/>
  <c r="L491" i="2"/>
  <c r="M491" i="2"/>
  <c r="I492" i="2"/>
  <c r="J492" i="2"/>
  <c r="L492" i="2"/>
  <c r="M492" i="2"/>
  <c r="I493" i="2"/>
  <c r="J493" i="2"/>
  <c r="L493" i="2"/>
  <c r="M493" i="2"/>
  <c r="I494" i="2"/>
  <c r="J494" i="2"/>
  <c r="L494" i="2"/>
  <c r="M494" i="2"/>
  <c r="I495" i="2"/>
  <c r="J495" i="2"/>
  <c r="L495" i="2"/>
  <c r="M495" i="2"/>
  <c r="I496" i="2"/>
  <c r="J496" i="2"/>
  <c r="L496" i="2"/>
  <c r="M496" i="2"/>
  <c r="I497" i="2"/>
  <c r="J497" i="2"/>
  <c r="L497" i="2"/>
  <c r="M497" i="2"/>
  <c r="I498" i="2"/>
  <c r="J498" i="2"/>
  <c r="L498" i="2"/>
  <c r="M498" i="2"/>
  <c r="I499" i="2"/>
  <c r="J499" i="2"/>
  <c r="L499" i="2"/>
  <c r="M499" i="2"/>
  <c r="I500" i="2"/>
  <c r="J500" i="2"/>
  <c r="L500" i="2"/>
  <c r="M500" i="2"/>
  <c r="I501" i="2"/>
  <c r="J501" i="2"/>
  <c r="L501" i="2"/>
  <c r="M501" i="2"/>
  <c r="I502" i="2"/>
  <c r="J502" i="2"/>
  <c r="L502" i="2"/>
  <c r="M502" i="2"/>
  <c r="I503" i="2"/>
  <c r="J503" i="2"/>
  <c r="L503" i="2"/>
  <c r="M503" i="2"/>
  <c r="I504" i="2"/>
  <c r="J504" i="2"/>
  <c r="L504" i="2"/>
  <c r="M504" i="2"/>
  <c r="I505" i="2"/>
  <c r="J505" i="2"/>
  <c r="L505" i="2"/>
  <c r="M505" i="2"/>
  <c r="I506" i="2"/>
  <c r="J506" i="2"/>
  <c r="L506" i="2"/>
  <c r="M506" i="2"/>
  <c r="I507" i="2"/>
  <c r="J507" i="2"/>
  <c r="L507" i="2"/>
  <c r="M507" i="2"/>
  <c r="I508" i="2"/>
  <c r="J508" i="2"/>
  <c r="L508" i="2"/>
  <c r="M508" i="2"/>
  <c r="I509" i="2"/>
  <c r="J509" i="2"/>
  <c r="L509" i="2"/>
  <c r="M509" i="2"/>
  <c r="I510" i="2"/>
  <c r="J510" i="2"/>
  <c r="L510" i="2"/>
  <c r="M510" i="2"/>
  <c r="I511" i="2"/>
  <c r="J511" i="2"/>
  <c r="L511" i="2"/>
  <c r="M511" i="2"/>
  <c r="I512" i="2"/>
  <c r="J512" i="2"/>
  <c r="L512" i="2"/>
  <c r="M512" i="2"/>
  <c r="I513" i="2"/>
  <c r="J513" i="2"/>
  <c r="L513" i="2"/>
  <c r="M513" i="2"/>
  <c r="I514" i="2"/>
  <c r="J514" i="2"/>
  <c r="L514" i="2"/>
  <c r="M514" i="2"/>
  <c r="I515" i="2"/>
  <c r="J515" i="2"/>
  <c r="L515" i="2"/>
  <c r="M515" i="2"/>
  <c r="I516" i="2"/>
  <c r="J516" i="2"/>
  <c r="L516" i="2"/>
  <c r="M516" i="2"/>
  <c r="I517" i="2"/>
  <c r="J517" i="2"/>
  <c r="L517" i="2"/>
  <c r="M517" i="2"/>
  <c r="I518" i="2"/>
  <c r="J518" i="2"/>
  <c r="L518" i="2"/>
  <c r="M518" i="2"/>
  <c r="I519" i="2"/>
  <c r="J519" i="2"/>
  <c r="L519" i="2"/>
  <c r="M519" i="2"/>
  <c r="I520" i="2"/>
  <c r="J520" i="2"/>
  <c r="L520" i="2"/>
  <c r="M520" i="2"/>
  <c r="I521" i="2"/>
  <c r="J521" i="2"/>
  <c r="L521" i="2"/>
  <c r="M521" i="2"/>
  <c r="I522" i="2"/>
  <c r="J522" i="2"/>
  <c r="L522" i="2"/>
  <c r="M522" i="2"/>
  <c r="I523" i="2"/>
  <c r="J523" i="2"/>
  <c r="L523" i="2"/>
  <c r="M523" i="2"/>
  <c r="I524" i="2"/>
  <c r="J524" i="2"/>
  <c r="L524" i="2"/>
  <c r="M524" i="2"/>
  <c r="I525" i="2"/>
  <c r="J525" i="2"/>
  <c r="L525" i="2"/>
  <c r="M525" i="2"/>
  <c r="I526" i="2"/>
  <c r="J526" i="2"/>
  <c r="L526" i="2"/>
  <c r="M526" i="2"/>
  <c r="I527" i="2"/>
  <c r="J527" i="2"/>
  <c r="L527" i="2"/>
  <c r="M527" i="2"/>
  <c r="I528" i="2"/>
  <c r="J528" i="2"/>
  <c r="L528" i="2"/>
  <c r="M528" i="2"/>
  <c r="I529" i="2"/>
  <c r="J529" i="2"/>
  <c r="L529" i="2"/>
  <c r="M529" i="2"/>
  <c r="I530" i="2"/>
  <c r="J530" i="2"/>
  <c r="L530" i="2"/>
  <c r="M530" i="2"/>
  <c r="I531" i="2"/>
  <c r="J531" i="2"/>
  <c r="L531" i="2"/>
  <c r="M531" i="2"/>
  <c r="I532" i="2"/>
  <c r="J532" i="2"/>
  <c r="L532" i="2"/>
  <c r="M532" i="2"/>
  <c r="I533" i="2"/>
  <c r="J533" i="2"/>
  <c r="L533" i="2"/>
  <c r="M533" i="2"/>
  <c r="I534" i="2"/>
  <c r="J534" i="2"/>
  <c r="L534" i="2"/>
  <c r="M534" i="2"/>
  <c r="I535" i="2"/>
  <c r="J535" i="2"/>
  <c r="L535" i="2"/>
  <c r="M535" i="2"/>
  <c r="I536" i="2"/>
  <c r="J536" i="2"/>
  <c r="L536" i="2"/>
  <c r="M536" i="2"/>
  <c r="I537" i="2"/>
  <c r="J537" i="2"/>
  <c r="L537" i="2"/>
  <c r="M537" i="2"/>
  <c r="I538" i="2"/>
  <c r="J538" i="2"/>
  <c r="L538" i="2"/>
  <c r="M538" i="2"/>
  <c r="I539" i="2"/>
  <c r="J539" i="2"/>
  <c r="L539" i="2"/>
  <c r="M539" i="2"/>
  <c r="I540" i="2"/>
  <c r="J540" i="2"/>
  <c r="L540" i="2"/>
  <c r="M540" i="2"/>
  <c r="I541" i="2"/>
  <c r="J541" i="2"/>
  <c r="L541" i="2"/>
  <c r="M541" i="2"/>
  <c r="I542" i="2"/>
  <c r="J542" i="2"/>
  <c r="L542" i="2"/>
  <c r="M542" i="2"/>
  <c r="I543" i="2"/>
  <c r="J543" i="2"/>
  <c r="L543" i="2"/>
  <c r="M543" i="2"/>
  <c r="I544" i="2"/>
  <c r="J544" i="2"/>
  <c r="L544" i="2"/>
  <c r="M544" i="2"/>
  <c r="I545" i="2"/>
  <c r="J545" i="2"/>
  <c r="L545" i="2"/>
  <c r="M545" i="2"/>
  <c r="I546" i="2"/>
  <c r="J546" i="2"/>
  <c r="L546" i="2"/>
  <c r="M546" i="2"/>
  <c r="I547" i="2"/>
  <c r="J547" i="2"/>
  <c r="L547" i="2"/>
  <c r="M547" i="2"/>
  <c r="I548" i="2"/>
  <c r="J548" i="2"/>
  <c r="L548" i="2"/>
  <c r="M548" i="2"/>
  <c r="I549" i="2"/>
  <c r="J549" i="2"/>
  <c r="L549" i="2"/>
  <c r="M549" i="2"/>
  <c r="I550" i="2"/>
  <c r="J550" i="2"/>
  <c r="L550" i="2"/>
  <c r="M550" i="2"/>
  <c r="I551" i="2"/>
  <c r="J551" i="2"/>
  <c r="L551" i="2"/>
  <c r="M551" i="2"/>
  <c r="I552" i="2"/>
  <c r="J552" i="2"/>
  <c r="L552" i="2"/>
  <c r="M552" i="2"/>
  <c r="I553" i="2"/>
  <c r="J553" i="2"/>
  <c r="L553" i="2"/>
  <c r="M553" i="2"/>
  <c r="I554" i="2"/>
  <c r="J554" i="2"/>
  <c r="L554" i="2"/>
  <c r="M554" i="2"/>
  <c r="I555" i="2"/>
  <c r="J555" i="2"/>
  <c r="L555" i="2"/>
  <c r="M555" i="2"/>
  <c r="I556" i="2"/>
  <c r="J556" i="2"/>
  <c r="L556" i="2"/>
  <c r="M556" i="2"/>
  <c r="I557" i="2"/>
  <c r="J557" i="2"/>
  <c r="L557" i="2"/>
  <c r="M557" i="2"/>
  <c r="I558" i="2"/>
  <c r="J558" i="2"/>
  <c r="L558" i="2"/>
  <c r="M558" i="2"/>
  <c r="I559" i="2"/>
  <c r="J559" i="2"/>
  <c r="L559" i="2"/>
  <c r="M559" i="2"/>
  <c r="I560" i="2"/>
  <c r="J560" i="2"/>
  <c r="L560" i="2"/>
  <c r="M560" i="2"/>
  <c r="I561" i="2"/>
  <c r="J561" i="2"/>
  <c r="L561" i="2"/>
  <c r="M561" i="2"/>
  <c r="I562" i="2"/>
  <c r="J562" i="2"/>
  <c r="L562" i="2"/>
  <c r="M562" i="2"/>
  <c r="I563" i="2"/>
  <c r="J563" i="2"/>
  <c r="L563" i="2"/>
  <c r="M563" i="2"/>
  <c r="I564" i="2"/>
  <c r="J564" i="2"/>
  <c r="L564" i="2"/>
  <c r="M564" i="2"/>
  <c r="I565" i="2"/>
  <c r="J565" i="2"/>
  <c r="L565" i="2"/>
  <c r="M565" i="2"/>
  <c r="I566" i="2"/>
  <c r="J566" i="2"/>
  <c r="L566" i="2"/>
  <c r="M566" i="2"/>
  <c r="I567" i="2"/>
  <c r="J567" i="2"/>
  <c r="L567" i="2"/>
  <c r="M567" i="2"/>
  <c r="I568" i="2"/>
  <c r="J568" i="2"/>
  <c r="L568" i="2"/>
  <c r="M568" i="2"/>
  <c r="I569" i="2"/>
  <c r="J569" i="2"/>
  <c r="L569" i="2"/>
  <c r="M569" i="2"/>
  <c r="I570" i="2"/>
  <c r="J570" i="2"/>
  <c r="L570" i="2"/>
  <c r="M570" i="2"/>
  <c r="I571" i="2"/>
  <c r="J571" i="2"/>
  <c r="L571" i="2"/>
  <c r="M571" i="2"/>
  <c r="I572" i="2"/>
  <c r="J572" i="2"/>
  <c r="L572" i="2"/>
  <c r="M572" i="2"/>
  <c r="I573" i="2"/>
  <c r="J573" i="2"/>
  <c r="L573" i="2"/>
  <c r="M573" i="2"/>
  <c r="I574" i="2"/>
  <c r="J574" i="2"/>
  <c r="L574" i="2"/>
  <c r="M574" i="2"/>
  <c r="I575" i="2"/>
  <c r="J575" i="2"/>
  <c r="L575" i="2"/>
  <c r="M575" i="2"/>
  <c r="I576" i="2"/>
  <c r="J576" i="2"/>
  <c r="L576" i="2"/>
  <c r="M576" i="2"/>
  <c r="I577" i="2"/>
  <c r="J577" i="2"/>
  <c r="L577" i="2"/>
  <c r="M577" i="2"/>
  <c r="I578" i="2"/>
  <c r="J578" i="2"/>
  <c r="L578" i="2"/>
  <c r="M578" i="2"/>
  <c r="I579" i="2"/>
  <c r="J579" i="2"/>
  <c r="L579" i="2"/>
  <c r="M579" i="2"/>
  <c r="I580" i="2"/>
  <c r="J580" i="2"/>
  <c r="L580" i="2"/>
  <c r="M580" i="2"/>
  <c r="I581" i="2"/>
  <c r="J581" i="2"/>
  <c r="L581" i="2"/>
  <c r="M581" i="2"/>
  <c r="I582" i="2"/>
  <c r="J582" i="2"/>
  <c r="L582" i="2"/>
  <c r="M582" i="2"/>
  <c r="I583" i="2"/>
  <c r="J583" i="2"/>
  <c r="L583" i="2"/>
  <c r="M583" i="2"/>
  <c r="I584" i="2"/>
  <c r="J584" i="2"/>
  <c r="L584" i="2"/>
  <c r="M584" i="2"/>
  <c r="I585" i="2"/>
  <c r="J585" i="2"/>
  <c r="L585" i="2"/>
  <c r="M585" i="2"/>
  <c r="I586" i="2"/>
  <c r="J586" i="2"/>
  <c r="L586" i="2"/>
  <c r="M586" i="2"/>
  <c r="I587" i="2"/>
  <c r="J587" i="2"/>
  <c r="L587" i="2"/>
  <c r="M587" i="2"/>
  <c r="I588" i="2"/>
  <c r="J588" i="2"/>
  <c r="L588" i="2"/>
  <c r="M588" i="2"/>
  <c r="I589" i="2"/>
  <c r="J589" i="2"/>
  <c r="L589" i="2"/>
  <c r="M589" i="2"/>
  <c r="I590" i="2"/>
  <c r="J590" i="2"/>
  <c r="L590" i="2"/>
  <c r="M590" i="2"/>
  <c r="I591" i="2"/>
  <c r="J591" i="2"/>
  <c r="L591" i="2"/>
  <c r="M591" i="2"/>
  <c r="I592" i="2"/>
  <c r="J592" i="2"/>
  <c r="L592" i="2"/>
  <c r="M592" i="2"/>
  <c r="I593" i="2"/>
  <c r="J593" i="2"/>
  <c r="L593" i="2"/>
  <c r="M593" i="2"/>
  <c r="I594" i="2"/>
  <c r="J594" i="2"/>
  <c r="L594" i="2"/>
  <c r="M594" i="2"/>
  <c r="I595" i="2"/>
  <c r="J595" i="2"/>
  <c r="L595" i="2"/>
  <c r="M595" i="2"/>
  <c r="I596" i="2"/>
  <c r="J596" i="2"/>
  <c r="L596" i="2"/>
  <c r="M596" i="2"/>
  <c r="I597" i="2"/>
  <c r="J597" i="2"/>
  <c r="L597" i="2"/>
  <c r="M597" i="2"/>
  <c r="I598" i="2"/>
  <c r="J598" i="2"/>
  <c r="L598" i="2"/>
  <c r="M598" i="2"/>
  <c r="I599" i="2"/>
  <c r="J599" i="2"/>
  <c r="L599" i="2"/>
  <c r="M599" i="2"/>
  <c r="I600" i="2"/>
  <c r="J600" i="2"/>
  <c r="L600" i="2"/>
  <c r="M600" i="2"/>
  <c r="I601" i="2"/>
  <c r="J601" i="2"/>
  <c r="L601" i="2"/>
  <c r="M601" i="2"/>
  <c r="I602" i="2"/>
  <c r="J602" i="2"/>
  <c r="L602" i="2"/>
  <c r="M602" i="2"/>
  <c r="I603" i="2"/>
  <c r="J603" i="2"/>
  <c r="L603" i="2"/>
  <c r="M603" i="2"/>
  <c r="I604" i="2"/>
  <c r="J604" i="2"/>
  <c r="L604" i="2"/>
  <c r="M604" i="2"/>
  <c r="I605" i="2"/>
  <c r="J605" i="2"/>
  <c r="L605" i="2"/>
  <c r="M605" i="2"/>
  <c r="I606" i="2"/>
  <c r="J606" i="2"/>
  <c r="L606" i="2"/>
  <c r="M606" i="2"/>
  <c r="I607" i="2"/>
  <c r="J607" i="2"/>
  <c r="L607" i="2"/>
  <c r="M607" i="2"/>
  <c r="I608" i="2"/>
  <c r="J608" i="2"/>
  <c r="L608" i="2"/>
  <c r="M608" i="2"/>
  <c r="I609" i="2"/>
  <c r="J609" i="2"/>
  <c r="L609" i="2"/>
  <c r="M609" i="2"/>
  <c r="I610" i="2"/>
  <c r="J610" i="2"/>
  <c r="L610" i="2"/>
  <c r="M610" i="2"/>
  <c r="I611" i="2"/>
  <c r="J611" i="2"/>
  <c r="L611" i="2"/>
  <c r="M611" i="2"/>
  <c r="I612" i="2"/>
  <c r="J612" i="2"/>
  <c r="L612" i="2"/>
  <c r="M612" i="2"/>
  <c r="I613" i="2"/>
  <c r="J613" i="2"/>
  <c r="L613" i="2"/>
  <c r="M613" i="2"/>
  <c r="I614" i="2"/>
  <c r="J614" i="2"/>
  <c r="L614" i="2"/>
  <c r="M614" i="2"/>
  <c r="I615" i="2"/>
  <c r="J615" i="2"/>
  <c r="L615" i="2"/>
  <c r="M615" i="2"/>
  <c r="I616" i="2"/>
  <c r="J616" i="2"/>
  <c r="L616" i="2"/>
  <c r="M616" i="2"/>
  <c r="I617" i="2"/>
  <c r="J617" i="2"/>
  <c r="L617" i="2"/>
  <c r="M617" i="2"/>
  <c r="I618" i="2"/>
  <c r="J618" i="2"/>
  <c r="L618" i="2"/>
  <c r="M618" i="2"/>
  <c r="I619" i="2"/>
  <c r="J619" i="2"/>
  <c r="L619" i="2"/>
  <c r="M619" i="2"/>
  <c r="I620" i="2"/>
  <c r="J620" i="2"/>
  <c r="L620" i="2"/>
  <c r="M620" i="2"/>
  <c r="I621" i="2"/>
  <c r="J621" i="2"/>
  <c r="L621" i="2"/>
  <c r="M621" i="2"/>
  <c r="I622" i="2"/>
  <c r="J622" i="2"/>
  <c r="L622" i="2"/>
  <c r="M622" i="2"/>
  <c r="I623" i="2"/>
  <c r="J623" i="2"/>
  <c r="L623" i="2"/>
  <c r="M623" i="2"/>
  <c r="I624" i="2"/>
  <c r="J624" i="2"/>
  <c r="L624" i="2"/>
  <c r="M624" i="2"/>
  <c r="I625" i="2"/>
  <c r="J625" i="2"/>
  <c r="L625" i="2"/>
  <c r="M625" i="2"/>
  <c r="I626" i="2"/>
  <c r="J626" i="2"/>
  <c r="L626" i="2"/>
  <c r="M626" i="2"/>
  <c r="I627" i="2"/>
  <c r="J627" i="2"/>
  <c r="L627" i="2"/>
  <c r="M627" i="2"/>
  <c r="I628" i="2"/>
  <c r="J628" i="2"/>
  <c r="L628" i="2"/>
  <c r="M628" i="2"/>
  <c r="I629" i="2"/>
  <c r="J629" i="2"/>
  <c r="L629" i="2"/>
  <c r="M629" i="2"/>
  <c r="I630" i="2"/>
  <c r="J630" i="2"/>
  <c r="L630" i="2"/>
  <c r="M630" i="2"/>
  <c r="I631" i="2"/>
  <c r="J631" i="2"/>
  <c r="L631" i="2"/>
  <c r="M631" i="2"/>
  <c r="I632" i="2"/>
  <c r="J632" i="2"/>
  <c r="L632" i="2"/>
  <c r="M632" i="2"/>
  <c r="I633" i="2"/>
  <c r="J633" i="2"/>
  <c r="L633" i="2"/>
  <c r="M633" i="2"/>
  <c r="I634" i="2"/>
  <c r="J634" i="2"/>
  <c r="L634" i="2"/>
  <c r="M634" i="2"/>
  <c r="I635" i="2"/>
  <c r="J635" i="2"/>
  <c r="L635" i="2"/>
  <c r="M635" i="2"/>
  <c r="I636" i="2"/>
  <c r="J636" i="2"/>
  <c r="L636" i="2"/>
  <c r="M636" i="2"/>
  <c r="I637" i="2"/>
  <c r="J637" i="2"/>
  <c r="L637" i="2"/>
  <c r="M637" i="2"/>
  <c r="I638" i="2"/>
  <c r="J638" i="2"/>
  <c r="L638" i="2"/>
  <c r="M638" i="2"/>
  <c r="I639" i="2"/>
  <c r="J639" i="2"/>
  <c r="L639" i="2"/>
  <c r="M639" i="2"/>
  <c r="I640" i="2"/>
  <c r="J640" i="2"/>
  <c r="L640" i="2"/>
  <c r="M640" i="2"/>
  <c r="I641" i="2"/>
  <c r="J641" i="2"/>
  <c r="L641" i="2"/>
  <c r="M641" i="2"/>
  <c r="I642" i="2"/>
  <c r="J642" i="2"/>
  <c r="L642" i="2"/>
  <c r="M642" i="2"/>
  <c r="I643" i="2"/>
  <c r="J643" i="2"/>
  <c r="L643" i="2"/>
  <c r="M643" i="2"/>
  <c r="I644" i="2"/>
  <c r="J644" i="2"/>
  <c r="L644" i="2"/>
  <c r="M644" i="2"/>
  <c r="I645" i="2"/>
  <c r="J645" i="2"/>
  <c r="L645" i="2"/>
  <c r="M645" i="2"/>
  <c r="I646" i="2"/>
  <c r="J646" i="2"/>
  <c r="L646" i="2"/>
  <c r="M646" i="2"/>
  <c r="I647" i="2"/>
  <c r="J647" i="2"/>
  <c r="L647" i="2"/>
  <c r="M647" i="2"/>
  <c r="I648" i="2"/>
  <c r="J648" i="2"/>
  <c r="L648" i="2"/>
  <c r="M648" i="2"/>
  <c r="I649" i="2"/>
  <c r="J649" i="2"/>
  <c r="L649" i="2"/>
  <c r="M649" i="2"/>
  <c r="I650" i="2"/>
  <c r="J650" i="2"/>
  <c r="L650" i="2"/>
  <c r="M650" i="2"/>
  <c r="I651" i="2"/>
  <c r="J651" i="2"/>
  <c r="L651" i="2"/>
  <c r="M651" i="2"/>
  <c r="I652" i="2"/>
  <c r="J652" i="2"/>
  <c r="L652" i="2"/>
  <c r="M652" i="2"/>
  <c r="I653" i="2"/>
  <c r="J653" i="2"/>
  <c r="L653" i="2"/>
  <c r="M653" i="2"/>
  <c r="I654" i="2"/>
  <c r="J654" i="2"/>
  <c r="L654" i="2"/>
  <c r="M654" i="2"/>
  <c r="I655" i="2"/>
  <c r="J655" i="2"/>
  <c r="L655" i="2"/>
  <c r="M655" i="2"/>
  <c r="I656" i="2"/>
  <c r="J656" i="2"/>
  <c r="L656" i="2"/>
  <c r="M656" i="2"/>
  <c r="I657" i="2"/>
  <c r="J657" i="2"/>
  <c r="L657" i="2"/>
  <c r="M657" i="2"/>
  <c r="I658" i="2"/>
  <c r="J658" i="2"/>
  <c r="L658" i="2"/>
  <c r="M658" i="2"/>
  <c r="I659" i="2"/>
  <c r="J659" i="2"/>
  <c r="L659" i="2"/>
  <c r="M659" i="2"/>
  <c r="I660" i="2"/>
  <c r="J660" i="2"/>
  <c r="L660" i="2"/>
  <c r="M660" i="2"/>
  <c r="I661" i="2"/>
  <c r="J661" i="2"/>
  <c r="L661" i="2"/>
  <c r="M661" i="2"/>
  <c r="I662" i="2"/>
  <c r="J662" i="2"/>
  <c r="L662" i="2"/>
  <c r="M662" i="2"/>
  <c r="I663" i="2"/>
  <c r="J663" i="2"/>
  <c r="L663" i="2"/>
  <c r="M663" i="2"/>
  <c r="I664" i="2"/>
  <c r="J664" i="2"/>
  <c r="L664" i="2"/>
  <c r="M664" i="2"/>
  <c r="I665" i="2"/>
  <c r="J665" i="2"/>
  <c r="L665" i="2"/>
  <c r="M665" i="2"/>
  <c r="I666" i="2"/>
  <c r="J666" i="2"/>
  <c r="L666" i="2"/>
  <c r="M666" i="2"/>
  <c r="I667" i="2"/>
  <c r="J667" i="2"/>
  <c r="L667" i="2"/>
  <c r="M667" i="2"/>
  <c r="I668" i="2"/>
  <c r="J668" i="2"/>
  <c r="L668" i="2"/>
  <c r="M668" i="2"/>
  <c r="I669" i="2"/>
  <c r="J669" i="2"/>
  <c r="L669" i="2"/>
  <c r="M669" i="2"/>
  <c r="I670" i="2"/>
  <c r="J670" i="2"/>
  <c r="L670" i="2"/>
  <c r="M670" i="2"/>
  <c r="I671" i="2"/>
  <c r="J671" i="2"/>
  <c r="L671" i="2"/>
  <c r="M671" i="2"/>
  <c r="I672" i="2"/>
  <c r="J672" i="2"/>
  <c r="L672" i="2"/>
  <c r="M672" i="2"/>
  <c r="I673" i="2"/>
  <c r="J673" i="2"/>
  <c r="L673" i="2"/>
  <c r="M673" i="2"/>
  <c r="I674" i="2"/>
  <c r="J674" i="2"/>
  <c r="L674" i="2"/>
  <c r="M674" i="2"/>
  <c r="I675" i="2"/>
  <c r="J675" i="2"/>
  <c r="L675" i="2"/>
  <c r="M675" i="2"/>
  <c r="I676" i="2"/>
  <c r="J676" i="2"/>
  <c r="L676" i="2"/>
  <c r="M676" i="2"/>
  <c r="I677" i="2"/>
  <c r="J677" i="2"/>
  <c r="L677" i="2"/>
  <c r="M677" i="2"/>
  <c r="I678" i="2"/>
  <c r="J678" i="2"/>
  <c r="L678" i="2"/>
  <c r="M678" i="2"/>
  <c r="I679" i="2"/>
  <c r="J679" i="2"/>
  <c r="L679" i="2"/>
  <c r="M679" i="2"/>
  <c r="I680" i="2"/>
  <c r="J680" i="2"/>
  <c r="L680" i="2"/>
  <c r="M680" i="2"/>
  <c r="I681" i="2"/>
  <c r="J681" i="2"/>
  <c r="L681" i="2"/>
  <c r="M681" i="2"/>
  <c r="I682" i="2"/>
  <c r="J682" i="2"/>
  <c r="L682" i="2"/>
  <c r="M682" i="2"/>
  <c r="I683" i="2"/>
  <c r="J683" i="2"/>
  <c r="L683" i="2"/>
  <c r="M683" i="2"/>
  <c r="I684" i="2"/>
  <c r="J684" i="2"/>
  <c r="L684" i="2"/>
  <c r="M684" i="2"/>
  <c r="I685" i="2"/>
  <c r="J685" i="2"/>
  <c r="L685" i="2"/>
  <c r="M685" i="2"/>
  <c r="I686" i="2"/>
  <c r="J686" i="2"/>
  <c r="L686" i="2"/>
  <c r="M686" i="2"/>
  <c r="I687" i="2"/>
  <c r="J687" i="2"/>
  <c r="L687" i="2"/>
  <c r="M687" i="2"/>
  <c r="I688" i="2"/>
  <c r="J688" i="2"/>
  <c r="L688" i="2"/>
  <c r="M688" i="2"/>
  <c r="I689" i="2"/>
  <c r="J689" i="2"/>
  <c r="L689" i="2"/>
  <c r="M689" i="2"/>
  <c r="I690" i="2"/>
  <c r="J690" i="2"/>
  <c r="L690" i="2"/>
  <c r="M690" i="2"/>
  <c r="I691" i="2"/>
  <c r="J691" i="2"/>
  <c r="L691" i="2"/>
  <c r="M691" i="2"/>
  <c r="I692" i="2"/>
  <c r="J692" i="2"/>
  <c r="L692" i="2"/>
  <c r="M692" i="2"/>
  <c r="I693" i="2"/>
  <c r="J693" i="2"/>
  <c r="L693" i="2"/>
  <c r="M693" i="2"/>
  <c r="I694" i="2"/>
  <c r="J694" i="2"/>
  <c r="L694" i="2"/>
  <c r="M694" i="2"/>
  <c r="I695" i="2"/>
  <c r="J695" i="2"/>
  <c r="L695" i="2"/>
  <c r="M695" i="2"/>
  <c r="I696" i="2"/>
  <c r="J696" i="2"/>
  <c r="L696" i="2"/>
  <c r="M696" i="2"/>
  <c r="I697" i="2"/>
  <c r="J697" i="2"/>
  <c r="L697" i="2"/>
  <c r="M697" i="2"/>
  <c r="I698" i="2"/>
  <c r="J698" i="2"/>
  <c r="L698" i="2"/>
  <c r="M698" i="2"/>
  <c r="I699" i="2"/>
  <c r="J699" i="2"/>
  <c r="L699" i="2"/>
  <c r="M699" i="2"/>
  <c r="I700" i="2"/>
  <c r="J700" i="2"/>
  <c r="L700" i="2"/>
  <c r="M700" i="2"/>
  <c r="I701" i="2"/>
  <c r="J701" i="2"/>
  <c r="L701" i="2"/>
  <c r="M701" i="2"/>
  <c r="I702" i="2"/>
  <c r="J702" i="2"/>
  <c r="L702" i="2"/>
  <c r="M702" i="2"/>
  <c r="I703" i="2"/>
  <c r="J703" i="2"/>
  <c r="L703" i="2"/>
  <c r="M703" i="2"/>
  <c r="I704" i="2"/>
  <c r="J704" i="2"/>
  <c r="L704" i="2"/>
  <c r="M704" i="2"/>
  <c r="I705" i="2"/>
  <c r="J705" i="2"/>
  <c r="L705" i="2"/>
  <c r="M705" i="2"/>
  <c r="I706" i="2"/>
  <c r="J706" i="2"/>
  <c r="L706" i="2"/>
  <c r="M706" i="2"/>
  <c r="I707" i="2"/>
  <c r="J707" i="2"/>
  <c r="L707" i="2"/>
  <c r="M707" i="2"/>
  <c r="I708" i="2"/>
  <c r="J708" i="2"/>
  <c r="L708" i="2"/>
  <c r="M708" i="2"/>
  <c r="I709" i="2"/>
  <c r="J709" i="2"/>
  <c r="L709" i="2"/>
  <c r="M709" i="2"/>
  <c r="I710" i="2"/>
  <c r="J710" i="2"/>
  <c r="L710" i="2"/>
  <c r="M710" i="2"/>
  <c r="I711" i="2"/>
  <c r="J711" i="2"/>
  <c r="L711" i="2"/>
  <c r="M711" i="2"/>
  <c r="I712" i="2"/>
  <c r="J712" i="2"/>
  <c r="L712" i="2"/>
  <c r="M712" i="2"/>
  <c r="I713" i="2"/>
  <c r="J713" i="2"/>
  <c r="L713" i="2"/>
  <c r="M713" i="2"/>
  <c r="I714" i="2"/>
  <c r="J714" i="2"/>
  <c r="L714" i="2"/>
  <c r="M714" i="2"/>
  <c r="I715" i="2"/>
  <c r="J715" i="2"/>
  <c r="L715" i="2"/>
  <c r="M715" i="2"/>
  <c r="I716" i="2"/>
  <c r="J716" i="2"/>
  <c r="L716" i="2"/>
  <c r="M716" i="2"/>
  <c r="I717" i="2"/>
  <c r="J717" i="2"/>
  <c r="L717" i="2"/>
  <c r="M717" i="2"/>
  <c r="I718" i="2"/>
  <c r="J718" i="2"/>
  <c r="L718" i="2"/>
  <c r="M718" i="2"/>
  <c r="I719" i="2"/>
  <c r="J719" i="2"/>
  <c r="L719" i="2"/>
  <c r="M719" i="2"/>
  <c r="I720" i="2"/>
  <c r="J720" i="2"/>
  <c r="L720" i="2"/>
  <c r="M720" i="2"/>
  <c r="I721" i="2"/>
  <c r="J721" i="2"/>
  <c r="L721" i="2"/>
  <c r="M721" i="2"/>
  <c r="I722" i="2"/>
  <c r="J722" i="2"/>
  <c r="L722" i="2"/>
  <c r="M722" i="2"/>
  <c r="I723" i="2"/>
  <c r="J723" i="2"/>
  <c r="L723" i="2"/>
  <c r="M723" i="2"/>
  <c r="I724" i="2"/>
  <c r="J724" i="2"/>
  <c r="L724" i="2"/>
  <c r="M724" i="2"/>
  <c r="I725" i="2"/>
  <c r="J725" i="2"/>
  <c r="L725" i="2"/>
  <c r="M725" i="2"/>
  <c r="I726" i="2"/>
  <c r="J726" i="2"/>
  <c r="L726" i="2"/>
  <c r="M726" i="2"/>
  <c r="I727" i="2"/>
  <c r="J727" i="2"/>
  <c r="L727" i="2"/>
  <c r="M727" i="2"/>
  <c r="I728" i="2"/>
  <c r="J728" i="2"/>
  <c r="L728" i="2"/>
  <c r="M728" i="2"/>
  <c r="I729" i="2"/>
  <c r="J729" i="2"/>
  <c r="L729" i="2"/>
  <c r="M729" i="2"/>
  <c r="I730" i="2"/>
  <c r="J730" i="2"/>
  <c r="L730" i="2"/>
  <c r="M730" i="2"/>
  <c r="I731" i="2"/>
  <c r="J731" i="2"/>
  <c r="L731" i="2"/>
  <c r="M731" i="2"/>
  <c r="I732" i="2"/>
  <c r="J732" i="2"/>
  <c r="L732" i="2"/>
  <c r="M732" i="2"/>
  <c r="I733" i="2"/>
  <c r="J733" i="2"/>
  <c r="L733" i="2"/>
  <c r="M733" i="2"/>
  <c r="I734" i="2"/>
  <c r="J734" i="2"/>
  <c r="L734" i="2"/>
  <c r="M734" i="2"/>
  <c r="I735" i="2"/>
  <c r="J735" i="2"/>
  <c r="L735" i="2"/>
  <c r="M735" i="2"/>
  <c r="I736" i="2"/>
  <c r="J736" i="2"/>
  <c r="L736" i="2"/>
  <c r="M736" i="2"/>
  <c r="I737" i="2"/>
  <c r="J737" i="2"/>
  <c r="L737" i="2"/>
  <c r="M737" i="2"/>
  <c r="I738" i="2"/>
  <c r="J738" i="2"/>
  <c r="L738" i="2"/>
  <c r="M738" i="2"/>
  <c r="I739" i="2"/>
  <c r="J739" i="2"/>
  <c r="L739" i="2"/>
  <c r="M739" i="2"/>
  <c r="I740" i="2"/>
  <c r="J740" i="2"/>
  <c r="L740" i="2"/>
  <c r="M740" i="2"/>
  <c r="I741" i="2"/>
  <c r="J741" i="2"/>
  <c r="L741" i="2"/>
  <c r="M741" i="2"/>
  <c r="I742" i="2"/>
  <c r="J742" i="2"/>
  <c r="L742" i="2"/>
  <c r="M742" i="2"/>
  <c r="I743" i="2"/>
  <c r="J743" i="2"/>
  <c r="L743" i="2"/>
  <c r="M743" i="2"/>
  <c r="I744" i="2"/>
  <c r="J744" i="2"/>
  <c r="L744" i="2"/>
  <c r="M744" i="2"/>
  <c r="I745" i="2"/>
  <c r="J745" i="2"/>
  <c r="L745" i="2"/>
  <c r="M745" i="2"/>
  <c r="I746" i="2"/>
  <c r="J746" i="2"/>
  <c r="L746" i="2"/>
  <c r="M746" i="2"/>
  <c r="I747" i="2"/>
  <c r="J747" i="2"/>
  <c r="L747" i="2"/>
  <c r="M747" i="2"/>
  <c r="I748" i="2"/>
  <c r="J748" i="2"/>
  <c r="L748" i="2"/>
  <c r="M748" i="2"/>
  <c r="I749" i="2"/>
  <c r="J749" i="2"/>
  <c r="L749" i="2"/>
  <c r="M749" i="2"/>
  <c r="I750" i="2"/>
  <c r="J750" i="2"/>
  <c r="L750" i="2"/>
  <c r="M750" i="2"/>
  <c r="I751" i="2"/>
  <c r="J751" i="2"/>
  <c r="L751" i="2"/>
  <c r="M751" i="2"/>
  <c r="I752" i="2"/>
  <c r="J752" i="2"/>
  <c r="L752" i="2"/>
  <c r="M752" i="2"/>
  <c r="I753" i="2"/>
  <c r="J753" i="2"/>
  <c r="L753" i="2"/>
  <c r="M753" i="2"/>
  <c r="I754" i="2"/>
  <c r="J754" i="2"/>
  <c r="L754" i="2"/>
  <c r="M754" i="2"/>
  <c r="I755" i="2"/>
  <c r="J755" i="2"/>
  <c r="L755" i="2"/>
  <c r="M755" i="2"/>
  <c r="I756" i="2"/>
  <c r="J756" i="2"/>
  <c r="L756" i="2"/>
  <c r="M756" i="2"/>
  <c r="I757" i="2"/>
  <c r="J757" i="2"/>
  <c r="L757" i="2"/>
  <c r="M757" i="2"/>
  <c r="I758" i="2"/>
  <c r="J758" i="2"/>
  <c r="L758" i="2"/>
  <c r="M758" i="2"/>
  <c r="I759" i="2"/>
  <c r="J759" i="2"/>
  <c r="L759" i="2"/>
  <c r="M759" i="2"/>
  <c r="I760" i="2"/>
  <c r="J760" i="2"/>
  <c r="L760" i="2"/>
  <c r="M760" i="2"/>
  <c r="I761" i="2"/>
  <c r="J761" i="2"/>
  <c r="L761" i="2"/>
  <c r="M761" i="2"/>
  <c r="I762" i="2"/>
  <c r="J762" i="2"/>
  <c r="L762" i="2"/>
  <c r="M762" i="2"/>
  <c r="I763" i="2"/>
  <c r="J763" i="2"/>
  <c r="L763" i="2"/>
  <c r="M763" i="2"/>
  <c r="I764" i="2"/>
  <c r="J764" i="2"/>
  <c r="L764" i="2"/>
  <c r="M764" i="2"/>
  <c r="I765" i="2"/>
  <c r="J765" i="2"/>
  <c r="L765" i="2"/>
  <c r="M765" i="2"/>
  <c r="I766" i="2"/>
  <c r="J766" i="2"/>
  <c r="L766" i="2"/>
  <c r="M766" i="2"/>
  <c r="I767" i="2"/>
  <c r="J767" i="2"/>
  <c r="L767" i="2"/>
  <c r="M767" i="2"/>
  <c r="I768" i="2"/>
  <c r="J768" i="2"/>
  <c r="L768" i="2"/>
  <c r="M768" i="2"/>
  <c r="I769" i="2"/>
  <c r="J769" i="2"/>
  <c r="L769" i="2"/>
  <c r="M769" i="2"/>
  <c r="I770" i="2"/>
  <c r="J770" i="2"/>
  <c r="L770" i="2"/>
  <c r="M770" i="2"/>
  <c r="I771" i="2"/>
  <c r="J771" i="2"/>
  <c r="L771" i="2"/>
  <c r="M771" i="2"/>
  <c r="I772" i="2"/>
  <c r="J772" i="2"/>
  <c r="L772" i="2"/>
  <c r="M772" i="2"/>
  <c r="I773" i="2"/>
  <c r="J773" i="2"/>
  <c r="L773" i="2"/>
  <c r="M773" i="2"/>
  <c r="I774" i="2"/>
  <c r="J774" i="2"/>
  <c r="L774" i="2"/>
  <c r="M774" i="2"/>
  <c r="I775" i="2"/>
  <c r="J775" i="2"/>
  <c r="L775" i="2"/>
  <c r="M775" i="2"/>
  <c r="I776" i="2"/>
  <c r="J776" i="2"/>
  <c r="L776" i="2"/>
  <c r="M776" i="2"/>
  <c r="I777" i="2"/>
  <c r="J777" i="2"/>
  <c r="L777" i="2"/>
  <c r="M777" i="2"/>
  <c r="I778" i="2"/>
  <c r="J778" i="2"/>
  <c r="L778" i="2"/>
  <c r="M778" i="2"/>
  <c r="I779" i="2"/>
  <c r="J779" i="2"/>
  <c r="L779" i="2"/>
  <c r="M779" i="2"/>
  <c r="I780" i="2"/>
  <c r="J780" i="2"/>
  <c r="L780" i="2"/>
  <c r="M780" i="2"/>
  <c r="I781" i="2"/>
  <c r="J781" i="2"/>
  <c r="L781" i="2"/>
  <c r="M781" i="2"/>
  <c r="I782" i="2"/>
  <c r="J782" i="2"/>
  <c r="L782" i="2"/>
  <c r="M782" i="2"/>
  <c r="I783" i="2"/>
  <c r="J783" i="2"/>
  <c r="L783" i="2"/>
  <c r="M783" i="2"/>
  <c r="I784" i="2"/>
  <c r="J784" i="2"/>
  <c r="L784" i="2"/>
  <c r="M784" i="2"/>
  <c r="I785" i="2"/>
  <c r="J785" i="2"/>
  <c r="L785" i="2"/>
  <c r="M785" i="2"/>
  <c r="I786" i="2"/>
  <c r="J786" i="2"/>
  <c r="L786" i="2"/>
  <c r="M786" i="2"/>
  <c r="I787" i="2"/>
  <c r="J787" i="2"/>
  <c r="L787" i="2"/>
  <c r="M787" i="2"/>
  <c r="I788" i="2"/>
  <c r="J788" i="2"/>
  <c r="L788" i="2"/>
  <c r="M788" i="2"/>
  <c r="I789" i="2"/>
  <c r="J789" i="2"/>
  <c r="L789" i="2"/>
  <c r="M789" i="2"/>
  <c r="I790" i="2"/>
  <c r="J790" i="2"/>
  <c r="L790" i="2"/>
  <c r="M790" i="2"/>
  <c r="I791" i="2"/>
  <c r="J791" i="2"/>
  <c r="L791" i="2"/>
  <c r="M791" i="2"/>
  <c r="I792" i="2"/>
  <c r="J792" i="2"/>
  <c r="L792" i="2"/>
  <c r="M792" i="2"/>
  <c r="I793" i="2"/>
  <c r="J793" i="2"/>
  <c r="L793" i="2"/>
  <c r="M793" i="2"/>
  <c r="I794" i="2"/>
  <c r="J794" i="2"/>
  <c r="L794" i="2"/>
  <c r="M794" i="2"/>
  <c r="I795" i="2"/>
  <c r="J795" i="2"/>
  <c r="L795" i="2"/>
  <c r="M795" i="2"/>
  <c r="I796" i="2"/>
  <c r="J796" i="2"/>
  <c r="L796" i="2"/>
  <c r="M796" i="2"/>
  <c r="I797" i="2"/>
  <c r="J797" i="2"/>
  <c r="L797" i="2"/>
  <c r="M797" i="2"/>
  <c r="I798" i="2"/>
  <c r="J798" i="2"/>
  <c r="L798" i="2"/>
  <c r="M798" i="2"/>
  <c r="I799" i="2"/>
  <c r="J799" i="2"/>
  <c r="L799" i="2"/>
  <c r="M799" i="2"/>
  <c r="I800" i="2"/>
  <c r="J800" i="2"/>
  <c r="L800" i="2"/>
  <c r="M800" i="2"/>
  <c r="I801" i="2"/>
  <c r="J801" i="2"/>
  <c r="L801" i="2"/>
  <c r="M801" i="2"/>
  <c r="I802" i="2"/>
  <c r="J802" i="2"/>
  <c r="L802" i="2"/>
  <c r="M802" i="2"/>
  <c r="I803" i="2"/>
  <c r="J803" i="2"/>
  <c r="L803" i="2"/>
  <c r="M803" i="2"/>
  <c r="I804" i="2"/>
  <c r="J804" i="2"/>
  <c r="L804" i="2"/>
  <c r="M804" i="2"/>
  <c r="I805" i="2"/>
  <c r="J805" i="2"/>
  <c r="L805" i="2"/>
  <c r="M805" i="2"/>
  <c r="I806" i="2"/>
  <c r="J806" i="2"/>
  <c r="L806" i="2"/>
  <c r="M806" i="2"/>
  <c r="I807" i="2"/>
  <c r="J807" i="2"/>
  <c r="L807" i="2"/>
  <c r="M807" i="2"/>
  <c r="I808" i="2"/>
  <c r="J808" i="2"/>
  <c r="L808" i="2"/>
  <c r="M808" i="2"/>
  <c r="I809" i="2"/>
  <c r="J809" i="2"/>
  <c r="L809" i="2"/>
  <c r="M809" i="2"/>
  <c r="I810" i="2"/>
  <c r="J810" i="2"/>
  <c r="L810" i="2"/>
  <c r="M810" i="2"/>
  <c r="I811" i="2"/>
  <c r="J811" i="2"/>
  <c r="L811" i="2"/>
  <c r="M811" i="2"/>
  <c r="I812" i="2"/>
  <c r="J812" i="2"/>
  <c r="L812" i="2"/>
  <c r="M812" i="2"/>
  <c r="I813" i="2"/>
  <c r="J813" i="2"/>
  <c r="L813" i="2"/>
  <c r="M813" i="2"/>
  <c r="I814" i="2"/>
  <c r="J814" i="2"/>
  <c r="L814" i="2"/>
  <c r="M814" i="2"/>
  <c r="I815" i="2"/>
  <c r="J815" i="2"/>
  <c r="L815" i="2"/>
  <c r="M815" i="2"/>
  <c r="I816" i="2"/>
  <c r="J816" i="2"/>
  <c r="L816" i="2"/>
  <c r="M816" i="2"/>
  <c r="I817" i="2"/>
  <c r="J817" i="2"/>
  <c r="L817" i="2"/>
  <c r="M817" i="2"/>
  <c r="I818" i="2"/>
  <c r="J818" i="2"/>
  <c r="L818" i="2"/>
  <c r="M818" i="2"/>
  <c r="I819" i="2"/>
  <c r="J819" i="2"/>
  <c r="L819" i="2"/>
  <c r="M819" i="2"/>
  <c r="I820" i="2"/>
  <c r="J820" i="2"/>
  <c r="L820" i="2"/>
  <c r="M820" i="2"/>
  <c r="I821" i="2"/>
  <c r="J821" i="2"/>
  <c r="L821" i="2"/>
  <c r="M821" i="2"/>
  <c r="I822" i="2"/>
  <c r="J822" i="2"/>
  <c r="L822" i="2"/>
  <c r="M822" i="2"/>
  <c r="I823" i="2"/>
  <c r="J823" i="2"/>
  <c r="L823" i="2"/>
  <c r="M823" i="2"/>
  <c r="I824" i="2"/>
  <c r="J824" i="2"/>
  <c r="L824" i="2"/>
  <c r="M824" i="2"/>
  <c r="I825" i="2"/>
  <c r="J825" i="2"/>
  <c r="L825" i="2"/>
  <c r="M825" i="2"/>
  <c r="I826" i="2"/>
  <c r="J826" i="2"/>
  <c r="L826" i="2"/>
  <c r="M826" i="2"/>
  <c r="I827" i="2"/>
  <c r="J827" i="2"/>
  <c r="L827" i="2"/>
  <c r="M827" i="2"/>
  <c r="I828" i="2"/>
  <c r="J828" i="2"/>
  <c r="L828" i="2"/>
  <c r="M828" i="2"/>
  <c r="I829" i="2"/>
  <c r="J829" i="2"/>
  <c r="L829" i="2"/>
  <c r="M829" i="2"/>
  <c r="I830" i="2"/>
  <c r="J830" i="2"/>
  <c r="L830" i="2"/>
  <c r="M830" i="2"/>
  <c r="I831" i="2"/>
  <c r="J831" i="2"/>
  <c r="L831" i="2"/>
  <c r="M831" i="2"/>
  <c r="I832" i="2"/>
  <c r="J832" i="2"/>
  <c r="L832" i="2"/>
  <c r="M832" i="2"/>
  <c r="I833" i="2"/>
  <c r="J833" i="2"/>
  <c r="L833" i="2"/>
  <c r="M833" i="2"/>
  <c r="I834" i="2"/>
  <c r="J834" i="2"/>
  <c r="L834" i="2"/>
  <c r="M834" i="2"/>
  <c r="I835" i="2"/>
  <c r="J835" i="2"/>
  <c r="L835" i="2"/>
  <c r="M835" i="2"/>
  <c r="I836" i="2"/>
  <c r="J836" i="2"/>
  <c r="L836" i="2"/>
  <c r="M836" i="2"/>
  <c r="I837" i="2"/>
  <c r="J837" i="2"/>
  <c r="L837" i="2"/>
  <c r="M837" i="2"/>
  <c r="I838" i="2"/>
  <c r="J838" i="2"/>
  <c r="L838" i="2"/>
  <c r="M838" i="2"/>
  <c r="I839" i="2"/>
  <c r="J839" i="2"/>
  <c r="L839" i="2"/>
  <c r="M839" i="2"/>
  <c r="I840" i="2"/>
  <c r="J840" i="2"/>
  <c r="L840" i="2"/>
  <c r="M840" i="2"/>
  <c r="I841" i="2"/>
  <c r="J841" i="2"/>
  <c r="L841" i="2"/>
  <c r="M841" i="2"/>
  <c r="I842" i="2"/>
  <c r="J842" i="2"/>
  <c r="L842" i="2"/>
  <c r="M842" i="2"/>
  <c r="I843" i="2"/>
  <c r="J843" i="2"/>
  <c r="L843" i="2"/>
  <c r="M843" i="2"/>
  <c r="I844" i="2"/>
  <c r="J844" i="2"/>
  <c r="L844" i="2"/>
  <c r="M844" i="2"/>
  <c r="I845" i="2"/>
  <c r="J845" i="2"/>
  <c r="L845" i="2"/>
  <c r="M845" i="2"/>
  <c r="I846" i="2"/>
  <c r="J846" i="2"/>
  <c r="L846" i="2"/>
  <c r="M846" i="2"/>
  <c r="I847" i="2"/>
  <c r="J847" i="2"/>
  <c r="L847" i="2"/>
  <c r="M847" i="2"/>
  <c r="I848" i="2"/>
  <c r="J848" i="2"/>
  <c r="L848" i="2"/>
  <c r="M848" i="2"/>
  <c r="I849" i="2"/>
  <c r="J849" i="2"/>
  <c r="L849" i="2"/>
  <c r="M849" i="2"/>
  <c r="I850" i="2"/>
  <c r="J850" i="2"/>
  <c r="L850" i="2"/>
  <c r="M850" i="2"/>
  <c r="I851" i="2"/>
  <c r="J851" i="2"/>
  <c r="L851" i="2"/>
  <c r="M851" i="2"/>
  <c r="I852" i="2"/>
  <c r="J852" i="2"/>
  <c r="L852" i="2"/>
  <c r="M852" i="2"/>
  <c r="I853" i="2"/>
  <c r="J853" i="2"/>
  <c r="L853" i="2"/>
  <c r="M853" i="2"/>
  <c r="I854" i="2"/>
  <c r="J854" i="2"/>
  <c r="L854" i="2"/>
  <c r="M854" i="2"/>
  <c r="I855" i="2"/>
  <c r="J855" i="2"/>
  <c r="L855" i="2"/>
  <c r="M855" i="2"/>
  <c r="I856" i="2"/>
  <c r="J856" i="2"/>
  <c r="L856" i="2"/>
  <c r="M856" i="2"/>
  <c r="I857" i="2"/>
  <c r="J857" i="2"/>
  <c r="L857" i="2"/>
  <c r="M857" i="2"/>
  <c r="I858" i="2"/>
  <c r="J858" i="2"/>
  <c r="L858" i="2"/>
  <c r="M858" i="2"/>
  <c r="I859" i="2"/>
  <c r="J859" i="2"/>
  <c r="L859" i="2"/>
  <c r="M859" i="2"/>
  <c r="I860" i="2"/>
  <c r="J860" i="2"/>
  <c r="L860" i="2"/>
  <c r="M860" i="2"/>
  <c r="I861" i="2"/>
  <c r="J861" i="2"/>
  <c r="L861" i="2"/>
  <c r="M861" i="2"/>
  <c r="I862" i="2"/>
  <c r="J862" i="2"/>
  <c r="L862" i="2"/>
  <c r="M862" i="2"/>
  <c r="I863" i="2"/>
  <c r="J863" i="2"/>
  <c r="L863" i="2"/>
  <c r="M863" i="2"/>
  <c r="I864" i="2"/>
  <c r="J864" i="2"/>
  <c r="L864" i="2"/>
  <c r="M864" i="2"/>
  <c r="I865" i="2"/>
  <c r="J865" i="2"/>
  <c r="L865" i="2"/>
  <c r="M865" i="2"/>
  <c r="I866" i="2"/>
  <c r="J866" i="2"/>
  <c r="L866" i="2"/>
  <c r="M866" i="2"/>
  <c r="I867" i="2"/>
  <c r="J867" i="2"/>
  <c r="L867" i="2"/>
  <c r="M867" i="2"/>
  <c r="I868" i="2"/>
  <c r="J868" i="2"/>
  <c r="L868" i="2"/>
  <c r="M868" i="2"/>
  <c r="I869" i="2"/>
  <c r="J869" i="2"/>
  <c r="L869" i="2"/>
  <c r="M869" i="2"/>
  <c r="I870" i="2"/>
  <c r="J870" i="2"/>
  <c r="L870" i="2"/>
  <c r="M870" i="2"/>
  <c r="I871" i="2"/>
  <c r="J871" i="2"/>
  <c r="L871" i="2"/>
  <c r="M871" i="2"/>
  <c r="I872" i="2"/>
  <c r="J872" i="2"/>
  <c r="L872" i="2"/>
  <c r="M872" i="2"/>
  <c r="I873" i="2"/>
  <c r="J873" i="2"/>
  <c r="L873" i="2"/>
  <c r="M873" i="2"/>
  <c r="I874" i="2"/>
  <c r="J874" i="2"/>
  <c r="L874" i="2"/>
  <c r="M874" i="2"/>
  <c r="I875" i="2"/>
  <c r="J875" i="2"/>
  <c r="L875" i="2"/>
  <c r="M875" i="2"/>
  <c r="I876" i="2"/>
  <c r="J876" i="2"/>
  <c r="L876" i="2"/>
  <c r="M876" i="2"/>
  <c r="I877" i="2"/>
  <c r="J877" i="2"/>
  <c r="L877" i="2"/>
  <c r="M877" i="2"/>
  <c r="I878" i="2"/>
  <c r="J878" i="2"/>
  <c r="L878" i="2"/>
  <c r="M878" i="2"/>
  <c r="I879" i="2"/>
  <c r="J879" i="2"/>
  <c r="L879" i="2"/>
  <c r="M879" i="2"/>
  <c r="I880" i="2"/>
  <c r="J880" i="2"/>
  <c r="L880" i="2"/>
  <c r="M880" i="2"/>
  <c r="I881" i="2"/>
  <c r="J881" i="2"/>
  <c r="L881" i="2"/>
  <c r="M881" i="2"/>
  <c r="I882" i="2"/>
  <c r="J882" i="2"/>
  <c r="L882" i="2"/>
  <c r="M882" i="2"/>
  <c r="I883" i="2"/>
  <c r="J883" i="2"/>
  <c r="L883" i="2"/>
  <c r="M883" i="2"/>
  <c r="I884" i="2"/>
  <c r="J884" i="2"/>
  <c r="L884" i="2"/>
  <c r="M884" i="2"/>
  <c r="I885" i="2"/>
  <c r="J885" i="2"/>
  <c r="L885" i="2"/>
  <c r="M885" i="2"/>
  <c r="I886" i="2"/>
  <c r="J886" i="2"/>
  <c r="L886" i="2"/>
  <c r="M886" i="2"/>
  <c r="I887" i="2"/>
  <c r="J887" i="2"/>
  <c r="L887" i="2"/>
  <c r="M887" i="2"/>
  <c r="I888" i="2"/>
  <c r="J888" i="2"/>
  <c r="L888" i="2"/>
  <c r="M888" i="2"/>
  <c r="I889" i="2"/>
  <c r="J889" i="2"/>
  <c r="L889" i="2"/>
  <c r="M889" i="2"/>
  <c r="I890" i="2"/>
  <c r="J890" i="2"/>
  <c r="L890" i="2"/>
  <c r="M890" i="2"/>
  <c r="I891" i="2"/>
  <c r="J891" i="2"/>
  <c r="L891" i="2"/>
  <c r="M891" i="2"/>
  <c r="I892" i="2"/>
  <c r="J892" i="2"/>
  <c r="L892" i="2"/>
  <c r="M892" i="2"/>
  <c r="I893" i="2"/>
  <c r="J893" i="2"/>
  <c r="L893" i="2"/>
  <c r="M893" i="2"/>
  <c r="I894" i="2"/>
  <c r="J894" i="2"/>
  <c r="L894" i="2"/>
  <c r="M894" i="2"/>
  <c r="I895" i="2"/>
  <c r="J895" i="2"/>
  <c r="L895" i="2"/>
  <c r="M895" i="2"/>
  <c r="I896" i="2"/>
  <c r="J896" i="2"/>
  <c r="L896" i="2"/>
  <c r="M896" i="2"/>
  <c r="I897" i="2"/>
  <c r="J897" i="2"/>
  <c r="L897" i="2"/>
  <c r="M897" i="2"/>
  <c r="I898" i="2"/>
  <c r="J898" i="2"/>
  <c r="L898" i="2"/>
  <c r="M898" i="2"/>
  <c r="I899" i="2"/>
  <c r="J899" i="2"/>
  <c r="L899" i="2"/>
  <c r="M899" i="2"/>
  <c r="I900" i="2"/>
  <c r="J900" i="2"/>
  <c r="L900" i="2"/>
  <c r="M900" i="2"/>
  <c r="I901" i="2"/>
  <c r="J901" i="2"/>
  <c r="L901" i="2"/>
  <c r="M901" i="2"/>
  <c r="I902" i="2"/>
  <c r="J902" i="2"/>
  <c r="L902" i="2"/>
  <c r="M902" i="2"/>
  <c r="I903" i="2"/>
  <c r="J903" i="2"/>
  <c r="L903" i="2"/>
  <c r="M903" i="2"/>
  <c r="I904" i="2"/>
  <c r="J904" i="2"/>
  <c r="L904" i="2"/>
  <c r="M904" i="2"/>
  <c r="I905" i="2"/>
  <c r="J905" i="2"/>
  <c r="L905" i="2"/>
  <c r="M905" i="2"/>
  <c r="I906" i="2"/>
  <c r="J906" i="2"/>
  <c r="L906" i="2"/>
  <c r="M906" i="2"/>
  <c r="I907" i="2"/>
  <c r="J907" i="2"/>
  <c r="L907" i="2"/>
  <c r="M907" i="2"/>
  <c r="I908" i="2"/>
  <c r="J908" i="2"/>
  <c r="L908" i="2"/>
  <c r="M908" i="2"/>
  <c r="I909" i="2"/>
  <c r="J909" i="2"/>
  <c r="L909" i="2"/>
  <c r="M909" i="2"/>
  <c r="I910" i="2"/>
  <c r="J910" i="2"/>
  <c r="L910" i="2"/>
  <c r="M910" i="2"/>
  <c r="I911" i="2"/>
  <c r="J911" i="2"/>
  <c r="L911" i="2"/>
  <c r="M911" i="2"/>
  <c r="I912" i="2"/>
  <c r="J912" i="2"/>
  <c r="L912" i="2"/>
  <c r="M912" i="2"/>
  <c r="I913" i="2"/>
  <c r="J913" i="2"/>
  <c r="L913" i="2"/>
  <c r="M913" i="2"/>
  <c r="I914" i="2"/>
  <c r="J914" i="2"/>
  <c r="L914" i="2"/>
  <c r="M914" i="2"/>
  <c r="I915" i="2"/>
  <c r="J915" i="2"/>
  <c r="L915" i="2"/>
  <c r="M915" i="2"/>
  <c r="I916" i="2"/>
  <c r="J916" i="2"/>
  <c r="L916" i="2"/>
  <c r="M916" i="2"/>
  <c r="I917" i="2"/>
  <c r="J917" i="2"/>
  <c r="L917" i="2"/>
  <c r="M917" i="2"/>
  <c r="I918" i="2"/>
  <c r="J918" i="2"/>
  <c r="L918" i="2"/>
  <c r="M918" i="2"/>
  <c r="I919" i="2"/>
  <c r="J919" i="2"/>
  <c r="L919" i="2"/>
  <c r="M919" i="2"/>
  <c r="I920" i="2"/>
  <c r="J920" i="2"/>
  <c r="L920" i="2"/>
  <c r="M920" i="2"/>
  <c r="I921" i="2"/>
  <c r="J921" i="2"/>
  <c r="L921" i="2"/>
  <c r="M921" i="2"/>
  <c r="I922" i="2"/>
  <c r="J922" i="2"/>
  <c r="L922" i="2"/>
  <c r="M922" i="2"/>
  <c r="I923" i="2"/>
  <c r="J923" i="2"/>
  <c r="L923" i="2"/>
  <c r="M923" i="2"/>
  <c r="I924" i="2"/>
  <c r="J924" i="2"/>
  <c r="L924" i="2"/>
  <c r="M924" i="2"/>
  <c r="I925" i="2"/>
  <c r="J925" i="2"/>
  <c r="L925" i="2"/>
  <c r="M925" i="2"/>
  <c r="I926" i="2"/>
  <c r="J926" i="2"/>
  <c r="L926" i="2"/>
  <c r="M926" i="2"/>
  <c r="I927" i="2"/>
  <c r="J927" i="2"/>
  <c r="L927" i="2"/>
  <c r="M927" i="2"/>
  <c r="I928" i="2"/>
  <c r="J928" i="2"/>
  <c r="L928" i="2"/>
  <c r="M928" i="2"/>
  <c r="I929" i="2"/>
  <c r="J929" i="2"/>
  <c r="L929" i="2"/>
  <c r="M929" i="2"/>
  <c r="I930" i="2"/>
  <c r="J930" i="2"/>
  <c r="L930" i="2"/>
  <c r="M930" i="2"/>
  <c r="I931" i="2"/>
  <c r="J931" i="2"/>
  <c r="L931" i="2"/>
  <c r="M931" i="2"/>
  <c r="I932" i="2"/>
  <c r="J932" i="2"/>
  <c r="L932" i="2"/>
  <c r="M932" i="2"/>
  <c r="I933" i="2"/>
  <c r="J933" i="2"/>
  <c r="L933" i="2"/>
  <c r="M933" i="2"/>
  <c r="I934" i="2"/>
  <c r="J934" i="2"/>
  <c r="L934" i="2"/>
  <c r="M934" i="2"/>
  <c r="I935" i="2"/>
  <c r="J935" i="2"/>
  <c r="L935" i="2"/>
  <c r="M935" i="2"/>
  <c r="I936" i="2"/>
  <c r="J936" i="2"/>
  <c r="L936" i="2"/>
  <c r="M936" i="2"/>
  <c r="I937" i="2"/>
  <c r="J937" i="2"/>
  <c r="L937" i="2"/>
  <c r="M937" i="2"/>
  <c r="I938" i="2"/>
  <c r="J938" i="2"/>
  <c r="L938" i="2"/>
  <c r="M938" i="2"/>
  <c r="I939" i="2"/>
  <c r="J939" i="2"/>
  <c r="L939" i="2"/>
  <c r="M939" i="2"/>
  <c r="I940" i="2"/>
  <c r="J940" i="2"/>
  <c r="L940" i="2"/>
  <c r="M940" i="2"/>
  <c r="I941" i="2"/>
  <c r="J941" i="2"/>
  <c r="L941" i="2"/>
  <c r="M941" i="2"/>
  <c r="I942" i="2"/>
  <c r="J942" i="2"/>
  <c r="L942" i="2"/>
  <c r="M942" i="2"/>
  <c r="I943" i="2"/>
  <c r="J943" i="2"/>
  <c r="L943" i="2"/>
  <c r="M943" i="2"/>
  <c r="I944" i="2"/>
  <c r="J944" i="2"/>
  <c r="L944" i="2"/>
  <c r="M944" i="2"/>
  <c r="I945" i="2"/>
  <c r="J945" i="2"/>
  <c r="L945" i="2"/>
  <c r="M945" i="2"/>
  <c r="I946" i="2"/>
  <c r="J946" i="2"/>
  <c r="L946" i="2"/>
  <c r="M946" i="2"/>
  <c r="I947" i="2"/>
  <c r="J947" i="2"/>
  <c r="L947" i="2"/>
  <c r="M947" i="2"/>
  <c r="I948" i="2"/>
  <c r="J948" i="2"/>
  <c r="L948" i="2"/>
  <c r="M948" i="2"/>
  <c r="I949" i="2"/>
  <c r="J949" i="2"/>
  <c r="L949" i="2"/>
  <c r="M949" i="2"/>
  <c r="I950" i="2"/>
  <c r="J950" i="2"/>
  <c r="L950" i="2"/>
  <c r="M950" i="2"/>
  <c r="I951" i="2"/>
  <c r="J951" i="2"/>
  <c r="L951" i="2"/>
  <c r="M951" i="2"/>
  <c r="I952" i="2"/>
  <c r="J952" i="2"/>
  <c r="L952" i="2"/>
  <c r="M952" i="2"/>
  <c r="I953" i="2"/>
  <c r="J953" i="2"/>
  <c r="L953" i="2"/>
  <c r="M953" i="2"/>
  <c r="I954" i="2"/>
  <c r="J954" i="2"/>
  <c r="L954" i="2"/>
  <c r="M954" i="2"/>
  <c r="I955" i="2"/>
  <c r="J955" i="2"/>
  <c r="L955" i="2"/>
  <c r="M955" i="2"/>
  <c r="I956" i="2"/>
  <c r="J956" i="2"/>
  <c r="L956" i="2"/>
  <c r="M956" i="2"/>
  <c r="I957" i="2"/>
  <c r="J957" i="2"/>
  <c r="L957" i="2"/>
  <c r="M957" i="2"/>
  <c r="I958" i="2"/>
  <c r="J958" i="2"/>
  <c r="L958" i="2"/>
  <c r="M958" i="2"/>
  <c r="I959" i="2"/>
  <c r="J959" i="2"/>
  <c r="L959" i="2"/>
  <c r="M959" i="2"/>
  <c r="I960" i="2"/>
  <c r="J960" i="2"/>
  <c r="L960" i="2"/>
  <c r="M960" i="2"/>
  <c r="I961" i="2"/>
  <c r="J961" i="2"/>
  <c r="L961" i="2"/>
  <c r="M961" i="2"/>
  <c r="I962" i="2"/>
  <c r="J962" i="2"/>
  <c r="L962" i="2"/>
  <c r="M962" i="2"/>
  <c r="I963" i="2"/>
  <c r="J963" i="2"/>
  <c r="L963" i="2"/>
  <c r="M963" i="2"/>
  <c r="I964" i="2"/>
  <c r="J964" i="2"/>
  <c r="L964" i="2"/>
  <c r="M964" i="2"/>
  <c r="I965" i="2"/>
  <c r="J965" i="2"/>
  <c r="L965" i="2"/>
  <c r="M965" i="2"/>
  <c r="I966" i="2"/>
  <c r="J966" i="2"/>
  <c r="L966" i="2"/>
  <c r="M966" i="2"/>
  <c r="I967" i="2"/>
  <c r="J967" i="2"/>
  <c r="L967" i="2"/>
  <c r="M967" i="2"/>
  <c r="I968" i="2"/>
  <c r="J968" i="2"/>
  <c r="L968" i="2"/>
  <c r="M968" i="2"/>
  <c r="I969" i="2"/>
  <c r="J969" i="2"/>
  <c r="L969" i="2"/>
  <c r="M969" i="2"/>
  <c r="I970" i="2"/>
  <c r="J970" i="2"/>
  <c r="L970" i="2"/>
  <c r="M970" i="2"/>
  <c r="I971" i="2"/>
  <c r="J971" i="2"/>
  <c r="L971" i="2"/>
  <c r="M971" i="2"/>
  <c r="I972" i="2"/>
  <c r="J972" i="2"/>
  <c r="L972" i="2"/>
  <c r="M972" i="2"/>
  <c r="I973" i="2"/>
  <c r="J973" i="2"/>
  <c r="L973" i="2"/>
  <c r="M973" i="2"/>
  <c r="I974" i="2"/>
  <c r="J974" i="2"/>
  <c r="L974" i="2"/>
  <c r="M974" i="2"/>
  <c r="I975" i="2"/>
  <c r="J975" i="2"/>
  <c r="L975" i="2"/>
  <c r="M975" i="2"/>
  <c r="I976" i="2"/>
  <c r="J976" i="2"/>
  <c r="L976" i="2"/>
  <c r="M976" i="2"/>
  <c r="I977" i="2"/>
  <c r="J977" i="2"/>
  <c r="L977" i="2"/>
  <c r="M977" i="2"/>
  <c r="I978" i="2"/>
  <c r="J978" i="2"/>
  <c r="L978" i="2"/>
  <c r="M978" i="2"/>
  <c r="I979" i="2"/>
  <c r="J979" i="2"/>
  <c r="L979" i="2"/>
  <c r="M979" i="2"/>
  <c r="I980" i="2"/>
  <c r="J980" i="2"/>
  <c r="L980" i="2"/>
  <c r="M980" i="2"/>
  <c r="I981" i="2"/>
  <c r="J981" i="2"/>
  <c r="L981" i="2"/>
  <c r="M981" i="2"/>
  <c r="I982" i="2"/>
  <c r="J982" i="2"/>
  <c r="L982" i="2"/>
  <c r="M982" i="2"/>
  <c r="I983" i="2"/>
  <c r="J983" i="2"/>
  <c r="L983" i="2"/>
  <c r="M983" i="2"/>
  <c r="I984" i="2"/>
  <c r="J984" i="2"/>
  <c r="L984" i="2"/>
  <c r="M984" i="2"/>
  <c r="I985" i="2"/>
  <c r="J985" i="2"/>
  <c r="L985" i="2"/>
  <c r="M985" i="2"/>
  <c r="I986" i="2"/>
  <c r="J986" i="2"/>
  <c r="L986" i="2"/>
  <c r="M986" i="2"/>
  <c r="I987" i="2"/>
  <c r="J987" i="2"/>
  <c r="L987" i="2"/>
  <c r="M987" i="2"/>
  <c r="I988" i="2"/>
  <c r="J988" i="2"/>
  <c r="L988" i="2"/>
  <c r="M988" i="2"/>
  <c r="I989" i="2"/>
  <c r="J989" i="2"/>
  <c r="L989" i="2"/>
  <c r="M989" i="2"/>
  <c r="I990" i="2"/>
  <c r="J990" i="2"/>
  <c r="L990" i="2"/>
  <c r="M990" i="2"/>
  <c r="I991" i="2"/>
  <c r="J991" i="2"/>
  <c r="L991" i="2"/>
  <c r="M991" i="2"/>
  <c r="I992" i="2"/>
  <c r="J992" i="2"/>
  <c r="L992" i="2"/>
  <c r="M992" i="2"/>
  <c r="I993" i="2"/>
  <c r="J993" i="2"/>
  <c r="L993" i="2"/>
  <c r="M993" i="2"/>
  <c r="I994" i="2"/>
  <c r="J994" i="2"/>
  <c r="L994" i="2"/>
  <c r="M994" i="2"/>
  <c r="I995" i="2"/>
  <c r="J995" i="2"/>
  <c r="L995" i="2"/>
  <c r="M995" i="2"/>
  <c r="I996" i="2"/>
  <c r="J996" i="2"/>
  <c r="L996" i="2"/>
  <c r="M996" i="2"/>
  <c r="I997" i="2"/>
  <c r="J997" i="2"/>
  <c r="L997" i="2"/>
  <c r="M997" i="2"/>
  <c r="I998" i="2"/>
  <c r="J998" i="2"/>
  <c r="L998" i="2"/>
  <c r="M998" i="2"/>
  <c r="I999" i="2"/>
  <c r="J999" i="2"/>
  <c r="L999" i="2"/>
  <c r="M999" i="2"/>
  <c r="I1000" i="2"/>
  <c r="J1000" i="2"/>
  <c r="L1000" i="2"/>
  <c r="M1000" i="2"/>
  <c r="I1001" i="2"/>
  <c r="J1001" i="2"/>
  <c r="L1001" i="2"/>
  <c r="M1001" i="2"/>
  <c r="I1002" i="2"/>
  <c r="J1002" i="2"/>
  <c r="L1002" i="2"/>
  <c r="M1002" i="2"/>
  <c r="I1003" i="2"/>
  <c r="J1003" i="2"/>
  <c r="L1003" i="2"/>
  <c r="M1003" i="2"/>
  <c r="I1004" i="2"/>
  <c r="J1004" i="2"/>
  <c r="L1004" i="2"/>
  <c r="M1004" i="2"/>
  <c r="I1005" i="2"/>
  <c r="J1005" i="2"/>
  <c r="L1005" i="2"/>
  <c r="M1005" i="2"/>
  <c r="I1006" i="2"/>
  <c r="J1006" i="2"/>
  <c r="L1006" i="2"/>
  <c r="M1006" i="2"/>
  <c r="I1007" i="2"/>
  <c r="J1007" i="2"/>
  <c r="L1007" i="2"/>
  <c r="M1007" i="2"/>
  <c r="I1008" i="2"/>
  <c r="J1008" i="2"/>
  <c r="L1008" i="2"/>
  <c r="M1008" i="2"/>
  <c r="I1009" i="2"/>
  <c r="J1009" i="2"/>
  <c r="L1009" i="2"/>
  <c r="M1009" i="2"/>
  <c r="I1010" i="2"/>
  <c r="J1010" i="2"/>
  <c r="L1010" i="2"/>
  <c r="M1010" i="2"/>
  <c r="I1011" i="2"/>
  <c r="J1011" i="2"/>
  <c r="L1011" i="2"/>
  <c r="M1011" i="2"/>
  <c r="I1012" i="2"/>
  <c r="J1012" i="2"/>
  <c r="L1012" i="2"/>
  <c r="M1012" i="2"/>
  <c r="I1013" i="2"/>
  <c r="J1013" i="2"/>
  <c r="L1013" i="2"/>
  <c r="M1013" i="2"/>
  <c r="I1014" i="2"/>
  <c r="J1014" i="2"/>
  <c r="L1014" i="2"/>
  <c r="M1014" i="2"/>
  <c r="I1015" i="2"/>
  <c r="J1015" i="2"/>
  <c r="L1015" i="2"/>
  <c r="M1015" i="2"/>
  <c r="I1016" i="2"/>
  <c r="J1016" i="2"/>
  <c r="L1016" i="2"/>
  <c r="M1016" i="2"/>
  <c r="I1017" i="2"/>
  <c r="J1017" i="2"/>
  <c r="L1017" i="2"/>
  <c r="M1017" i="2"/>
  <c r="I1018" i="2"/>
  <c r="J1018" i="2"/>
  <c r="L1018" i="2"/>
  <c r="M1018" i="2"/>
  <c r="I1019" i="2"/>
  <c r="J1019" i="2"/>
  <c r="L1019" i="2"/>
  <c r="M1019" i="2"/>
  <c r="I1020" i="2"/>
  <c r="J1020" i="2"/>
  <c r="L1020" i="2"/>
  <c r="M1020" i="2"/>
  <c r="I1021" i="2"/>
  <c r="J1021" i="2"/>
  <c r="L1021" i="2"/>
  <c r="M1021" i="2"/>
  <c r="I1022" i="2"/>
  <c r="J1022" i="2"/>
  <c r="L1022" i="2"/>
  <c r="M1022" i="2"/>
  <c r="I1023" i="2"/>
  <c r="J1023" i="2"/>
  <c r="L1023" i="2"/>
  <c r="M1023" i="2"/>
  <c r="I1024" i="2"/>
  <c r="J1024" i="2"/>
  <c r="L1024" i="2"/>
  <c r="M1024" i="2"/>
  <c r="I1025" i="2"/>
  <c r="J1025" i="2"/>
  <c r="L1025" i="2"/>
  <c r="M1025" i="2"/>
  <c r="I1026" i="2"/>
  <c r="J1026" i="2"/>
  <c r="L1026" i="2"/>
  <c r="M1026" i="2"/>
  <c r="I1027" i="2"/>
  <c r="J1027" i="2"/>
  <c r="L1027" i="2"/>
  <c r="M1027" i="2"/>
  <c r="I1028" i="2"/>
  <c r="J1028" i="2"/>
  <c r="L1028" i="2"/>
  <c r="M1028" i="2"/>
  <c r="I1029" i="2"/>
  <c r="J1029" i="2"/>
  <c r="L1029" i="2"/>
  <c r="M1029" i="2"/>
  <c r="I1030" i="2"/>
  <c r="J1030" i="2"/>
  <c r="L1030" i="2"/>
  <c r="M1030" i="2"/>
  <c r="I1031" i="2"/>
  <c r="J1031" i="2"/>
  <c r="L1031" i="2"/>
  <c r="M1031" i="2"/>
  <c r="I1032" i="2"/>
  <c r="J1032" i="2"/>
  <c r="L1032" i="2"/>
  <c r="M1032" i="2"/>
  <c r="I1033" i="2"/>
  <c r="J1033" i="2"/>
  <c r="L1033" i="2"/>
  <c r="M1033" i="2"/>
  <c r="I1034" i="2"/>
  <c r="J1034" i="2"/>
  <c r="L1034" i="2"/>
  <c r="M1034" i="2"/>
  <c r="I1035" i="2"/>
  <c r="J1035" i="2"/>
  <c r="L1035" i="2"/>
  <c r="M1035" i="2"/>
  <c r="I1036" i="2"/>
  <c r="J1036" i="2"/>
  <c r="L1036" i="2"/>
  <c r="M1036" i="2"/>
  <c r="I1037" i="2"/>
  <c r="J1037" i="2"/>
  <c r="L1037" i="2"/>
  <c r="M1037" i="2"/>
  <c r="I1038" i="2"/>
  <c r="J1038" i="2"/>
  <c r="L1038" i="2"/>
  <c r="M1038" i="2"/>
  <c r="I1039" i="2"/>
  <c r="J1039" i="2"/>
  <c r="L1039" i="2"/>
  <c r="M1039" i="2"/>
  <c r="I1040" i="2"/>
  <c r="J1040" i="2"/>
  <c r="L1040" i="2"/>
  <c r="M1040" i="2"/>
  <c r="I1041" i="2"/>
  <c r="J1041" i="2"/>
  <c r="L1041" i="2"/>
  <c r="M1041" i="2"/>
  <c r="I1042" i="2"/>
  <c r="J1042" i="2"/>
  <c r="L1042" i="2"/>
  <c r="M1042" i="2"/>
  <c r="I1043" i="2"/>
  <c r="J1043" i="2"/>
  <c r="L1043" i="2"/>
  <c r="M1043" i="2"/>
  <c r="I1044" i="2"/>
  <c r="J1044" i="2"/>
  <c r="L1044" i="2"/>
  <c r="M1044" i="2"/>
  <c r="I1045" i="2"/>
  <c r="J1045" i="2"/>
  <c r="L1045" i="2"/>
  <c r="M1045" i="2"/>
  <c r="I1046" i="2"/>
  <c r="J1046" i="2"/>
  <c r="L1046" i="2"/>
  <c r="M1046" i="2"/>
  <c r="I1047" i="2"/>
  <c r="J1047" i="2"/>
  <c r="L1047" i="2"/>
  <c r="M1047" i="2"/>
  <c r="I1048" i="2"/>
  <c r="J1048" i="2"/>
  <c r="L1048" i="2"/>
  <c r="M1048" i="2"/>
  <c r="I1049" i="2"/>
  <c r="J1049" i="2"/>
  <c r="L1049" i="2"/>
  <c r="M1049" i="2"/>
  <c r="I1050" i="2"/>
  <c r="J1050" i="2"/>
  <c r="L1050" i="2"/>
  <c r="M1050" i="2"/>
  <c r="I1051" i="2"/>
  <c r="J1051" i="2"/>
  <c r="L1051" i="2"/>
  <c r="M1051" i="2"/>
  <c r="I1052" i="2"/>
  <c r="J1052" i="2"/>
  <c r="L1052" i="2"/>
  <c r="M1052" i="2"/>
  <c r="I1053" i="2"/>
  <c r="J1053" i="2"/>
  <c r="L1053" i="2"/>
  <c r="M1053" i="2"/>
  <c r="I1054" i="2"/>
  <c r="J1054" i="2"/>
  <c r="L1054" i="2"/>
  <c r="M1054" i="2"/>
  <c r="I1055" i="2"/>
  <c r="J1055" i="2"/>
  <c r="L1055" i="2"/>
  <c r="M1055" i="2"/>
  <c r="I1056" i="2"/>
  <c r="J1056" i="2"/>
  <c r="L1056" i="2"/>
  <c r="M1056" i="2"/>
  <c r="I1057" i="2"/>
  <c r="J1057" i="2"/>
  <c r="L1057" i="2"/>
  <c r="M1057" i="2"/>
  <c r="I1058" i="2"/>
  <c r="J1058" i="2"/>
  <c r="L1058" i="2"/>
  <c r="M1058" i="2"/>
  <c r="I1059" i="2"/>
  <c r="J1059" i="2"/>
  <c r="L1059" i="2"/>
  <c r="M1059" i="2"/>
  <c r="I1060" i="2"/>
  <c r="J1060" i="2"/>
  <c r="L1060" i="2"/>
  <c r="M1060" i="2"/>
  <c r="I1061" i="2"/>
  <c r="J1061" i="2"/>
  <c r="L1061" i="2"/>
  <c r="M1061" i="2"/>
  <c r="I1062" i="2"/>
  <c r="J1062" i="2"/>
  <c r="L1062" i="2"/>
  <c r="M1062" i="2"/>
  <c r="I1063" i="2"/>
  <c r="J1063" i="2"/>
  <c r="L1063" i="2"/>
  <c r="M1063" i="2"/>
  <c r="I1064" i="2"/>
  <c r="J1064" i="2"/>
  <c r="L1064" i="2"/>
  <c r="M1064" i="2"/>
  <c r="I1065" i="2"/>
  <c r="J1065" i="2"/>
  <c r="L1065" i="2"/>
  <c r="M1065" i="2"/>
  <c r="I1066" i="2"/>
  <c r="J1066" i="2"/>
  <c r="L1066" i="2"/>
  <c r="M1066" i="2"/>
  <c r="I1067" i="2"/>
  <c r="J1067" i="2"/>
  <c r="L1067" i="2"/>
  <c r="M1067" i="2"/>
  <c r="I1068" i="2"/>
  <c r="J1068" i="2"/>
  <c r="L1068" i="2"/>
  <c r="M1068" i="2"/>
  <c r="I1069" i="2"/>
  <c r="J1069" i="2"/>
  <c r="L1069" i="2"/>
  <c r="M1069" i="2"/>
  <c r="I1070" i="2"/>
  <c r="J1070" i="2"/>
  <c r="L1070" i="2"/>
  <c r="M1070" i="2"/>
  <c r="I1071" i="2"/>
  <c r="J1071" i="2"/>
  <c r="L1071" i="2"/>
  <c r="M1071" i="2"/>
  <c r="I1072" i="2"/>
  <c r="J1072" i="2"/>
  <c r="L1072" i="2"/>
  <c r="M1072" i="2"/>
  <c r="I1073" i="2"/>
  <c r="J1073" i="2"/>
  <c r="L1073" i="2"/>
  <c r="M1073" i="2"/>
  <c r="I1074" i="2"/>
  <c r="J1074" i="2"/>
  <c r="L1074" i="2"/>
  <c r="M1074" i="2"/>
  <c r="I1075" i="2"/>
  <c r="J1075" i="2"/>
  <c r="L1075" i="2"/>
  <c r="M1075" i="2"/>
  <c r="I1076" i="2"/>
  <c r="J1076" i="2"/>
  <c r="L1076" i="2"/>
  <c r="M1076" i="2"/>
  <c r="I1077" i="2"/>
  <c r="J1077" i="2"/>
  <c r="L1077" i="2"/>
  <c r="M1077" i="2"/>
  <c r="I1078" i="2"/>
  <c r="J1078" i="2"/>
  <c r="L1078" i="2"/>
  <c r="M1078" i="2"/>
  <c r="I1079" i="2"/>
  <c r="J1079" i="2"/>
  <c r="L1079" i="2"/>
  <c r="M1079" i="2"/>
  <c r="I1080" i="2"/>
  <c r="J1080" i="2"/>
  <c r="L1080" i="2"/>
  <c r="M1080" i="2"/>
  <c r="I1081" i="2"/>
  <c r="J1081" i="2"/>
  <c r="L1081" i="2"/>
  <c r="M1081" i="2"/>
  <c r="I1082" i="2"/>
  <c r="J1082" i="2"/>
  <c r="L1082" i="2"/>
  <c r="M1082" i="2"/>
  <c r="I1083" i="2"/>
  <c r="J1083" i="2"/>
  <c r="L1083" i="2"/>
  <c r="M1083" i="2"/>
  <c r="I1084" i="2"/>
  <c r="J1084" i="2"/>
  <c r="L1084" i="2"/>
  <c r="M1084" i="2"/>
  <c r="I1085" i="2"/>
  <c r="J1085" i="2"/>
  <c r="L1085" i="2"/>
  <c r="M1085" i="2"/>
  <c r="I1086" i="2"/>
  <c r="J1086" i="2"/>
  <c r="L1086" i="2"/>
  <c r="M1086" i="2"/>
  <c r="I1087" i="2"/>
  <c r="J1087" i="2"/>
  <c r="L1087" i="2"/>
  <c r="M1087" i="2"/>
  <c r="I1088" i="2"/>
  <c r="J1088" i="2"/>
  <c r="L1088" i="2"/>
  <c r="M1088" i="2"/>
  <c r="I1089" i="2"/>
  <c r="J1089" i="2"/>
  <c r="L1089" i="2"/>
  <c r="M1089" i="2"/>
  <c r="I1090" i="2"/>
  <c r="J1090" i="2"/>
  <c r="L1090" i="2"/>
  <c r="M1090" i="2"/>
  <c r="I1091" i="2"/>
  <c r="J1091" i="2"/>
  <c r="L1091" i="2"/>
  <c r="M1091" i="2"/>
  <c r="I1092" i="2"/>
  <c r="J1092" i="2"/>
  <c r="L1092" i="2"/>
  <c r="M1092" i="2"/>
  <c r="I1093" i="2"/>
  <c r="J1093" i="2"/>
  <c r="L1093" i="2"/>
  <c r="M1093" i="2"/>
  <c r="I1094" i="2"/>
  <c r="J1094" i="2"/>
  <c r="L1094" i="2"/>
  <c r="M1094" i="2"/>
  <c r="I1095" i="2"/>
  <c r="J1095" i="2"/>
  <c r="L1095" i="2"/>
  <c r="M1095" i="2"/>
  <c r="I1096" i="2"/>
  <c r="J1096" i="2"/>
  <c r="L1096" i="2"/>
  <c r="M1096" i="2"/>
  <c r="I1097" i="2"/>
  <c r="J1097" i="2"/>
  <c r="L1097" i="2"/>
  <c r="M1097" i="2"/>
  <c r="I1098" i="2"/>
  <c r="J1098" i="2"/>
  <c r="L1098" i="2"/>
  <c r="M1098" i="2"/>
  <c r="I1099" i="2"/>
  <c r="J1099" i="2"/>
  <c r="L1099" i="2"/>
  <c r="M1099" i="2"/>
  <c r="I1100" i="2"/>
  <c r="J1100" i="2"/>
  <c r="L1100" i="2"/>
  <c r="M1100" i="2"/>
  <c r="I1101" i="2"/>
  <c r="J1101" i="2"/>
  <c r="L1101" i="2"/>
  <c r="M1101" i="2"/>
  <c r="I1102" i="2"/>
  <c r="J1102" i="2"/>
  <c r="L1102" i="2"/>
  <c r="M1102" i="2"/>
  <c r="I1103" i="2"/>
  <c r="J1103" i="2"/>
  <c r="L1103" i="2"/>
  <c r="M1103" i="2"/>
  <c r="I1104" i="2"/>
  <c r="J1104" i="2"/>
  <c r="L1104" i="2"/>
  <c r="M1104" i="2"/>
  <c r="I1105" i="2"/>
  <c r="J1105" i="2"/>
  <c r="L1105" i="2"/>
  <c r="M1105" i="2"/>
  <c r="I1106" i="2"/>
  <c r="J1106" i="2"/>
  <c r="L1106" i="2"/>
  <c r="M1106" i="2"/>
  <c r="I1107" i="2"/>
  <c r="J1107" i="2"/>
  <c r="L1107" i="2"/>
  <c r="M1107" i="2"/>
  <c r="I1108" i="2"/>
  <c r="J1108" i="2"/>
  <c r="L1108" i="2"/>
  <c r="M1108" i="2"/>
  <c r="I1109" i="2"/>
  <c r="J1109" i="2"/>
  <c r="L1109" i="2"/>
  <c r="M1109" i="2"/>
  <c r="I1110" i="2"/>
  <c r="J1110" i="2"/>
  <c r="L1110" i="2"/>
  <c r="M1110" i="2"/>
  <c r="I1111" i="2"/>
  <c r="J1111" i="2"/>
  <c r="L1111" i="2"/>
  <c r="M1111" i="2"/>
  <c r="I1112" i="2"/>
  <c r="J1112" i="2"/>
  <c r="L1112" i="2"/>
  <c r="M1112" i="2"/>
  <c r="I1113" i="2"/>
  <c r="J1113" i="2"/>
  <c r="L1113" i="2"/>
  <c r="M1113" i="2"/>
  <c r="I1114" i="2"/>
  <c r="J1114" i="2"/>
  <c r="L1114" i="2"/>
  <c r="M1114" i="2"/>
  <c r="I1115" i="2"/>
  <c r="J1115" i="2"/>
  <c r="L1115" i="2"/>
  <c r="M1115" i="2"/>
  <c r="I1116" i="2"/>
  <c r="J1116" i="2"/>
  <c r="L1116" i="2"/>
  <c r="M1116" i="2"/>
  <c r="I1117" i="2"/>
  <c r="J1117" i="2"/>
  <c r="L1117" i="2"/>
  <c r="M1117" i="2"/>
  <c r="I1118" i="2"/>
  <c r="J1118" i="2"/>
  <c r="L1118" i="2"/>
  <c r="M1118" i="2"/>
  <c r="I1119" i="2"/>
  <c r="J1119" i="2"/>
  <c r="L1119" i="2"/>
  <c r="M1119" i="2"/>
  <c r="I1120" i="2"/>
  <c r="J1120" i="2"/>
  <c r="L1120" i="2"/>
  <c r="M1120" i="2"/>
  <c r="I1121" i="2"/>
  <c r="J1121" i="2"/>
  <c r="L1121" i="2"/>
  <c r="M1121" i="2"/>
  <c r="I1122" i="2"/>
  <c r="J1122" i="2"/>
  <c r="L1122" i="2"/>
  <c r="M1122" i="2"/>
  <c r="I1123" i="2"/>
  <c r="J1123" i="2"/>
  <c r="L1123" i="2"/>
  <c r="M1123" i="2"/>
  <c r="I1124" i="2"/>
  <c r="J1124" i="2"/>
  <c r="L1124" i="2"/>
  <c r="M1124" i="2"/>
  <c r="I1125" i="2"/>
  <c r="J1125" i="2"/>
  <c r="L1125" i="2"/>
  <c r="M1125" i="2"/>
  <c r="I1126" i="2"/>
  <c r="J1126" i="2"/>
  <c r="L1126" i="2"/>
  <c r="M1126" i="2"/>
  <c r="I1127" i="2"/>
  <c r="J1127" i="2"/>
  <c r="L1127" i="2"/>
  <c r="M1127" i="2"/>
  <c r="I1128" i="2"/>
  <c r="J1128" i="2"/>
  <c r="L1128" i="2"/>
  <c r="M1128" i="2"/>
  <c r="I1129" i="2"/>
  <c r="J1129" i="2"/>
  <c r="L1129" i="2"/>
  <c r="M1129" i="2"/>
  <c r="I1130" i="2"/>
  <c r="J1130" i="2"/>
  <c r="L1130" i="2"/>
  <c r="M1130" i="2"/>
  <c r="I1131" i="2"/>
  <c r="J1131" i="2"/>
  <c r="L1131" i="2"/>
  <c r="M1131" i="2"/>
  <c r="I1132" i="2"/>
  <c r="J1132" i="2"/>
  <c r="L1132" i="2"/>
  <c r="M1132" i="2"/>
  <c r="I1133" i="2"/>
  <c r="J1133" i="2"/>
  <c r="L1133" i="2"/>
  <c r="M1133" i="2"/>
  <c r="I1134" i="2"/>
  <c r="J1134" i="2"/>
  <c r="L1134" i="2"/>
  <c r="M1134" i="2"/>
  <c r="I1135" i="2"/>
  <c r="J1135" i="2"/>
  <c r="L1135" i="2"/>
  <c r="M1135" i="2"/>
  <c r="I1136" i="2"/>
  <c r="J1136" i="2"/>
  <c r="L1136" i="2"/>
  <c r="M1136" i="2"/>
  <c r="I1137" i="2"/>
  <c r="J1137" i="2"/>
  <c r="L1137" i="2"/>
  <c r="M1137" i="2"/>
  <c r="I1138" i="2"/>
  <c r="J1138" i="2"/>
  <c r="L1138" i="2"/>
  <c r="M1138" i="2"/>
  <c r="I1139" i="2"/>
  <c r="J1139" i="2"/>
  <c r="L1139" i="2"/>
  <c r="M1139" i="2"/>
  <c r="I1140" i="2"/>
  <c r="J1140" i="2"/>
  <c r="L1140" i="2"/>
  <c r="M1140" i="2"/>
  <c r="I1141" i="2"/>
  <c r="J1141" i="2"/>
  <c r="L1141" i="2"/>
  <c r="M1141" i="2"/>
  <c r="I1142" i="2"/>
  <c r="J1142" i="2"/>
  <c r="L1142" i="2"/>
  <c r="M1142" i="2"/>
  <c r="I1143" i="2"/>
  <c r="J1143" i="2"/>
  <c r="L1143" i="2"/>
  <c r="M1143" i="2"/>
  <c r="I1144" i="2"/>
  <c r="J1144" i="2"/>
  <c r="L1144" i="2"/>
  <c r="M1144" i="2"/>
  <c r="I1145" i="2"/>
  <c r="J1145" i="2"/>
  <c r="L1145" i="2"/>
  <c r="M1145" i="2"/>
  <c r="I1146" i="2"/>
  <c r="J1146" i="2"/>
  <c r="L1146" i="2"/>
  <c r="M1146" i="2"/>
  <c r="I1147" i="2"/>
  <c r="J1147" i="2"/>
  <c r="L1147" i="2"/>
  <c r="M1147" i="2"/>
  <c r="I1148" i="2"/>
  <c r="J1148" i="2"/>
  <c r="L1148" i="2"/>
  <c r="M1148" i="2"/>
  <c r="I1149" i="2"/>
  <c r="J1149" i="2"/>
  <c r="L1149" i="2"/>
  <c r="M1149" i="2"/>
  <c r="I1150" i="2"/>
  <c r="J1150" i="2"/>
  <c r="L1150" i="2"/>
  <c r="M1150" i="2"/>
  <c r="I1151" i="2"/>
  <c r="J1151" i="2"/>
  <c r="L1151" i="2"/>
  <c r="M1151" i="2"/>
  <c r="I1152" i="2"/>
  <c r="J1152" i="2"/>
  <c r="L1152" i="2"/>
  <c r="M1152" i="2"/>
  <c r="I1153" i="2"/>
  <c r="J1153" i="2"/>
  <c r="L1153" i="2"/>
  <c r="M1153" i="2"/>
  <c r="I1154" i="2"/>
  <c r="J1154" i="2"/>
  <c r="L1154" i="2"/>
  <c r="M1154" i="2"/>
  <c r="I1155" i="2"/>
  <c r="J1155" i="2"/>
  <c r="L1155" i="2"/>
  <c r="M1155" i="2"/>
  <c r="I1156" i="2"/>
  <c r="J1156" i="2"/>
  <c r="L1156" i="2"/>
  <c r="M1156" i="2"/>
  <c r="I1157" i="2"/>
  <c r="J1157" i="2"/>
  <c r="L1157" i="2"/>
  <c r="M1157" i="2"/>
  <c r="I1158" i="2"/>
  <c r="J1158" i="2"/>
  <c r="L1158" i="2"/>
  <c r="M1158" i="2"/>
  <c r="I1159" i="2"/>
  <c r="J1159" i="2"/>
  <c r="L1159" i="2"/>
  <c r="M1159" i="2"/>
  <c r="I1160" i="2"/>
  <c r="J1160" i="2"/>
  <c r="L1160" i="2"/>
  <c r="M1160" i="2"/>
  <c r="I1161" i="2"/>
  <c r="J1161" i="2"/>
  <c r="L1161" i="2"/>
  <c r="M1161" i="2"/>
  <c r="I1162" i="2"/>
  <c r="J1162" i="2"/>
  <c r="L1162" i="2"/>
  <c r="M1162" i="2"/>
  <c r="I1163" i="2"/>
  <c r="J1163" i="2"/>
  <c r="L1163" i="2"/>
  <c r="M1163" i="2"/>
  <c r="I1164" i="2"/>
  <c r="J1164" i="2"/>
  <c r="L1164" i="2"/>
  <c r="M1164" i="2"/>
  <c r="I1165" i="2"/>
  <c r="J1165" i="2"/>
  <c r="L1165" i="2"/>
  <c r="M1165" i="2"/>
  <c r="I1166" i="2"/>
  <c r="J1166" i="2"/>
  <c r="L1166" i="2"/>
  <c r="M1166" i="2"/>
  <c r="I1167" i="2"/>
  <c r="J1167" i="2"/>
  <c r="L1167" i="2"/>
  <c r="M1167" i="2"/>
  <c r="I1168" i="2"/>
  <c r="J1168" i="2"/>
  <c r="L1168" i="2"/>
  <c r="M1168" i="2"/>
  <c r="I1169" i="2"/>
  <c r="J1169" i="2"/>
  <c r="L1169" i="2"/>
  <c r="M1169" i="2"/>
  <c r="I1170" i="2"/>
  <c r="J1170" i="2"/>
  <c r="L1170" i="2"/>
  <c r="M1170" i="2"/>
  <c r="I1171" i="2"/>
  <c r="J1171" i="2"/>
  <c r="L1171" i="2"/>
  <c r="M1171" i="2"/>
  <c r="I1172" i="2"/>
  <c r="J1172" i="2"/>
  <c r="L1172" i="2"/>
  <c r="M1172" i="2"/>
  <c r="I1173" i="2"/>
  <c r="J1173" i="2"/>
  <c r="L1173" i="2"/>
  <c r="M1173" i="2"/>
  <c r="I1174" i="2"/>
  <c r="J1174" i="2"/>
  <c r="L1174" i="2"/>
  <c r="M1174" i="2"/>
  <c r="I1175" i="2"/>
  <c r="J1175" i="2"/>
  <c r="L1175" i="2"/>
  <c r="M1175" i="2"/>
  <c r="I1176" i="2"/>
  <c r="J1176" i="2"/>
  <c r="L1176" i="2"/>
  <c r="M1176" i="2"/>
  <c r="I1177" i="2"/>
  <c r="J1177" i="2"/>
  <c r="L1177" i="2"/>
  <c r="M1177" i="2"/>
  <c r="I1178" i="2"/>
  <c r="J1178" i="2"/>
  <c r="L1178" i="2"/>
  <c r="M1178" i="2"/>
  <c r="I1179" i="2"/>
  <c r="J1179" i="2"/>
  <c r="L1179" i="2"/>
  <c r="M1179" i="2"/>
  <c r="I1180" i="2"/>
  <c r="J1180" i="2"/>
  <c r="L1180" i="2"/>
  <c r="M1180" i="2"/>
  <c r="I1181" i="2"/>
  <c r="J1181" i="2"/>
  <c r="L1181" i="2"/>
  <c r="M1181" i="2"/>
  <c r="I1182" i="2"/>
  <c r="J1182" i="2"/>
  <c r="L1182" i="2"/>
  <c r="M1182" i="2"/>
  <c r="I1183" i="2"/>
  <c r="J1183" i="2"/>
  <c r="L1183" i="2"/>
  <c r="M1183" i="2"/>
  <c r="I1184" i="2"/>
  <c r="J1184" i="2"/>
  <c r="L1184" i="2"/>
  <c r="M1184" i="2"/>
  <c r="I1185" i="2"/>
  <c r="J1185" i="2"/>
  <c r="L1185" i="2"/>
  <c r="M1185" i="2"/>
  <c r="I1186" i="2"/>
  <c r="J1186" i="2"/>
  <c r="L1186" i="2"/>
  <c r="M1186" i="2"/>
  <c r="I1187" i="2"/>
  <c r="J1187" i="2"/>
  <c r="L1187" i="2"/>
  <c r="M1187" i="2"/>
  <c r="I1188" i="2"/>
  <c r="J1188" i="2"/>
  <c r="L1188" i="2"/>
  <c r="M1188" i="2"/>
  <c r="I1189" i="2"/>
  <c r="J1189" i="2"/>
  <c r="L1189" i="2"/>
  <c r="M1189" i="2"/>
  <c r="I1190" i="2"/>
  <c r="J1190" i="2"/>
  <c r="L1190" i="2"/>
  <c r="M1190" i="2"/>
  <c r="I1191" i="2"/>
  <c r="J1191" i="2"/>
  <c r="L1191" i="2"/>
  <c r="M1191" i="2"/>
  <c r="I1192" i="2"/>
  <c r="J1192" i="2"/>
  <c r="L1192" i="2"/>
  <c r="M1192" i="2"/>
  <c r="I1193" i="2"/>
  <c r="J1193" i="2"/>
  <c r="L1193" i="2"/>
  <c r="M1193" i="2"/>
  <c r="I1194" i="2"/>
  <c r="J1194" i="2"/>
  <c r="L1194" i="2"/>
  <c r="M1194" i="2"/>
  <c r="I1195" i="2"/>
  <c r="J1195" i="2"/>
  <c r="L1195" i="2"/>
  <c r="M1195" i="2"/>
  <c r="I1196" i="2"/>
  <c r="J1196" i="2"/>
  <c r="L1196" i="2"/>
  <c r="M1196" i="2"/>
  <c r="I1197" i="2"/>
  <c r="J1197" i="2"/>
  <c r="L1197" i="2"/>
  <c r="M1197" i="2"/>
  <c r="I1198" i="2"/>
  <c r="J1198" i="2"/>
  <c r="L1198" i="2"/>
  <c r="M1198" i="2"/>
  <c r="I1199" i="2"/>
  <c r="J1199" i="2"/>
  <c r="L1199" i="2"/>
  <c r="M1199" i="2"/>
  <c r="I1200" i="2"/>
  <c r="J1200" i="2"/>
  <c r="L1200" i="2"/>
  <c r="M1200" i="2"/>
  <c r="I1201" i="2"/>
  <c r="J1201" i="2"/>
  <c r="L1201" i="2"/>
  <c r="M1201" i="2"/>
  <c r="I1202" i="2"/>
  <c r="J1202" i="2"/>
  <c r="L1202" i="2"/>
  <c r="M1202" i="2"/>
  <c r="I1203" i="2"/>
  <c r="J1203" i="2"/>
  <c r="L1203" i="2"/>
  <c r="M1203" i="2"/>
  <c r="I1204" i="2"/>
  <c r="J1204" i="2"/>
  <c r="L1204" i="2"/>
  <c r="M1204" i="2"/>
  <c r="I1205" i="2"/>
  <c r="J1205" i="2"/>
  <c r="L1205" i="2"/>
  <c r="M1205" i="2"/>
  <c r="I1206" i="2"/>
  <c r="J1206" i="2"/>
  <c r="L1206" i="2"/>
  <c r="M1206" i="2"/>
  <c r="I1207" i="2"/>
  <c r="J1207" i="2"/>
  <c r="L1207" i="2"/>
  <c r="M1207" i="2"/>
  <c r="I1208" i="2"/>
  <c r="J1208" i="2"/>
  <c r="L1208" i="2"/>
  <c r="M1208" i="2"/>
  <c r="I1209" i="2"/>
  <c r="J1209" i="2"/>
  <c r="L1209" i="2"/>
  <c r="M1209" i="2"/>
  <c r="I1210" i="2"/>
  <c r="J1210" i="2"/>
  <c r="L1210" i="2"/>
  <c r="M1210" i="2"/>
  <c r="I1211" i="2"/>
  <c r="J1211" i="2"/>
  <c r="L1211" i="2"/>
  <c r="M1211" i="2"/>
  <c r="I1212" i="2"/>
  <c r="J1212" i="2"/>
  <c r="L1212" i="2"/>
  <c r="M1212" i="2"/>
  <c r="I1213" i="2"/>
  <c r="J1213" i="2"/>
  <c r="L1213" i="2"/>
  <c r="M1213" i="2"/>
  <c r="I1214" i="2"/>
  <c r="J1214" i="2"/>
  <c r="L1214" i="2"/>
  <c r="M1214" i="2"/>
  <c r="I1215" i="2"/>
  <c r="J1215" i="2"/>
  <c r="L1215" i="2"/>
  <c r="M1215" i="2"/>
  <c r="I1216" i="2"/>
  <c r="J1216" i="2"/>
  <c r="L1216" i="2"/>
  <c r="M1216" i="2"/>
  <c r="I1217" i="2"/>
  <c r="J1217" i="2"/>
  <c r="L1217" i="2"/>
  <c r="M1217" i="2"/>
  <c r="I1218" i="2"/>
  <c r="J1218" i="2"/>
  <c r="L1218" i="2"/>
  <c r="M1218" i="2"/>
  <c r="I1219" i="2"/>
  <c r="J1219" i="2"/>
  <c r="L1219" i="2"/>
  <c r="M1219" i="2"/>
  <c r="I1220" i="2"/>
  <c r="J1220" i="2"/>
  <c r="L1220" i="2"/>
  <c r="M1220" i="2"/>
  <c r="I1221" i="2"/>
  <c r="J1221" i="2"/>
  <c r="L1221" i="2"/>
  <c r="M1221" i="2"/>
  <c r="I1222" i="2"/>
  <c r="J1222" i="2"/>
  <c r="L1222" i="2"/>
  <c r="M1222" i="2"/>
  <c r="I1223" i="2"/>
  <c r="J1223" i="2"/>
  <c r="L1223" i="2"/>
  <c r="M1223" i="2"/>
  <c r="I1224" i="2"/>
  <c r="J1224" i="2"/>
  <c r="L1224" i="2"/>
  <c r="M1224" i="2"/>
  <c r="I1225" i="2"/>
  <c r="J1225" i="2"/>
  <c r="L1225" i="2"/>
  <c r="M1225" i="2"/>
  <c r="I1226" i="2"/>
  <c r="J1226" i="2"/>
  <c r="L1226" i="2"/>
  <c r="M1226" i="2"/>
  <c r="I1227" i="2"/>
  <c r="J1227" i="2"/>
  <c r="L1227" i="2"/>
  <c r="M1227" i="2"/>
  <c r="I1228" i="2"/>
  <c r="J1228" i="2"/>
  <c r="L1228" i="2"/>
  <c r="M1228" i="2"/>
  <c r="I1229" i="2"/>
  <c r="J1229" i="2"/>
  <c r="L1229" i="2"/>
  <c r="M1229" i="2"/>
  <c r="I1230" i="2"/>
  <c r="J1230" i="2"/>
  <c r="L1230" i="2"/>
  <c r="M1230" i="2"/>
  <c r="I1231" i="2"/>
  <c r="J1231" i="2"/>
  <c r="L1231" i="2"/>
  <c r="M1231" i="2"/>
  <c r="I1232" i="2"/>
  <c r="J1232" i="2"/>
  <c r="L1232" i="2"/>
  <c r="M1232" i="2"/>
  <c r="I1233" i="2"/>
  <c r="J1233" i="2"/>
  <c r="L1233" i="2"/>
  <c r="M1233" i="2"/>
  <c r="I1234" i="2"/>
  <c r="J1234" i="2"/>
  <c r="L1234" i="2"/>
  <c r="M1234" i="2"/>
  <c r="I1235" i="2"/>
  <c r="J1235" i="2"/>
  <c r="L1235" i="2"/>
  <c r="M1235" i="2"/>
  <c r="I1236" i="2"/>
  <c r="J1236" i="2"/>
  <c r="L1236" i="2"/>
  <c r="M1236" i="2"/>
  <c r="I1237" i="2"/>
  <c r="J1237" i="2"/>
  <c r="L1237" i="2"/>
  <c r="M1237" i="2"/>
  <c r="I1238" i="2"/>
  <c r="J1238" i="2"/>
  <c r="L1238" i="2"/>
  <c r="M1238" i="2"/>
  <c r="I1239" i="2"/>
  <c r="J1239" i="2"/>
  <c r="L1239" i="2"/>
  <c r="M1239" i="2"/>
  <c r="I1240" i="2"/>
  <c r="J1240" i="2"/>
  <c r="L1240" i="2"/>
  <c r="M1240" i="2"/>
  <c r="I1241" i="2"/>
  <c r="J1241" i="2"/>
  <c r="L1241" i="2"/>
  <c r="M1241" i="2"/>
  <c r="I1242" i="2"/>
  <c r="J1242" i="2"/>
  <c r="L1242" i="2"/>
  <c r="M1242" i="2"/>
  <c r="I1243" i="2"/>
  <c r="J1243" i="2"/>
  <c r="L1243" i="2"/>
  <c r="M1243" i="2"/>
  <c r="I1244" i="2"/>
  <c r="J1244" i="2"/>
  <c r="L1244" i="2"/>
  <c r="M1244" i="2"/>
  <c r="I1245" i="2"/>
  <c r="J1245" i="2"/>
  <c r="L1245" i="2"/>
  <c r="M1245" i="2"/>
  <c r="I1246" i="2"/>
  <c r="J1246" i="2"/>
  <c r="L1246" i="2"/>
  <c r="M1246" i="2"/>
  <c r="I1247" i="2"/>
  <c r="J1247" i="2"/>
  <c r="L1247" i="2"/>
  <c r="M1247" i="2"/>
  <c r="I1248" i="2"/>
  <c r="J1248" i="2"/>
  <c r="L1248" i="2"/>
  <c r="M1248" i="2"/>
  <c r="I1249" i="2"/>
  <c r="J1249" i="2"/>
  <c r="L1249" i="2"/>
  <c r="M1249" i="2"/>
  <c r="I1250" i="2"/>
  <c r="J1250" i="2"/>
  <c r="L1250" i="2"/>
  <c r="M1250" i="2"/>
  <c r="I1251" i="2"/>
  <c r="J1251" i="2"/>
  <c r="L1251" i="2"/>
  <c r="M1251" i="2"/>
  <c r="I1252" i="2"/>
  <c r="J1252" i="2"/>
  <c r="L1252" i="2"/>
  <c r="M1252" i="2"/>
  <c r="I1253" i="2"/>
  <c r="J1253" i="2"/>
  <c r="L1253" i="2"/>
  <c r="M1253" i="2"/>
  <c r="I1254" i="2"/>
  <c r="J1254" i="2"/>
  <c r="L1254" i="2"/>
  <c r="M1254" i="2"/>
  <c r="I1255" i="2"/>
  <c r="J1255" i="2"/>
  <c r="L1255" i="2"/>
  <c r="M1255" i="2"/>
  <c r="I1256" i="2"/>
  <c r="J1256" i="2"/>
  <c r="L1256" i="2"/>
  <c r="M1256" i="2"/>
  <c r="I1257" i="2"/>
  <c r="J1257" i="2"/>
  <c r="L1257" i="2"/>
  <c r="M1257" i="2"/>
  <c r="I1258" i="2"/>
  <c r="J1258" i="2"/>
  <c r="L1258" i="2"/>
  <c r="M1258" i="2"/>
  <c r="I1259" i="2"/>
  <c r="J1259" i="2"/>
  <c r="L1259" i="2"/>
  <c r="M1259" i="2"/>
  <c r="I1260" i="2"/>
  <c r="J1260" i="2"/>
  <c r="L1260" i="2"/>
  <c r="M1260" i="2"/>
  <c r="I1261" i="2"/>
  <c r="J1261" i="2"/>
  <c r="L1261" i="2"/>
  <c r="M1261" i="2"/>
  <c r="I1262" i="2"/>
  <c r="J1262" i="2"/>
  <c r="L1262" i="2"/>
  <c r="M1262" i="2"/>
  <c r="I1263" i="2"/>
  <c r="J1263" i="2"/>
  <c r="L1263" i="2"/>
  <c r="M1263" i="2"/>
  <c r="I1264" i="2"/>
  <c r="J1264" i="2"/>
  <c r="L1264" i="2"/>
  <c r="M1264" i="2"/>
  <c r="I1265" i="2"/>
  <c r="J1265" i="2"/>
  <c r="L1265" i="2"/>
  <c r="M1265" i="2"/>
  <c r="I1266" i="2"/>
  <c r="J1266" i="2"/>
  <c r="L1266" i="2"/>
  <c r="M1266" i="2"/>
  <c r="I1267" i="2"/>
  <c r="J1267" i="2"/>
  <c r="L1267" i="2"/>
  <c r="M1267" i="2"/>
  <c r="I1268" i="2"/>
  <c r="J1268" i="2"/>
  <c r="L1268" i="2"/>
  <c r="M1268" i="2"/>
  <c r="I1269" i="2"/>
  <c r="J1269" i="2"/>
  <c r="L1269" i="2"/>
  <c r="M1269" i="2"/>
  <c r="I1270" i="2"/>
  <c r="J1270" i="2"/>
  <c r="L1270" i="2"/>
  <c r="M1270" i="2"/>
  <c r="I1271" i="2"/>
  <c r="J1271" i="2"/>
  <c r="L1271" i="2"/>
  <c r="M1271" i="2"/>
  <c r="I1272" i="2"/>
  <c r="J1272" i="2"/>
  <c r="L1272" i="2"/>
  <c r="M1272" i="2"/>
  <c r="I1273" i="2"/>
  <c r="J1273" i="2"/>
  <c r="L1273" i="2"/>
  <c r="M1273" i="2"/>
  <c r="I1274" i="2"/>
  <c r="J1274" i="2"/>
  <c r="L1274" i="2"/>
  <c r="M1274" i="2"/>
  <c r="I1275" i="2"/>
  <c r="J1275" i="2"/>
  <c r="L1275" i="2"/>
  <c r="M1275" i="2"/>
  <c r="I1276" i="2"/>
  <c r="J1276" i="2"/>
  <c r="L1276" i="2"/>
  <c r="M1276" i="2"/>
  <c r="I1277" i="2"/>
  <c r="J1277" i="2"/>
  <c r="L1277" i="2"/>
  <c r="M1277" i="2"/>
  <c r="I1278" i="2"/>
  <c r="J1278" i="2"/>
  <c r="L1278" i="2"/>
  <c r="M1278" i="2"/>
  <c r="I1279" i="2"/>
  <c r="J1279" i="2"/>
  <c r="L1279" i="2"/>
  <c r="M1279" i="2"/>
  <c r="I1280" i="2"/>
  <c r="J1280" i="2"/>
  <c r="L1280" i="2"/>
  <c r="M1280" i="2"/>
  <c r="I1281" i="2"/>
  <c r="J1281" i="2"/>
  <c r="L1281" i="2"/>
  <c r="M1281" i="2"/>
  <c r="I1282" i="2"/>
  <c r="J1282" i="2"/>
  <c r="L1282" i="2"/>
  <c r="M1282" i="2"/>
  <c r="I1283" i="2"/>
  <c r="J1283" i="2"/>
  <c r="L1283" i="2"/>
  <c r="M1283" i="2"/>
  <c r="I1284" i="2"/>
  <c r="J1284" i="2"/>
  <c r="L1284" i="2"/>
  <c r="M1284" i="2"/>
  <c r="I1285" i="2"/>
  <c r="J1285" i="2"/>
  <c r="L1285" i="2"/>
  <c r="M1285" i="2"/>
  <c r="I1286" i="2"/>
  <c r="J1286" i="2"/>
  <c r="L1286" i="2"/>
  <c r="M1286" i="2"/>
  <c r="I1287" i="2"/>
  <c r="J1287" i="2"/>
  <c r="L1287" i="2"/>
  <c r="M1287" i="2"/>
  <c r="I1288" i="2"/>
  <c r="J1288" i="2"/>
  <c r="L1288" i="2"/>
  <c r="M1288" i="2"/>
  <c r="I1289" i="2"/>
  <c r="J1289" i="2"/>
  <c r="L1289" i="2"/>
  <c r="M1289" i="2"/>
  <c r="I1290" i="2"/>
  <c r="J1290" i="2"/>
  <c r="L1290" i="2"/>
  <c r="M1290" i="2"/>
  <c r="I1291" i="2"/>
  <c r="J1291" i="2"/>
  <c r="L1291" i="2"/>
  <c r="M1291" i="2"/>
  <c r="I1292" i="2"/>
  <c r="J1292" i="2"/>
  <c r="L1292" i="2"/>
  <c r="M1292" i="2"/>
  <c r="I1293" i="2"/>
  <c r="J1293" i="2"/>
  <c r="L1293" i="2"/>
  <c r="M1293" i="2"/>
  <c r="I1294" i="2"/>
  <c r="J1294" i="2"/>
  <c r="L1294" i="2"/>
  <c r="M1294" i="2"/>
  <c r="I1295" i="2"/>
  <c r="J1295" i="2"/>
  <c r="L1295" i="2"/>
  <c r="M1295" i="2"/>
  <c r="I1296" i="2"/>
  <c r="J1296" i="2"/>
  <c r="L1296" i="2"/>
  <c r="M1296" i="2"/>
  <c r="I1297" i="2"/>
  <c r="J1297" i="2"/>
  <c r="L1297" i="2"/>
  <c r="M1297" i="2"/>
  <c r="I1298" i="2"/>
  <c r="J1298" i="2"/>
  <c r="L1298" i="2"/>
  <c r="M1298" i="2"/>
  <c r="I1299" i="2"/>
  <c r="J1299" i="2"/>
  <c r="L1299" i="2"/>
  <c r="M1299" i="2"/>
  <c r="I1300" i="2"/>
  <c r="J1300" i="2"/>
  <c r="L1300" i="2"/>
  <c r="M1300" i="2"/>
  <c r="I1301" i="2"/>
  <c r="J1301" i="2"/>
  <c r="L1301" i="2"/>
  <c r="M1301" i="2"/>
  <c r="I1302" i="2"/>
  <c r="J1302" i="2"/>
  <c r="L1302" i="2"/>
  <c r="M1302" i="2"/>
  <c r="I1303" i="2"/>
  <c r="J1303" i="2"/>
  <c r="L1303" i="2"/>
  <c r="M1303" i="2"/>
  <c r="I1304" i="2"/>
  <c r="J1304" i="2"/>
  <c r="L1304" i="2"/>
  <c r="M1304" i="2"/>
  <c r="I1305" i="2"/>
  <c r="J1305" i="2"/>
  <c r="L1305" i="2"/>
  <c r="M1305" i="2"/>
  <c r="I1306" i="2"/>
  <c r="J1306" i="2"/>
  <c r="L1306" i="2"/>
  <c r="M1306" i="2"/>
  <c r="I1307" i="2"/>
  <c r="J1307" i="2"/>
  <c r="L1307" i="2"/>
  <c r="M1307" i="2"/>
  <c r="I1308" i="2"/>
  <c r="J1308" i="2"/>
  <c r="L1308" i="2"/>
  <c r="M1308" i="2"/>
  <c r="I1309" i="2"/>
  <c r="J1309" i="2"/>
  <c r="L1309" i="2"/>
  <c r="M1309" i="2"/>
  <c r="I1310" i="2"/>
  <c r="J1310" i="2"/>
  <c r="L1310" i="2"/>
  <c r="M1310" i="2"/>
  <c r="I1311" i="2"/>
  <c r="J1311" i="2"/>
  <c r="L1311" i="2"/>
  <c r="M1311" i="2"/>
  <c r="I1312" i="2"/>
  <c r="J1312" i="2"/>
  <c r="L1312" i="2"/>
  <c r="M1312" i="2"/>
  <c r="I1313" i="2"/>
  <c r="J1313" i="2"/>
  <c r="L1313" i="2"/>
  <c r="M1313" i="2"/>
  <c r="I1314" i="2"/>
  <c r="J1314" i="2"/>
  <c r="L1314" i="2"/>
  <c r="M1314" i="2"/>
  <c r="I1315" i="2"/>
  <c r="J1315" i="2"/>
  <c r="L1315" i="2"/>
  <c r="M1315" i="2"/>
  <c r="I1316" i="2"/>
  <c r="J1316" i="2"/>
  <c r="L1316" i="2"/>
  <c r="M1316" i="2"/>
  <c r="I1317" i="2"/>
  <c r="J1317" i="2"/>
  <c r="L1317" i="2"/>
  <c r="M1317" i="2"/>
  <c r="I1318" i="2"/>
  <c r="J1318" i="2"/>
  <c r="L1318" i="2"/>
  <c r="M1318" i="2"/>
  <c r="I1319" i="2"/>
  <c r="J1319" i="2"/>
  <c r="L1319" i="2"/>
  <c r="M1319" i="2"/>
  <c r="I1320" i="2"/>
  <c r="J1320" i="2"/>
  <c r="L1320" i="2"/>
  <c r="M1320" i="2"/>
  <c r="I1321" i="2"/>
  <c r="J1321" i="2"/>
  <c r="L1321" i="2"/>
  <c r="M1321" i="2"/>
  <c r="I1322" i="2"/>
  <c r="J1322" i="2"/>
  <c r="L1322" i="2"/>
  <c r="M1322" i="2"/>
  <c r="I1323" i="2"/>
  <c r="J1323" i="2"/>
  <c r="L1323" i="2"/>
  <c r="M1323" i="2"/>
  <c r="I1324" i="2"/>
  <c r="J1324" i="2"/>
  <c r="L1324" i="2"/>
  <c r="M1324" i="2"/>
  <c r="I1325" i="2"/>
  <c r="J1325" i="2"/>
  <c r="L1325" i="2"/>
  <c r="M1325" i="2"/>
  <c r="I1326" i="2"/>
  <c r="J1326" i="2"/>
  <c r="L1326" i="2"/>
  <c r="M1326" i="2"/>
  <c r="I1327" i="2"/>
  <c r="J1327" i="2"/>
  <c r="L1327" i="2"/>
  <c r="M1327" i="2"/>
  <c r="I1328" i="2"/>
  <c r="J1328" i="2"/>
  <c r="L1328" i="2"/>
  <c r="M1328" i="2"/>
  <c r="I1329" i="2"/>
  <c r="J1329" i="2"/>
  <c r="L1329" i="2"/>
  <c r="M1329" i="2"/>
  <c r="I1330" i="2"/>
  <c r="J1330" i="2"/>
  <c r="L1330" i="2"/>
  <c r="M1330" i="2"/>
  <c r="I1331" i="2"/>
  <c r="J1331" i="2"/>
  <c r="L1331" i="2"/>
  <c r="M1331" i="2"/>
  <c r="I1332" i="2"/>
  <c r="J1332" i="2"/>
  <c r="L1332" i="2"/>
  <c r="M1332" i="2"/>
  <c r="I1333" i="2"/>
  <c r="J1333" i="2"/>
  <c r="L1333" i="2"/>
  <c r="M1333" i="2"/>
  <c r="I1334" i="2"/>
  <c r="J1334" i="2"/>
  <c r="L1334" i="2"/>
  <c r="M1334" i="2"/>
  <c r="I1335" i="2"/>
  <c r="J1335" i="2"/>
  <c r="L1335" i="2"/>
  <c r="M1335" i="2"/>
  <c r="I1336" i="2"/>
  <c r="J1336" i="2"/>
  <c r="L1336" i="2"/>
  <c r="M1336" i="2"/>
  <c r="I1337" i="2"/>
  <c r="J1337" i="2"/>
  <c r="L1337" i="2"/>
  <c r="M1337" i="2"/>
  <c r="I1338" i="2"/>
  <c r="J1338" i="2"/>
  <c r="L1338" i="2"/>
  <c r="M1338" i="2"/>
  <c r="I1339" i="2"/>
  <c r="J1339" i="2"/>
  <c r="L1339" i="2"/>
  <c r="M1339" i="2"/>
  <c r="I1340" i="2"/>
  <c r="J1340" i="2"/>
  <c r="L1340" i="2"/>
  <c r="M1340" i="2"/>
  <c r="I1341" i="2"/>
  <c r="J1341" i="2"/>
  <c r="L1341" i="2"/>
  <c r="M1341" i="2"/>
  <c r="I1342" i="2"/>
  <c r="J1342" i="2"/>
  <c r="L1342" i="2"/>
  <c r="M1342" i="2"/>
  <c r="I1343" i="2"/>
  <c r="J1343" i="2"/>
  <c r="L1343" i="2"/>
  <c r="M1343" i="2"/>
  <c r="I1344" i="2"/>
  <c r="J1344" i="2"/>
  <c r="L1344" i="2"/>
  <c r="M1344" i="2"/>
  <c r="I1345" i="2"/>
  <c r="J1345" i="2"/>
  <c r="L1345" i="2"/>
  <c r="M1345" i="2"/>
  <c r="I1346" i="2"/>
  <c r="J1346" i="2"/>
  <c r="L1346" i="2"/>
  <c r="M1346" i="2"/>
  <c r="I1347" i="2"/>
  <c r="J1347" i="2"/>
  <c r="L1347" i="2"/>
  <c r="M1347" i="2"/>
  <c r="I1348" i="2"/>
  <c r="J1348" i="2"/>
  <c r="L1348" i="2"/>
  <c r="M1348" i="2"/>
  <c r="I1349" i="2"/>
  <c r="J1349" i="2"/>
  <c r="L1349" i="2"/>
  <c r="M1349" i="2"/>
  <c r="I1350" i="2"/>
  <c r="J1350" i="2"/>
  <c r="L1350" i="2"/>
  <c r="M1350" i="2"/>
  <c r="I1351" i="2"/>
  <c r="J1351" i="2"/>
  <c r="L1351" i="2"/>
  <c r="M1351" i="2"/>
  <c r="I1352" i="2"/>
  <c r="J1352" i="2"/>
  <c r="L1352" i="2"/>
  <c r="M1352" i="2"/>
  <c r="I1353" i="2"/>
  <c r="J1353" i="2"/>
  <c r="L1353" i="2"/>
  <c r="M1353" i="2"/>
  <c r="I1354" i="2"/>
  <c r="J1354" i="2"/>
  <c r="L1354" i="2"/>
  <c r="M1354" i="2"/>
  <c r="I1355" i="2"/>
  <c r="J1355" i="2"/>
  <c r="L1355" i="2"/>
  <c r="M1355" i="2"/>
  <c r="I1356" i="2"/>
  <c r="J1356" i="2"/>
  <c r="L1356" i="2"/>
  <c r="M1356" i="2"/>
  <c r="I1357" i="2"/>
  <c r="J1357" i="2"/>
  <c r="L1357" i="2"/>
  <c r="M1357" i="2"/>
  <c r="I1358" i="2"/>
  <c r="J1358" i="2"/>
  <c r="L1358" i="2"/>
  <c r="M1358" i="2"/>
  <c r="I1359" i="2"/>
  <c r="J1359" i="2"/>
  <c r="L1359" i="2"/>
  <c r="M1359" i="2"/>
  <c r="I1360" i="2"/>
  <c r="J1360" i="2"/>
  <c r="L1360" i="2"/>
  <c r="M1360" i="2"/>
  <c r="I1361" i="2"/>
  <c r="J1361" i="2"/>
  <c r="L1361" i="2"/>
  <c r="M1361" i="2"/>
  <c r="I1362" i="2"/>
  <c r="J1362" i="2"/>
  <c r="L1362" i="2"/>
  <c r="M1362" i="2"/>
  <c r="I1363" i="2"/>
  <c r="J1363" i="2"/>
  <c r="L1363" i="2"/>
  <c r="M1363" i="2"/>
  <c r="I1364" i="2"/>
  <c r="J1364" i="2"/>
  <c r="L1364" i="2"/>
  <c r="M1364" i="2"/>
  <c r="I1365" i="2"/>
  <c r="J1365" i="2"/>
  <c r="L1365" i="2"/>
  <c r="M1365" i="2"/>
  <c r="I1366" i="2"/>
  <c r="J1366" i="2"/>
  <c r="L1366" i="2"/>
  <c r="M1366" i="2"/>
  <c r="I1367" i="2"/>
  <c r="J1367" i="2"/>
  <c r="L1367" i="2"/>
  <c r="M1367" i="2"/>
  <c r="I1368" i="2"/>
  <c r="J1368" i="2"/>
  <c r="L1368" i="2"/>
  <c r="M1368" i="2"/>
  <c r="I1369" i="2"/>
  <c r="J1369" i="2"/>
  <c r="L1369" i="2"/>
  <c r="M1369" i="2"/>
  <c r="I1370" i="2"/>
  <c r="J1370" i="2"/>
  <c r="L1370" i="2"/>
  <c r="M1370" i="2"/>
  <c r="I1371" i="2"/>
  <c r="J1371" i="2"/>
  <c r="L1371" i="2"/>
  <c r="M1371" i="2"/>
  <c r="I1372" i="2"/>
  <c r="J1372" i="2"/>
  <c r="L1372" i="2"/>
  <c r="M1372" i="2"/>
  <c r="I1373" i="2"/>
  <c r="J1373" i="2"/>
  <c r="L1373" i="2"/>
  <c r="M1373" i="2"/>
  <c r="I1374" i="2"/>
  <c r="J1374" i="2"/>
  <c r="L1374" i="2"/>
  <c r="M1374" i="2"/>
  <c r="I1375" i="2"/>
  <c r="J1375" i="2"/>
  <c r="L1375" i="2"/>
  <c r="M1375" i="2"/>
  <c r="I1376" i="2"/>
  <c r="J1376" i="2"/>
  <c r="L1376" i="2"/>
  <c r="M1376" i="2"/>
  <c r="I1377" i="2"/>
  <c r="J1377" i="2"/>
  <c r="L1377" i="2"/>
  <c r="M1377" i="2"/>
  <c r="I1378" i="2"/>
  <c r="J1378" i="2"/>
  <c r="L1378" i="2"/>
  <c r="M1378" i="2"/>
  <c r="I1379" i="2"/>
  <c r="J1379" i="2"/>
  <c r="L1379" i="2"/>
  <c r="M1379" i="2"/>
  <c r="I1380" i="2"/>
  <c r="J1380" i="2"/>
  <c r="L1380" i="2"/>
  <c r="M1380" i="2"/>
  <c r="I1381" i="2"/>
  <c r="J1381" i="2"/>
  <c r="L1381" i="2"/>
  <c r="M1381" i="2"/>
  <c r="I1382" i="2"/>
  <c r="J1382" i="2"/>
  <c r="L1382" i="2"/>
  <c r="M1382" i="2"/>
  <c r="I1383" i="2"/>
  <c r="J1383" i="2"/>
  <c r="L1383" i="2"/>
  <c r="M1383" i="2"/>
  <c r="I1384" i="2"/>
  <c r="J1384" i="2"/>
  <c r="L1384" i="2"/>
  <c r="M1384" i="2"/>
  <c r="I1385" i="2"/>
  <c r="J1385" i="2"/>
  <c r="L1385" i="2"/>
  <c r="M1385" i="2"/>
  <c r="I1386" i="2"/>
  <c r="J1386" i="2"/>
  <c r="L1386" i="2"/>
  <c r="M1386" i="2"/>
  <c r="I1387" i="2"/>
  <c r="J1387" i="2"/>
  <c r="L1387" i="2"/>
  <c r="M1387" i="2"/>
  <c r="I1388" i="2"/>
  <c r="J1388" i="2"/>
  <c r="L1388" i="2"/>
  <c r="M1388" i="2"/>
  <c r="I1389" i="2"/>
  <c r="J1389" i="2"/>
  <c r="L1389" i="2"/>
  <c r="M1389" i="2"/>
  <c r="I1390" i="2"/>
  <c r="J1390" i="2"/>
  <c r="L1390" i="2"/>
  <c r="M1390" i="2"/>
  <c r="I1391" i="2"/>
  <c r="J1391" i="2"/>
  <c r="L1391" i="2"/>
  <c r="M1391" i="2"/>
  <c r="I1392" i="2"/>
  <c r="J1392" i="2"/>
  <c r="L1392" i="2"/>
  <c r="M1392" i="2"/>
  <c r="I1393" i="2"/>
  <c r="J1393" i="2"/>
  <c r="L1393" i="2"/>
  <c r="M1393" i="2"/>
  <c r="I1394" i="2"/>
  <c r="J1394" i="2"/>
  <c r="L1394" i="2"/>
  <c r="M1394" i="2"/>
  <c r="I1395" i="2"/>
  <c r="J1395" i="2"/>
  <c r="L1395" i="2"/>
  <c r="M1395" i="2"/>
  <c r="I1396" i="2"/>
  <c r="J1396" i="2"/>
  <c r="L1396" i="2"/>
  <c r="M1396" i="2"/>
  <c r="I1397" i="2"/>
  <c r="J1397" i="2"/>
  <c r="L1397" i="2"/>
  <c r="M1397" i="2"/>
  <c r="I1398" i="2"/>
  <c r="J1398" i="2"/>
  <c r="L1398" i="2"/>
  <c r="M1398" i="2"/>
  <c r="I1399" i="2"/>
  <c r="J1399" i="2"/>
  <c r="L1399" i="2"/>
  <c r="M1399" i="2"/>
  <c r="I1400" i="2"/>
  <c r="J1400" i="2"/>
  <c r="L1400" i="2"/>
  <c r="M1400" i="2"/>
  <c r="I1401" i="2"/>
  <c r="J1401" i="2"/>
  <c r="L1401" i="2"/>
  <c r="M1401" i="2"/>
  <c r="I1402" i="2"/>
  <c r="J1402" i="2"/>
  <c r="L1402" i="2"/>
  <c r="M1402" i="2"/>
  <c r="I1403" i="2"/>
  <c r="J1403" i="2"/>
  <c r="L1403" i="2"/>
  <c r="M1403" i="2"/>
  <c r="I1404" i="2"/>
  <c r="J1404" i="2"/>
  <c r="L1404" i="2"/>
  <c r="M1404" i="2"/>
  <c r="I1405" i="2"/>
  <c r="J1405" i="2"/>
  <c r="L1405" i="2"/>
  <c r="M1405" i="2"/>
  <c r="I1406" i="2"/>
  <c r="J1406" i="2"/>
  <c r="L1406" i="2"/>
  <c r="M1406" i="2"/>
  <c r="I1407" i="2"/>
  <c r="J1407" i="2"/>
  <c r="L1407" i="2"/>
  <c r="M1407" i="2"/>
  <c r="I1408" i="2"/>
  <c r="J1408" i="2"/>
  <c r="L1408" i="2"/>
  <c r="M1408" i="2"/>
  <c r="I1409" i="2"/>
  <c r="J1409" i="2"/>
  <c r="L1409" i="2"/>
  <c r="M1409" i="2"/>
  <c r="I1410" i="2"/>
  <c r="J1410" i="2"/>
  <c r="L1410" i="2"/>
  <c r="M1410" i="2"/>
  <c r="I1411" i="2"/>
  <c r="J1411" i="2"/>
  <c r="L1411" i="2"/>
  <c r="M1411" i="2"/>
  <c r="I1412" i="2"/>
  <c r="J1412" i="2"/>
  <c r="L1412" i="2"/>
  <c r="M1412" i="2"/>
  <c r="I1413" i="2"/>
  <c r="J1413" i="2"/>
  <c r="L1413" i="2"/>
  <c r="M1413" i="2"/>
  <c r="I1414" i="2"/>
  <c r="J1414" i="2"/>
  <c r="L1414" i="2"/>
  <c r="M1414" i="2"/>
  <c r="I1415" i="2"/>
  <c r="J1415" i="2"/>
  <c r="L1415" i="2"/>
  <c r="M1415" i="2"/>
  <c r="I1416" i="2"/>
  <c r="J1416" i="2"/>
  <c r="L1416" i="2"/>
  <c r="M1416" i="2"/>
  <c r="I1417" i="2"/>
  <c r="J1417" i="2"/>
  <c r="L1417" i="2"/>
  <c r="M1417" i="2"/>
  <c r="I1418" i="2"/>
  <c r="J1418" i="2"/>
  <c r="L1418" i="2"/>
  <c r="M1418" i="2"/>
  <c r="I1419" i="2"/>
  <c r="J1419" i="2"/>
  <c r="L1419" i="2"/>
  <c r="M1419" i="2"/>
  <c r="I1420" i="2"/>
  <c r="J1420" i="2"/>
  <c r="L1420" i="2"/>
  <c r="M1420" i="2"/>
  <c r="I1421" i="2"/>
  <c r="J1421" i="2"/>
  <c r="L1421" i="2"/>
  <c r="M1421" i="2"/>
  <c r="I1422" i="2"/>
  <c r="J1422" i="2"/>
  <c r="L1422" i="2"/>
  <c r="M1422" i="2"/>
  <c r="I1423" i="2"/>
  <c r="J1423" i="2"/>
  <c r="L1423" i="2"/>
  <c r="M1423" i="2"/>
  <c r="I1424" i="2"/>
  <c r="J1424" i="2"/>
  <c r="L1424" i="2"/>
  <c r="M1424" i="2"/>
  <c r="I1425" i="2"/>
  <c r="J1425" i="2"/>
  <c r="L1425" i="2"/>
  <c r="M1425" i="2"/>
  <c r="I1426" i="2"/>
  <c r="J1426" i="2"/>
  <c r="L1426" i="2"/>
  <c r="M1426" i="2"/>
  <c r="I1427" i="2"/>
  <c r="J1427" i="2"/>
  <c r="L1427" i="2"/>
  <c r="M1427" i="2"/>
  <c r="I1428" i="2"/>
  <c r="J1428" i="2"/>
  <c r="L1428" i="2"/>
  <c r="M1428" i="2"/>
  <c r="I1429" i="2"/>
  <c r="J1429" i="2"/>
  <c r="L1429" i="2"/>
  <c r="M1429" i="2"/>
  <c r="I1430" i="2"/>
  <c r="J1430" i="2"/>
  <c r="L1430" i="2"/>
  <c r="M1430" i="2"/>
  <c r="I1431" i="2"/>
  <c r="J1431" i="2"/>
  <c r="L1431" i="2"/>
  <c r="M1431" i="2"/>
  <c r="I1432" i="2"/>
  <c r="J1432" i="2"/>
  <c r="L1432" i="2"/>
  <c r="M1432" i="2"/>
  <c r="I1433" i="2"/>
  <c r="J1433" i="2"/>
  <c r="L1433" i="2"/>
  <c r="M1433" i="2"/>
  <c r="I1434" i="2"/>
  <c r="J1434" i="2"/>
  <c r="L1434" i="2"/>
  <c r="M1434" i="2"/>
  <c r="I1435" i="2"/>
  <c r="J1435" i="2"/>
  <c r="L1435" i="2"/>
  <c r="M1435" i="2"/>
  <c r="I1436" i="2"/>
  <c r="J1436" i="2"/>
  <c r="L1436" i="2"/>
  <c r="M1436" i="2"/>
  <c r="I1437" i="2"/>
  <c r="J1437" i="2"/>
  <c r="L1437" i="2"/>
  <c r="M1437" i="2"/>
  <c r="I1438" i="2"/>
  <c r="J1438" i="2"/>
  <c r="L1438" i="2"/>
  <c r="M1438" i="2"/>
  <c r="I1439" i="2"/>
  <c r="J1439" i="2"/>
  <c r="L1439" i="2"/>
  <c r="M1439" i="2"/>
  <c r="I1440" i="2"/>
  <c r="J1440" i="2"/>
  <c r="L1440" i="2"/>
  <c r="M1440" i="2"/>
  <c r="I1441" i="2"/>
  <c r="J1441" i="2"/>
  <c r="L1441" i="2"/>
  <c r="M1441" i="2"/>
  <c r="I1442" i="2"/>
  <c r="J1442" i="2"/>
  <c r="L1442" i="2"/>
  <c r="M1442" i="2"/>
  <c r="I1443" i="2"/>
  <c r="J1443" i="2"/>
  <c r="L1443" i="2"/>
  <c r="M1443" i="2"/>
  <c r="I1444" i="2"/>
  <c r="J1444" i="2"/>
  <c r="L1444" i="2"/>
  <c r="M1444" i="2"/>
  <c r="I1445" i="2"/>
  <c r="J1445" i="2"/>
  <c r="L1445" i="2"/>
  <c r="M1445" i="2"/>
  <c r="I1446" i="2"/>
  <c r="J1446" i="2"/>
  <c r="L1446" i="2"/>
  <c r="M1446" i="2"/>
  <c r="I1447" i="2"/>
  <c r="J1447" i="2"/>
  <c r="L1447" i="2"/>
  <c r="M1447" i="2"/>
  <c r="I1448" i="2"/>
  <c r="J1448" i="2"/>
  <c r="L1448" i="2"/>
  <c r="M1448" i="2"/>
  <c r="I1449" i="2"/>
  <c r="J1449" i="2"/>
  <c r="L1449" i="2"/>
  <c r="M1449" i="2"/>
  <c r="I1450" i="2"/>
  <c r="J1450" i="2"/>
  <c r="L1450" i="2"/>
  <c r="M1450" i="2"/>
  <c r="I1451" i="2"/>
  <c r="J1451" i="2"/>
  <c r="L1451" i="2"/>
  <c r="M1451" i="2"/>
  <c r="I1452" i="2"/>
  <c r="J1452" i="2"/>
  <c r="L1452" i="2"/>
  <c r="M1452" i="2"/>
  <c r="I1453" i="2"/>
  <c r="J1453" i="2"/>
  <c r="L1453" i="2"/>
  <c r="M1453" i="2"/>
  <c r="I1454" i="2"/>
  <c r="J1454" i="2"/>
  <c r="L1454" i="2"/>
  <c r="M1454" i="2"/>
  <c r="I1455" i="2"/>
  <c r="J1455" i="2"/>
  <c r="L1455" i="2"/>
  <c r="M1455" i="2"/>
  <c r="I1456" i="2"/>
  <c r="J1456" i="2"/>
  <c r="L1456" i="2"/>
  <c r="M1456" i="2"/>
  <c r="I1457" i="2"/>
  <c r="J1457" i="2"/>
  <c r="L1457" i="2"/>
  <c r="M1457" i="2"/>
  <c r="I1458" i="2"/>
  <c r="J1458" i="2"/>
  <c r="L1458" i="2"/>
  <c r="M1458" i="2"/>
  <c r="I1459" i="2"/>
  <c r="J1459" i="2"/>
  <c r="L1459" i="2"/>
  <c r="M1459" i="2"/>
  <c r="I1460" i="2"/>
  <c r="J1460" i="2"/>
  <c r="L1460" i="2"/>
  <c r="M1460" i="2"/>
  <c r="I1461" i="2"/>
  <c r="J1461" i="2"/>
  <c r="L1461" i="2"/>
  <c r="M1461" i="2"/>
  <c r="I1462" i="2"/>
  <c r="J1462" i="2"/>
  <c r="L1462" i="2"/>
  <c r="M1462" i="2"/>
  <c r="I1463" i="2"/>
  <c r="J1463" i="2"/>
  <c r="L1463" i="2"/>
  <c r="M1463" i="2"/>
  <c r="I1464" i="2"/>
  <c r="J1464" i="2"/>
  <c r="L1464" i="2"/>
  <c r="M1464" i="2"/>
  <c r="I1465" i="2"/>
  <c r="J1465" i="2"/>
  <c r="L1465" i="2"/>
  <c r="M1465" i="2"/>
  <c r="I1466" i="2"/>
  <c r="J1466" i="2"/>
  <c r="L1466" i="2"/>
  <c r="M1466" i="2"/>
  <c r="I1467" i="2"/>
  <c r="J1467" i="2"/>
  <c r="L1467" i="2"/>
  <c r="M1467" i="2"/>
  <c r="I1468" i="2"/>
  <c r="J1468" i="2"/>
  <c r="L1468" i="2"/>
  <c r="M1468" i="2"/>
  <c r="I1469" i="2"/>
  <c r="J1469" i="2"/>
  <c r="L1469" i="2"/>
  <c r="M1469" i="2"/>
  <c r="I1470" i="2"/>
  <c r="J1470" i="2"/>
  <c r="L1470" i="2"/>
  <c r="M1470" i="2"/>
  <c r="I1471" i="2"/>
  <c r="J1471" i="2"/>
  <c r="L1471" i="2"/>
  <c r="M1471" i="2"/>
  <c r="I1472" i="2"/>
  <c r="J1472" i="2"/>
  <c r="L1472" i="2"/>
  <c r="M1472" i="2"/>
  <c r="I1473" i="2"/>
  <c r="J1473" i="2"/>
  <c r="L1473" i="2"/>
  <c r="M1473" i="2"/>
  <c r="I1474" i="2"/>
  <c r="J1474" i="2"/>
  <c r="L1474" i="2"/>
  <c r="M1474" i="2"/>
  <c r="I1475" i="2"/>
  <c r="J1475" i="2"/>
  <c r="L1475" i="2"/>
  <c r="M1475" i="2"/>
  <c r="I1476" i="2"/>
  <c r="J1476" i="2"/>
  <c r="L1476" i="2"/>
  <c r="M1476" i="2"/>
  <c r="I1477" i="2"/>
  <c r="J1477" i="2"/>
  <c r="L1477" i="2"/>
  <c r="M1477" i="2"/>
  <c r="I1478" i="2"/>
  <c r="J1478" i="2"/>
  <c r="L1478" i="2"/>
  <c r="M1478" i="2"/>
  <c r="I1479" i="2"/>
  <c r="J1479" i="2"/>
  <c r="L1479" i="2"/>
  <c r="M1479" i="2"/>
  <c r="I1480" i="2"/>
  <c r="J1480" i="2"/>
  <c r="L1480" i="2"/>
  <c r="M1480" i="2"/>
  <c r="I1481" i="2"/>
  <c r="J1481" i="2"/>
  <c r="L1481" i="2"/>
  <c r="M1481" i="2"/>
  <c r="I1482" i="2"/>
  <c r="J1482" i="2"/>
  <c r="L1482" i="2"/>
  <c r="M1482" i="2"/>
  <c r="I1483" i="2"/>
  <c r="J1483" i="2"/>
  <c r="L1483" i="2"/>
  <c r="M1483" i="2"/>
  <c r="I1484" i="2"/>
  <c r="J1484" i="2"/>
  <c r="L1484" i="2"/>
  <c r="M1484" i="2"/>
  <c r="I1485" i="2"/>
  <c r="J1485" i="2"/>
  <c r="L1485" i="2"/>
  <c r="M1485" i="2"/>
  <c r="I1486" i="2"/>
  <c r="J1486" i="2"/>
  <c r="L1486" i="2"/>
  <c r="M1486" i="2"/>
  <c r="I1487" i="2"/>
  <c r="J1487" i="2"/>
  <c r="L1487" i="2"/>
  <c r="M1487" i="2"/>
  <c r="I1488" i="2"/>
  <c r="J1488" i="2"/>
  <c r="L1488" i="2"/>
  <c r="M1488" i="2"/>
  <c r="I1489" i="2"/>
  <c r="J1489" i="2"/>
  <c r="L1489" i="2"/>
  <c r="M1489" i="2"/>
  <c r="I1490" i="2"/>
  <c r="J1490" i="2"/>
  <c r="L1490" i="2"/>
  <c r="M1490" i="2"/>
  <c r="I1491" i="2"/>
  <c r="J1491" i="2"/>
  <c r="L1491" i="2"/>
  <c r="M1491" i="2"/>
  <c r="I1492" i="2"/>
  <c r="J1492" i="2"/>
  <c r="L1492" i="2"/>
  <c r="M1492" i="2"/>
  <c r="I1493" i="2"/>
  <c r="J1493" i="2"/>
  <c r="L1493" i="2"/>
  <c r="M1493" i="2"/>
  <c r="I1494" i="2"/>
  <c r="J1494" i="2"/>
  <c r="L1494" i="2"/>
  <c r="M1494" i="2"/>
  <c r="I1495" i="2"/>
  <c r="J1495" i="2"/>
  <c r="L1495" i="2"/>
  <c r="M1495" i="2"/>
  <c r="I1496" i="2"/>
  <c r="J1496" i="2"/>
  <c r="L1496" i="2"/>
  <c r="M1496" i="2"/>
  <c r="I1497" i="2"/>
  <c r="J1497" i="2"/>
  <c r="L1497" i="2"/>
  <c r="M1497" i="2"/>
  <c r="I1498" i="2"/>
  <c r="J1498" i="2"/>
  <c r="L1498" i="2"/>
  <c r="M1498" i="2"/>
  <c r="I1499" i="2"/>
  <c r="J1499" i="2"/>
  <c r="L1499" i="2"/>
  <c r="M1499" i="2"/>
  <c r="I1500" i="2"/>
  <c r="J1500" i="2"/>
  <c r="L1500" i="2"/>
  <c r="M1500" i="2"/>
  <c r="I1501" i="2"/>
  <c r="J1501" i="2"/>
  <c r="L1501" i="2"/>
  <c r="M1501" i="2"/>
  <c r="I1502" i="2"/>
  <c r="J1502" i="2"/>
  <c r="L1502" i="2"/>
  <c r="M1502" i="2"/>
  <c r="I1503" i="2"/>
  <c r="J1503" i="2"/>
  <c r="L1503" i="2"/>
  <c r="M1503" i="2"/>
  <c r="I1504" i="2"/>
  <c r="J1504" i="2"/>
  <c r="L1504" i="2"/>
  <c r="M1504" i="2"/>
  <c r="I1505" i="2"/>
  <c r="J1505" i="2"/>
  <c r="L1505" i="2"/>
  <c r="M1505" i="2"/>
  <c r="I1506" i="2"/>
  <c r="J1506" i="2"/>
  <c r="L1506" i="2"/>
  <c r="M1506" i="2"/>
  <c r="I1507" i="2"/>
  <c r="J1507" i="2"/>
  <c r="L1507" i="2"/>
  <c r="M1507" i="2"/>
  <c r="I1508" i="2"/>
  <c r="J1508" i="2"/>
  <c r="L1508" i="2"/>
  <c r="M1508" i="2"/>
  <c r="I1509" i="2"/>
  <c r="J1509" i="2"/>
  <c r="L1509" i="2"/>
  <c r="M1509" i="2"/>
  <c r="I1510" i="2"/>
  <c r="J1510" i="2"/>
  <c r="L1510" i="2"/>
  <c r="M1510" i="2"/>
  <c r="I1511" i="2"/>
  <c r="J1511" i="2"/>
  <c r="L1511" i="2"/>
  <c r="M1511" i="2"/>
  <c r="I1512" i="2"/>
  <c r="J1512" i="2"/>
  <c r="L1512" i="2"/>
  <c r="M1512" i="2"/>
  <c r="I1513" i="2"/>
  <c r="J1513" i="2"/>
  <c r="L1513" i="2"/>
  <c r="M1513" i="2"/>
  <c r="I1514" i="2"/>
  <c r="J1514" i="2"/>
  <c r="L1514" i="2"/>
  <c r="M1514" i="2"/>
  <c r="I1515" i="2"/>
  <c r="J1515" i="2"/>
  <c r="L1515" i="2"/>
  <c r="M1515" i="2"/>
  <c r="I1516" i="2"/>
  <c r="J1516" i="2"/>
  <c r="L1516" i="2"/>
  <c r="M1516" i="2"/>
  <c r="I1517" i="2"/>
  <c r="J1517" i="2"/>
  <c r="L1517" i="2"/>
  <c r="M1517" i="2"/>
  <c r="I1518" i="2"/>
  <c r="J1518" i="2"/>
  <c r="L1518" i="2"/>
  <c r="M1518" i="2"/>
  <c r="I1519" i="2"/>
  <c r="J1519" i="2"/>
  <c r="L1519" i="2"/>
  <c r="M1519" i="2"/>
  <c r="I1520" i="2"/>
  <c r="J1520" i="2"/>
  <c r="L1520" i="2"/>
  <c r="M1520" i="2"/>
  <c r="I1521" i="2"/>
  <c r="J1521" i="2"/>
  <c r="L1521" i="2"/>
  <c r="M1521" i="2"/>
  <c r="I1522" i="2"/>
  <c r="J1522" i="2"/>
  <c r="L1522" i="2"/>
  <c r="M1522" i="2"/>
  <c r="I1523" i="2"/>
  <c r="J1523" i="2"/>
  <c r="L1523" i="2"/>
  <c r="M1523" i="2"/>
  <c r="I1524" i="2"/>
  <c r="J1524" i="2"/>
  <c r="L1524" i="2"/>
  <c r="M1524" i="2"/>
  <c r="I1525" i="2"/>
  <c r="J1525" i="2"/>
  <c r="L1525" i="2"/>
  <c r="M1525" i="2"/>
  <c r="I1526" i="2"/>
  <c r="J1526" i="2"/>
  <c r="L1526" i="2"/>
  <c r="M1526" i="2"/>
  <c r="I1527" i="2"/>
  <c r="J1527" i="2"/>
  <c r="L1527" i="2"/>
  <c r="M1527" i="2"/>
  <c r="I1528" i="2"/>
  <c r="J1528" i="2"/>
  <c r="L1528" i="2"/>
  <c r="M1528" i="2"/>
  <c r="I1529" i="2"/>
  <c r="J1529" i="2"/>
  <c r="L1529" i="2"/>
  <c r="M1529" i="2"/>
  <c r="I1530" i="2"/>
  <c r="J1530" i="2"/>
  <c r="L1530" i="2"/>
  <c r="M1530" i="2"/>
  <c r="I1531" i="2"/>
  <c r="J1531" i="2"/>
  <c r="L1531" i="2"/>
  <c r="M1531" i="2"/>
  <c r="I1532" i="2"/>
  <c r="J1532" i="2"/>
  <c r="L1532" i="2"/>
  <c r="M1532" i="2"/>
  <c r="I1533" i="2"/>
  <c r="J1533" i="2"/>
  <c r="L1533" i="2"/>
  <c r="M1533" i="2"/>
  <c r="I1534" i="2"/>
  <c r="J1534" i="2"/>
  <c r="L1534" i="2"/>
  <c r="M1534" i="2"/>
  <c r="I1535" i="2"/>
  <c r="J1535" i="2"/>
  <c r="L1535" i="2"/>
  <c r="M1535" i="2"/>
  <c r="I1536" i="2"/>
  <c r="J1536" i="2"/>
  <c r="L1536" i="2"/>
  <c r="M1536" i="2"/>
  <c r="I1537" i="2"/>
  <c r="J1537" i="2"/>
  <c r="L1537" i="2"/>
  <c r="M1537" i="2"/>
  <c r="I1538" i="2"/>
  <c r="J1538" i="2"/>
  <c r="L1538" i="2"/>
  <c r="M1538" i="2"/>
  <c r="I1539" i="2"/>
  <c r="J1539" i="2"/>
  <c r="L1539" i="2"/>
  <c r="M1539" i="2"/>
  <c r="I1540" i="2"/>
  <c r="J1540" i="2"/>
  <c r="L1540" i="2"/>
  <c r="M1540" i="2"/>
  <c r="I1541" i="2"/>
  <c r="J1541" i="2"/>
  <c r="L1541" i="2"/>
  <c r="M1541" i="2"/>
  <c r="I1542" i="2"/>
  <c r="J1542" i="2"/>
  <c r="L1542" i="2"/>
  <c r="M1542" i="2"/>
  <c r="I1543" i="2"/>
  <c r="J1543" i="2"/>
  <c r="L1543" i="2"/>
  <c r="M1543" i="2"/>
  <c r="I1544" i="2"/>
  <c r="J1544" i="2"/>
  <c r="L1544" i="2"/>
  <c r="M1544" i="2"/>
  <c r="I1545" i="2"/>
  <c r="J1545" i="2"/>
  <c r="L1545" i="2"/>
  <c r="M1545" i="2"/>
  <c r="I1546" i="2"/>
  <c r="J1546" i="2"/>
  <c r="L1546" i="2"/>
  <c r="M1546" i="2"/>
  <c r="I1547" i="2"/>
  <c r="J1547" i="2"/>
  <c r="L1547" i="2"/>
  <c r="M1547" i="2"/>
  <c r="I1548" i="2"/>
  <c r="J1548" i="2"/>
  <c r="L1548" i="2"/>
  <c r="M1548" i="2"/>
  <c r="I1549" i="2"/>
  <c r="J1549" i="2"/>
  <c r="L1549" i="2"/>
  <c r="M1549" i="2"/>
  <c r="I1550" i="2"/>
  <c r="J1550" i="2"/>
  <c r="L1550" i="2"/>
  <c r="M1550" i="2"/>
  <c r="I1551" i="2"/>
  <c r="J1551" i="2"/>
  <c r="L1551" i="2"/>
  <c r="M1551" i="2"/>
  <c r="I1552" i="2"/>
  <c r="J1552" i="2"/>
  <c r="L1552" i="2"/>
  <c r="M1552" i="2"/>
  <c r="I1553" i="2"/>
  <c r="J1553" i="2"/>
  <c r="L1553" i="2"/>
  <c r="M1553" i="2"/>
  <c r="I1554" i="2"/>
  <c r="J1554" i="2"/>
  <c r="L1554" i="2"/>
  <c r="M1554" i="2"/>
  <c r="I1555" i="2"/>
  <c r="J1555" i="2"/>
  <c r="L1555" i="2"/>
  <c r="M1555" i="2"/>
  <c r="I1556" i="2"/>
  <c r="J1556" i="2"/>
  <c r="L1556" i="2"/>
  <c r="M1556" i="2"/>
  <c r="I1557" i="2"/>
  <c r="J1557" i="2"/>
  <c r="L1557" i="2"/>
  <c r="M1557" i="2"/>
  <c r="I1558" i="2"/>
  <c r="J1558" i="2"/>
  <c r="L1558" i="2"/>
  <c r="M1558" i="2"/>
  <c r="I1559" i="2"/>
  <c r="J1559" i="2"/>
  <c r="L1559" i="2"/>
  <c r="M1559" i="2"/>
  <c r="I1560" i="2"/>
  <c r="J1560" i="2"/>
  <c r="L1560" i="2"/>
  <c r="M1560" i="2"/>
  <c r="I1561" i="2"/>
  <c r="J1561" i="2"/>
  <c r="L1561" i="2"/>
  <c r="M1561" i="2"/>
  <c r="I1562" i="2"/>
  <c r="J1562" i="2"/>
  <c r="L1562" i="2"/>
  <c r="M1562" i="2"/>
  <c r="I1563" i="2"/>
  <c r="J1563" i="2"/>
  <c r="L1563" i="2"/>
  <c r="M1563" i="2"/>
  <c r="I1564" i="2"/>
  <c r="J1564" i="2"/>
  <c r="L1564" i="2"/>
  <c r="M1564" i="2"/>
  <c r="I1565" i="2"/>
  <c r="J1565" i="2"/>
  <c r="L1565" i="2"/>
  <c r="M1565" i="2"/>
  <c r="I1566" i="2"/>
  <c r="J1566" i="2"/>
  <c r="L1566" i="2"/>
  <c r="M1566" i="2"/>
  <c r="I1567" i="2"/>
  <c r="J1567" i="2"/>
  <c r="L1567" i="2"/>
  <c r="M1567" i="2"/>
  <c r="I1568" i="2"/>
  <c r="J1568" i="2"/>
  <c r="L1568" i="2"/>
  <c r="M1568" i="2"/>
  <c r="I1569" i="2"/>
  <c r="J1569" i="2"/>
  <c r="L1569" i="2"/>
  <c r="M1569" i="2"/>
  <c r="I1570" i="2"/>
  <c r="J1570" i="2"/>
  <c r="L1570" i="2"/>
  <c r="M1570" i="2"/>
  <c r="I1571" i="2"/>
  <c r="J1571" i="2"/>
  <c r="L1571" i="2"/>
  <c r="M1571" i="2"/>
  <c r="I1572" i="2"/>
  <c r="J1572" i="2"/>
  <c r="L1572" i="2"/>
  <c r="M1572" i="2"/>
  <c r="I1573" i="2"/>
  <c r="J1573" i="2"/>
  <c r="L1573" i="2"/>
  <c r="M1573" i="2"/>
  <c r="I1574" i="2"/>
  <c r="J1574" i="2"/>
  <c r="L1574" i="2"/>
  <c r="M1574" i="2"/>
  <c r="I1575" i="2"/>
  <c r="J1575" i="2"/>
  <c r="L1575" i="2"/>
  <c r="M1575" i="2"/>
  <c r="I1576" i="2"/>
  <c r="J1576" i="2"/>
  <c r="L1576" i="2"/>
  <c r="M1576" i="2"/>
  <c r="I1577" i="2"/>
  <c r="J1577" i="2"/>
  <c r="L1577" i="2"/>
  <c r="M1577" i="2"/>
  <c r="I1578" i="2"/>
  <c r="J1578" i="2"/>
  <c r="L1578" i="2"/>
  <c r="M1578" i="2"/>
  <c r="I1579" i="2"/>
  <c r="J1579" i="2"/>
  <c r="L1579" i="2"/>
  <c r="M1579" i="2"/>
  <c r="I1580" i="2"/>
  <c r="J1580" i="2"/>
  <c r="L1580" i="2"/>
  <c r="M1580" i="2"/>
  <c r="I1581" i="2"/>
  <c r="J1581" i="2"/>
  <c r="L1581" i="2"/>
  <c r="M1581" i="2"/>
  <c r="I1582" i="2"/>
  <c r="J1582" i="2"/>
  <c r="L1582" i="2"/>
  <c r="M1582" i="2"/>
  <c r="I1583" i="2"/>
  <c r="J1583" i="2"/>
  <c r="L1583" i="2"/>
  <c r="M1583" i="2"/>
  <c r="I1584" i="2"/>
  <c r="J1584" i="2"/>
  <c r="L1584" i="2"/>
  <c r="M1584" i="2"/>
  <c r="I1585" i="2"/>
  <c r="J1585" i="2"/>
  <c r="L1585" i="2"/>
  <c r="M1585" i="2"/>
  <c r="I1586" i="2"/>
  <c r="J1586" i="2"/>
  <c r="L1586" i="2"/>
  <c r="M1586" i="2"/>
  <c r="I1587" i="2"/>
  <c r="J1587" i="2"/>
  <c r="L1587" i="2"/>
  <c r="M1587" i="2"/>
  <c r="I1588" i="2"/>
  <c r="J1588" i="2"/>
  <c r="L1588" i="2"/>
  <c r="M1588" i="2"/>
  <c r="I1589" i="2"/>
  <c r="J1589" i="2"/>
  <c r="L1589" i="2"/>
  <c r="M1589" i="2"/>
  <c r="I1590" i="2"/>
  <c r="J1590" i="2"/>
  <c r="L1590" i="2"/>
  <c r="M1590" i="2"/>
  <c r="I1591" i="2"/>
  <c r="J1591" i="2"/>
  <c r="L1591" i="2"/>
  <c r="M1591" i="2"/>
  <c r="I1592" i="2"/>
  <c r="J1592" i="2"/>
  <c r="L1592" i="2"/>
  <c r="M1592" i="2"/>
  <c r="I1593" i="2"/>
  <c r="J1593" i="2"/>
  <c r="L1593" i="2"/>
  <c r="M1593" i="2"/>
  <c r="I1594" i="2"/>
  <c r="J1594" i="2"/>
  <c r="L1594" i="2"/>
  <c r="M1594" i="2"/>
  <c r="I1595" i="2"/>
  <c r="J1595" i="2"/>
  <c r="L1595" i="2"/>
  <c r="M1595" i="2"/>
  <c r="I1596" i="2"/>
  <c r="J1596" i="2"/>
  <c r="L1596" i="2"/>
  <c r="M1596" i="2"/>
  <c r="I1597" i="2"/>
  <c r="J1597" i="2"/>
  <c r="L1597" i="2"/>
  <c r="M1597" i="2"/>
  <c r="I1598" i="2"/>
  <c r="J1598" i="2"/>
  <c r="L1598" i="2"/>
  <c r="M1598" i="2"/>
  <c r="I1599" i="2"/>
  <c r="J1599" i="2"/>
  <c r="L1599" i="2"/>
  <c r="M1599" i="2"/>
  <c r="I1600" i="2"/>
  <c r="J1600" i="2"/>
  <c r="L1600" i="2"/>
  <c r="M1600" i="2"/>
  <c r="I1601" i="2"/>
  <c r="J1601" i="2"/>
  <c r="L1601" i="2"/>
  <c r="M1601" i="2"/>
  <c r="I1602" i="2"/>
  <c r="J1602" i="2"/>
  <c r="L1602" i="2"/>
  <c r="M1602" i="2"/>
  <c r="I1603" i="2"/>
  <c r="J1603" i="2"/>
  <c r="L1603" i="2"/>
  <c r="M1603" i="2"/>
  <c r="I1604" i="2"/>
  <c r="J1604" i="2"/>
  <c r="L1604" i="2"/>
  <c r="M1604" i="2"/>
  <c r="I1605" i="2"/>
  <c r="J1605" i="2"/>
  <c r="L1605" i="2"/>
  <c r="M1605" i="2"/>
  <c r="I1606" i="2"/>
  <c r="J1606" i="2"/>
  <c r="L1606" i="2"/>
  <c r="M1606" i="2"/>
  <c r="I1607" i="2"/>
  <c r="J1607" i="2"/>
  <c r="L1607" i="2"/>
  <c r="M1607" i="2"/>
  <c r="I1608" i="2"/>
  <c r="J1608" i="2"/>
  <c r="L1608" i="2"/>
  <c r="M1608" i="2"/>
  <c r="I1609" i="2"/>
  <c r="J1609" i="2"/>
  <c r="L1609" i="2"/>
  <c r="M1609" i="2"/>
  <c r="I1610" i="2"/>
  <c r="J1610" i="2"/>
  <c r="L1610" i="2"/>
  <c r="M1610" i="2"/>
  <c r="I1611" i="2"/>
  <c r="J1611" i="2"/>
  <c r="L1611" i="2"/>
  <c r="M1611" i="2"/>
  <c r="I1612" i="2"/>
  <c r="J1612" i="2"/>
  <c r="L1612" i="2"/>
  <c r="M1612" i="2"/>
  <c r="I1613" i="2"/>
  <c r="J1613" i="2"/>
  <c r="L1613" i="2"/>
  <c r="M1613" i="2"/>
  <c r="I1614" i="2"/>
  <c r="J1614" i="2"/>
  <c r="L1614" i="2"/>
  <c r="M1614" i="2"/>
  <c r="I1615" i="2"/>
  <c r="J1615" i="2"/>
  <c r="L1615" i="2"/>
  <c r="M1615" i="2"/>
  <c r="I1616" i="2"/>
  <c r="J1616" i="2"/>
  <c r="L1616" i="2"/>
  <c r="M1616" i="2"/>
  <c r="I1617" i="2"/>
  <c r="J1617" i="2"/>
  <c r="L1617" i="2"/>
  <c r="M1617" i="2"/>
  <c r="I1618" i="2"/>
  <c r="J1618" i="2"/>
  <c r="L1618" i="2"/>
  <c r="M1618" i="2"/>
  <c r="I1619" i="2"/>
  <c r="J1619" i="2"/>
  <c r="L1619" i="2"/>
  <c r="M1619" i="2"/>
  <c r="I1620" i="2"/>
  <c r="J1620" i="2"/>
  <c r="L1620" i="2"/>
  <c r="M1620" i="2"/>
  <c r="I1621" i="2"/>
  <c r="J1621" i="2"/>
  <c r="L1621" i="2"/>
  <c r="M1621" i="2"/>
  <c r="I1622" i="2"/>
  <c r="J1622" i="2"/>
  <c r="L1622" i="2"/>
  <c r="M1622" i="2"/>
  <c r="I1623" i="2"/>
  <c r="J1623" i="2"/>
  <c r="L1623" i="2"/>
  <c r="M1623" i="2"/>
  <c r="I1624" i="2"/>
  <c r="J1624" i="2"/>
  <c r="L1624" i="2"/>
  <c r="M1624" i="2"/>
  <c r="I1625" i="2"/>
  <c r="J1625" i="2"/>
  <c r="L1625" i="2"/>
  <c r="M1625" i="2"/>
  <c r="I1626" i="2"/>
  <c r="J1626" i="2"/>
  <c r="L1626" i="2"/>
  <c r="M1626" i="2"/>
  <c r="I1627" i="2"/>
  <c r="J1627" i="2"/>
  <c r="L1627" i="2"/>
  <c r="M1627" i="2"/>
  <c r="I1628" i="2"/>
  <c r="J1628" i="2"/>
  <c r="L1628" i="2"/>
  <c r="M1628" i="2"/>
  <c r="I1629" i="2"/>
  <c r="J1629" i="2"/>
  <c r="L1629" i="2"/>
  <c r="M1629" i="2"/>
  <c r="I1630" i="2"/>
  <c r="J1630" i="2"/>
  <c r="L1630" i="2"/>
  <c r="M1630" i="2"/>
  <c r="I1631" i="2"/>
  <c r="J1631" i="2"/>
  <c r="L1631" i="2"/>
  <c r="M1631" i="2"/>
  <c r="I1632" i="2"/>
  <c r="J1632" i="2"/>
  <c r="L1632" i="2"/>
  <c r="M1632" i="2"/>
  <c r="I1633" i="2"/>
  <c r="J1633" i="2"/>
  <c r="L1633" i="2"/>
  <c r="M1633" i="2"/>
  <c r="I1634" i="2"/>
  <c r="J1634" i="2"/>
  <c r="L1634" i="2"/>
  <c r="M1634" i="2"/>
  <c r="I1635" i="2"/>
  <c r="J1635" i="2"/>
  <c r="L1635" i="2"/>
  <c r="M1635" i="2"/>
  <c r="I1636" i="2"/>
  <c r="J1636" i="2"/>
  <c r="L1636" i="2"/>
  <c r="M1636" i="2"/>
  <c r="I1637" i="2"/>
  <c r="J1637" i="2"/>
  <c r="L1637" i="2"/>
  <c r="M1637" i="2"/>
  <c r="I1638" i="2"/>
  <c r="J1638" i="2"/>
  <c r="L1638" i="2"/>
  <c r="M1638" i="2"/>
  <c r="I1639" i="2"/>
  <c r="J1639" i="2"/>
  <c r="L1639" i="2"/>
  <c r="M1639" i="2"/>
  <c r="I1640" i="2"/>
  <c r="J1640" i="2"/>
  <c r="L1640" i="2"/>
  <c r="M1640" i="2"/>
  <c r="I1641" i="2"/>
  <c r="J1641" i="2"/>
  <c r="L1641" i="2"/>
  <c r="M1641" i="2"/>
  <c r="I1642" i="2"/>
  <c r="J1642" i="2"/>
  <c r="L1642" i="2"/>
  <c r="M1642" i="2"/>
  <c r="I1643" i="2"/>
  <c r="J1643" i="2"/>
  <c r="L1643" i="2"/>
  <c r="M1643" i="2"/>
  <c r="I1644" i="2"/>
  <c r="J1644" i="2"/>
  <c r="L1644" i="2"/>
  <c r="M1644" i="2"/>
  <c r="I1645" i="2"/>
  <c r="J1645" i="2"/>
  <c r="L1645" i="2"/>
  <c r="M1645" i="2"/>
  <c r="I1646" i="2"/>
  <c r="J1646" i="2"/>
  <c r="L1646" i="2"/>
  <c r="M1646" i="2"/>
  <c r="I1647" i="2"/>
  <c r="J1647" i="2"/>
  <c r="L1647" i="2"/>
  <c r="M1647" i="2"/>
  <c r="I1648" i="2"/>
  <c r="J1648" i="2"/>
  <c r="L1648" i="2"/>
  <c r="M1648" i="2"/>
  <c r="I1649" i="2"/>
  <c r="J1649" i="2"/>
  <c r="L1649" i="2"/>
  <c r="M1649" i="2"/>
  <c r="I1650" i="2"/>
  <c r="J1650" i="2"/>
  <c r="L1650" i="2"/>
  <c r="M1650" i="2"/>
  <c r="I1651" i="2"/>
  <c r="J1651" i="2"/>
  <c r="L1651" i="2"/>
  <c r="M1651" i="2"/>
  <c r="I1652" i="2"/>
  <c r="J1652" i="2"/>
  <c r="L1652" i="2"/>
  <c r="M1652" i="2"/>
  <c r="I1653" i="2"/>
  <c r="J1653" i="2"/>
  <c r="L1653" i="2"/>
  <c r="M1653" i="2"/>
  <c r="I1654" i="2"/>
  <c r="J1654" i="2"/>
  <c r="L1654" i="2"/>
  <c r="M1654" i="2"/>
  <c r="I1655" i="2"/>
  <c r="J1655" i="2"/>
  <c r="L1655" i="2"/>
  <c r="M1655" i="2"/>
  <c r="I1656" i="2"/>
  <c r="J1656" i="2"/>
  <c r="L1656" i="2"/>
  <c r="M1656" i="2"/>
  <c r="I1657" i="2"/>
  <c r="J1657" i="2"/>
  <c r="L1657" i="2"/>
  <c r="M1657" i="2"/>
  <c r="I1658" i="2"/>
  <c r="J1658" i="2"/>
  <c r="L1658" i="2"/>
  <c r="M1658" i="2"/>
  <c r="I1659" i="2"/>
  <c r="J1659" i="2"/>
  <c r="L1659" i="2"/>
  <c r="M1659" i="2"/>
  <c r="I1660" i="2"/>
  <c r="J1660" i="2"/>
  <c r="L1660" i="2"/>
  <c r="M1660" i="2"/>
  <c r="I1661" i="2"/>
  <c r="J1661" i="2"/>
  <c r="L1661" i="2"/>
  <c r="M1661" i="2"/>
  <c r="I1662" i="2"/>
  <c r="J1662" i="2"/>
  <c r="L1662" i="2"/>
  <c r="M1662" i="2"/>
  <c r="I1663" i="2"/>
  <c r="J1663" i="2"/>
  <c r="L1663" i="2"/>
  <c r="M1663" i="2"/>
  <c r="I1664" i="2"/>
  <c r="J1664" i="2"/>
  <c r="L1664" i="2"/>
  <c r="M1664" i="2"/>
  <c r="I1665" i="2"/>
  <c r="J1665" i="2"/>
  <c r="L1665" i="2"/>
  <c r="M1665" i="2"/>
  <c r="I1666" i="2"/>
  <c r="J1666" i="2"/>
  <c r="L1666" i="2"/>
  <c r="M1666" i="2"/>
  <c r="I1667" i="2"/>
  <c r="J1667" i="2"/>
  <c r="L1667" i="2"/>
  <c r="M1667" i="2"/>
  <c r="I1668" i="2"/>
  <c r="J1668" i="2"/>
  <c r="L1668" i="2"/>
  <c r="M1668" i="2"/>
  <c r="I1669" i="2"/>
  <c r="J1669" i="2"/>
  <c r="L1669" i="2"/>
  <c r="M1669" i="2"/>
  <c r="I1670" i="2"/>
  <c r="J1670" i="2"/>
  <c r="L1670" i="2"/>
  <c r="M1670" i="2"/>
  <c r="I1671" i="2"/>
  <c r="J1671" i="2"/>
  <c r="L1671" i="2"/>
  <c r="M1671" i="2"/>
  <c r="I1672" i="2"/>
  <c r="J1672" i="2"/>
  <c r="L1672" i="2"/>
  <c r="M1672" i="2"/>
  <c r="I1673" i="2"/>
  <c r="J1673" i="2"/>
  <c r="L1673" i="2"/>
  <c r="M1673" i="2"/>
  <c r="I1674" i="2"/>
  <c r="J1674" i="2"/>
  <c r="L1674" i="2"/>
  <c r="M1674" i="2"/>
  <c r="I1675" i="2"/>
  <c r="J1675" i="2"/>
  <c r="L1675" i="2"/>
  <c r="M1675" i="2"/>
  <c r="I1676" i="2"/>
  <c r="J1676" i="2"/>
  <c r="L1676" i="2"/>
  <c r="M1676" i="2"/>
  <c r="I1677" i="2"/>
  <c r="J1677" i="2"/>
  <c r="L1677" i="2"/>
  <c r="M1677" i="2"/>
  <c r="I1678" i="2"/>
  <c r="J1678" i="2"/>
  <c r="L1678" i="2"/>
  <c r="M1678" i="2"/>
  <c r="I1679" i="2"/>
  <c r="J1679" i="2"/>
  <c r="L1679" i="2"/>
  <c r="M1679" i="2"/>
  <c r="I1680" i="2"/>
  <c r="J1680" i="2"/>
  <c r="L1680" i="2"/>
  <c r="M1680" i="2"/>
  <c r="I1681" i="2"/>
  <c r="J1681" i="2"/>
  <c r="L1681" i="2"/>
  <c r="M1681" i="2"/>
  <c r="I1682" i="2"/>
  <c r="J1682" i="2"/>
  <c r="L1682" i="2"/>
  <c r="M1682" i="2"/>
  <c r="I1683" i="2"/>
  <c r="J1683" i="2"/>
  <c r="L1683" i="2"/>
  <c r="M1683" i="2"/>
  <c r="I1684" i="2"/>
  <c r="J1684" i="2"/>
  <c r="L1684" i="2"/>
  <c r="M1684" i="2"/>
  <c r="I1685" i="2"/>
  <c r="J1685" i="2"/>
  <c r="L1685" i="2"/>
  <c r="M1685" i="2"/>
  <c r="I1686" i="2"/>
  <c r="J1686" i="2"/>
  <c r="L1686" i="2"/>
  <c r="M1686" i="2"/>
  <c r="I1687" i="2"/>
  <c r="J1687" i="2"/>
  <c r="L1687" i="2"/>
  <c r="M1687" i="2"/>
  <c r="I1688" i="2"/>
  <c r="J1688" i="2"/>
  <c r="L1688" i="2"/>
  <c r="M1688" i="2"/>
  <c r="I1689" i="2"/>
  <c r="J1689" i="2"/>
  <c r="L1689" i="2"/>
  <c r="M1689" i="2"/>
  <c r="I1690" i="2"/>
  <c r="J1690" i="2"/>
  <c r="L1690" i="2"/>
  <c r="M1690" i="2"/>
  <c r="I1691" i="2"/>
  <c r="J1691" i="2"/>
  <c r="L1691" i="2"/>
  <c r="M1691" i="2"/>
  <c r="I1692" i="2"/>
  <c r="J1692" i="2"/>
  <c r="L1692" i="2"/>
  <c r="M1692" i="2"/>
  <c r="I1693" i="2"/>
  <c r="J1693" i="2"/>
  <c r="L1693" i="2"/>
  <c r="M1693" i="2"/>
  <c r="I1694" i="2"/>
  <c r="J1694" i="2"/>
  <c r="L1694" i="2"/>
  <c r="M1694" i="2"/>
  <c r="I1695" i="2"/>
  <c r="J1695" i="2"/>
  <c r="L1695" i="2"/>
  <c r="M1695" i="2"/>
  <c r="I1696" i="2"/>
  <c r="J1696" i="2"/>
  <c r="L1696" i="2"/>
  <c r="M1696" i="2"/>
  <c r="I1697" i="2"/>
  <c r="J1697" i="2"/>
  <c r="L1697" i="2"/>
  <c r="M1697" i="2"/>
  <c r="I1698" i="2"/>
  <c r="J1698" i="2"/>
  <c r="L1698" i="2"/>
  <c r="M1698" i="2"/>
  <c r="I1699" i="2"/>
  <c r="J1699" i="2"/>
  <c r="L1699" i="2"/>
  <c r="M1699" i="2"/>
  <c r="I1700" i="2"/>
  <c r="J1700" i="2"/>
  <c r="L1700" i="2"/>
  <c r="M1700" i="2"/>
  <c r="I1701" i="2"/>
  <c r="J1701" i="2"/>
  <c r="L1701" i="2"/>
  <c r="M1701" i="2"/>
  <c r="I1702" i="2"/>
  <c r="J1702" i="2"/>
  <c r="L1702" i="2"/>
  <c r="M1702" i="2"/>
  <c r="I1703" i="2"/>
  <c r="J1703" i="2"/>
  <c r="L1703" i="2"/>
  <c r="M1703" i="2"/>
  <c r="I1704" i="2"/>
  <c r="J1704" i="2"/>
  <c r="L1704" i="2"/>
  <c r="M1704" i="2"/>
  <c r="I1705" i="2"/>
  <c r="J1705" i="2"/>
  <c r="L1705" i="2"/>
  <c r="M1705" i="2"/>
  <c r="I1706" i="2"/>
  <c r="J1706" i="2"/>
  <c r="L1706" i="2"/>
  <c r="M1706" i="2"/>
  <c r="I1707" i="2"/>
  <c r="J1707" i="2"/>
  <c r="L1707" i="2"/>
  <c r="M1707" i="2"/>
  <c r="I1708" i="2"/>
  <c r="J1708" i="2"/>
  <c r="L1708" i="2"/>
  <c r="M1708" i="2"/>
  <c r="I1709" i="2"/>
  <c r="J1709" i="2"/>
  <c r="L1709" i="2"/>
  <c r="M1709" i="2"/>
  <c r="I1710" i="2"/>
  <c r="J1710" i="2"/>
  <c r="L1710" i="2"/>
  <c r="M1710" i="2"/>
  <c r="I1711" i="2"/>
  <c r="J1711" i="2"/>
  <c r="L1711" i="2"/>
  <c r="M1711" i="2"/>
  <c r="I1712" i="2"/>
  <c r="J1712" i="2"/>
  <c r="L1712" i="2"/>
  <c r="M1712" i="2"/>
  <c r="I1713" i="2"/>
  <c r="J1713" i="2"/>
  <c r="L1713" i="2"/>
  <c r="M1713" i="2"/>
  <c r="I1714" i="2"/>
  <c r="J1714" i="2"/>
  <c r="L1714" i="2"/>
  <c r="M1714" i="2"/>
  <c r="I1715" i="2"/>
  <c r="J1715" i="2"/>
  <c r="L1715" i="2"/>
  <c r="M1715" i="2"/>
  <c r="I1716" i="2"/>
  <c r="J1716" i="2"/>
  <c r="L1716" i="2"/>
  <c r="M1716" i="2"/>
  <c r="I1717" i="2"/>
  <c r="J1717" i="2"/>
  <c r="L1717" i="2"/>
  <c r="M1717" i="2"/>
  <c r="I1718" i="2"/>
  <c r="J1718" i="2"/>
  <c r="L1718" i="2"/>
  <c r="M1718" i="2"/>
  <c r="I1719" i="2"/>
  <c r="J1719" i="2"/>
  <c r="L1719" i="2"/>
  <c r="M1719" i="2"/>
  <c r="I1720" i="2"/>
  <c r="J1720" i="2"/>
  <c r="L1720" i="2"/>
  <c r="M1720" i="2"/>
  <c r="I1721" i="2"/>
  <c r="J1721" i="2"/>
  <c r="L1721" i="2"/>
  <c r="M1721" i="2"/>
  <c r="I1722" i="2"/>
  <c r="J1722" i="2"/>
  <c r="L1722" i="2"/>
  <c r="M1722" i="2"/>
  <c r="I1723" i="2"/>
  <c r="J1723" i="2"/>
  <c r="L1723" i="2"/>
  <c r="M1723" i="2"/>
  <c r="I1724" i="2"/>
  <c r="J1724" i="2"/>
  <c r="L1724" i="2"/>
  <c r="M1724" i="2"/>
  <c r="I1725" i="2"/>
  <c r="J1725" i="2"/>
  <c r="L1725" i="2"/>
  <c r="M1725" i="2"/>
  <c r="I1726" i="2"/>
  <c r="J1726" i="2"/>
  <c r="L1726" i="2"/>
  <c r="M1726" i="2"/>
  <c r="I1727" i="2"/>
  <c r="J1727" i="2"/>
  <c r="L1727" i="2"/>
  <c r="M1727" i="2"/>
  <c r="I1728" i="2"/>
  <c r="J1728" i="2"/>
  <c r="L1728" i="2"/>
  <c r="M1728" i="2"/>
  <c r="I1729" i="2"/>
  <c r="J1729" i="2"/>
  <c r="L1729" i="2"/>
  <c r="M1729" i="2"/>
  <c r="I1730" i="2"/>
  <c r="J1730" i="2"/>
  <c r="L1730" i="2"/>
  <c r="M1730" i="2"/>
  <c r="I1731" i="2"/>
  <c r="J1731" i="2"/>
  <c r="L1731" i="2"/>
  <c r="M1731" i="2"/>
  <c r="I1732" i="2"/>
  <c r="J1732" i="2"/>
  <c r="L1732" i="2"/>
  <c r="M1732" i="2"/>
  <c r="I1733" i="2"/>
  <c r="J1733" i="2"/>
  <c r="L1733" i="2"/>
  <c r="M1733" i="2"/>
  <c r="I1734" i="2"/>
  <c r="J1734" i="2"/>
  <c r="L1734" i="2"/>
  <c r="M1734" i="2"/>
  <c r="I1735" i="2"/>
  <c r="J1735" i="2"/>
  <c r="L1735" i="2"/>
  <c r="M1735" i="2"/>
  <c r="I1736" i="2"/>
  <c r="J1736" i="2"/>
  <c r="L1736" i="2"/>
  <c r="M1736" i="2"/>
  <c r="I1737" i="2"/>
  <c r="J1737" i="2"/>
  <c r="L1737" i="2"/>
  <c r="M1737" i="2"/>
  <c r="I1738" i="2"/>
  <c r="J1738" i="2"/>
  <c r="L1738" i="2"/>
  <c r="M1738" i="2"/>
  <c r="I1739" i="2"/>
  <c r="J1739" i="2"/>
  <c r="L1739" i="2"/>
  <c r="M1739" i="2"/>
  <c r="I1740" i="2"/>
  <c r="J1740" i="2"/>
  <c r="L1740" i="2"/>
  <c r="M1740" i="2"/>
  <c r="I1741" i="2"/>
  <c r="J1741" i="2"/>
  <c r="L1741" i="2"/>
  <c r="M1741" i="2"/>
  <c r="I1742" i="2"/>
  <c r="J1742" i="2"/>
  <c r="L1742" i="2"/>
  <c r="M1742" i="2"/>
  <c r="I1743" i="2"/>
  <c r="J1743" i="2"/>
  <c r="L1743" i="2"/>
  <c r="M1743" i="2"/>
  <c r="I1744" i="2"/>
  <c r="J1744" i="2"/>
  <c r="L1744" i="2"/>
  <c r="M1744" i="2"/>
  <c r="I1745" i="2"/>
  <c r="J1745" i="2"/>
  <c r="L1745" i="2"/>
  <c r="M1745" i="2"/>
  <c r="I1746" i="2"/>
  <c r="J1746" i="2"/>
  <c r="L1746" i="2"/>
  <c r="M1746" i="2"/>
  <c r="I1747" i="2"/>
  <c r="J1747" i="2"/>
  <c r="L1747" i="2"/>
  <c r="M1747" i="2"/>
  <c r="I1748" i="2"/>
  <c r="J1748" i="2"/>
  <c r="L1748" i="2"/>
  <c r="M1748" i="2"/>
  <c r="I1749" i="2"/>
  <c r="J1749" i="2"/>
  <c r="L1749" i="2"/>
  <c r="M1749" i="2"/>
  <c r="I1750" i="2"/>
  <c r="J1750" i="2"/>
  <c r="L1750" i="2"/>
  <c r="M1750" i="2"/>
  <c r="I1751" i="2"/>
  <c r="J1751" i="2"/>
  <c r="L1751" i="2"/>
  <c r="M1751" i="2"/>
  <c r="I1752" i="2"/>
  <c r="J1752" i="2"/>
  <c r="L1752" i="2"/>
  <c r="M1752" i="2"/>
  <c r="I1753" i="2"/>
  <c r="J1753" i="2"/>
  <c r="L1753" i="2"/>
  <c r="M1753" i="2"/>
  <c r="I1754" i="2"/>
  <c r="J1754" i="2"/>
  <c r="L1754" i="2"/>
  <c r="M1754" i="2"/>
  <c r="I1755" i="2"/>
  <c r="J1755" i="2"/>
  <c r="L1755" i="2"/>
  <c r="M1755" i="2"/>
  <c r="I1756" i="2"/>
  <c r="J1756" i="2"/>
  <c r="L1756" i="2"/>
  <c r="M1756" i="2"/>
  <c r="I1757" i="2"/>
  <c r="J1757" i="2"/>
  <c r="L1757" i="2"/>
  <c r="M1757" i="2"/>
  <c r="I1758" i="2"/>
  <c r="J1758" i="2"/>
  <c r="L1758" i="2"/>
  <c r="M1758" i="2"/>
  <c r="I1759" i="2"/>
  <c r="J1759" i="2"/>
  <c r="L1759" i="2"/>
  <c r="M1759" i="2"/>
  <c r="I1760" i="2"/>
  <c r="J1760" i="2"/>
  <c r="L1760" i="2"/>
  <c r="M1760" i="2"/>
  <c r="I1761" i="2"/>
  <c r="J1761" i="2"/>
  <c r="L1761" i="2"/>
  <c r="M1761" i="2"/>
  <c r="I1762" i="2"/>
  <c r="J1762" i="2"/>
  <c r="L1762" i="2"/>
  <c r="M1762" i="2"/>
  <c r="I1763" i="2"/>
  <c r="J1763" i="2"/>
  <c r="L1763" i="2"/>
  <c r="M1763" i="2"/>
  <c r="I1764" i="2"/>
  <c r="J1764" i="2"/>
  <c r="L1764" i="2"/>
  <c r="M1764" i="2"/>
  <c r="I1765" i="2"/>
  <c r="J1765" i="2"/>
  <c r="L1765" i="2"/>
  <c r="M1765" i="2"/>
  <c r="I1766" i="2"/>
  <c r="J1766" i="2"/>
  <c r="L1766" i="2"/>
  <c r="M1766" i="2"/>
  <c r="I1767" i="2"/>
  <c r="J1767" i="2"/>
  <c r="L1767" i="2"/>
  <c r="M1767" i="2"/>
  <c r="I1768" i="2"/>
  <c r="J1768" i="2"/>
  <c r="L1768" i="2"/>
  <c r="M1768" i="2"/>
  <c r="I1769" i="2"/>
  <c r="J1769" i="2"/>
  <c r="L1769" i="2"/>
  <c r="M1769" i="2"/>
  <c r="I1770" i="2"/>
  <c r="J1770" i="2"/>
  <c r="L1770" i="2"/>
  <c r="M1770" i="2"/>
  <c r="I1771" i="2"/>
  <c r="J1771" i="2"/>
  <c r="L1771" i="2"/>
  <c r="M1771" i="2"/>
  <c r="I1772" i="2"/>
  <c r="J1772" i="2"/>
  <c r="L1772" i="2"/>
  <c r="M1772" i="2"/>
  <c r="I1773" i="2"/>
  <c r="J1773" i="2"/>
  <c r="L1773" i="2"/>
  <c r="M1773" i="2"/>
  <c r="I1774" i="2"/>
  <c r="J1774" i="2"/>
  <c r="L1774" i="2"/>
  <c r="M1774" i="2"/>
  <c r="I1775" i="2"/>
  <c r="J1775" i="2"/>
  <c r="L1775" i="2"/>
  <c r="M1775" i="2"/>
  <c r="I1776" i="2"/>
  <c r="J1776" i="2"/>
  <c r="L1776" i="2"/>
  <c r="M1776" i="2"/>
  <c r="I1777" i="2"/>
  <c r="J1777" i="2"/>
  <c r="L1777" i="2"/>
  <c r="M1777" i="2"/>
  <c r="I1778" i="2"/>
  <c r="J1778" i="2"/>
  <c r="L1778" i="2"/>
  <c r="M1778" i="2"/>
  <c r="I1779" i="2"/>
  <c r="J1779" i="2"/>
  <c r="L1779" i="2"/>
  <c r="M1779" i="2"/>
  <c r="I1780" i="2"/>
  <c r="J1780" i="2"/>
  <c r="L1780" i="2"/>
  <c r="M1780" i="2"/>
  <c r="I1781" i="2"/>
  <c r="J1781" i="2"/>
  <c r="L1781" i="2"/>
  <c r="M1781" i="2"/>
  <c r="I1782" i="2"/>
  <c r="J1782" i="2"/>
  <c r="L1782" i="2"/>
  <c r="M1782" i="2"/>
  <c r="I1783" i="2"/>
  <c r="J1783" i="2"/>
  <c r="L1783" i="2"/>
  <c r="M1783" i="2"/>
  <c r="I1784" i="2"/>
  <c r="J1784" i="2"/>
  <c r="L1784" i="2"/>
  <c r="M1784" i="2"/>
  <c r="I1785" i="2"/>
  <c r="J1785" i="2"/>
  <c r="L1785" i="2"/>
  <c r="M1785" i="2"/>
  <c r="I1786" i="2"/>
  <c r="J1786" i="2"/>
  <c r="L1786" i="2"/>
  <c r="M1786" i="2"/>
  <c r="I1787" i="2"/>
  <c r="J1787" i="2"/>
  <c r="L1787" i="2"/>
  <c r="M1787" i="2"/>
  <c r="I1788" i="2"/>
  <c r="J1788" i="2"/>
  <c r="L1788" i="2"/>
  <c r="M1788" i="2"/>
  <c r="I1789" i="2"/>
  <c r="J1789" i="2"/>
  <c r="L1789" i="2"/>
  <c r="M1789" i="2"/>
  <c r="I1790" i="2"/>
  <c r="J1790" i="2"/>
  <c r="L1790" i="2"/>
  <c r="M1790" i="2"/>
  <c r="I1791" i="2"/>
  <c r="J1791" i="2"/>
  <c r="L1791" i="2"/>
  <c r="M1791" i="2"/>
  <c r="I1792" i="2"/>
  <c r="J1792" i="2"/>
  <c r="L1792" i="2"/>
  <c r="M1792" i="2"/>
  <c r="I1793" i="2"/>
  <c r="J1793" i="2"/>
  <c r="L1793" i="2"/>
  <c r="M1793" i="2"/>
  <c r="I1794" i="2"/>
  <c r="J1794" i="2"/>
  <c r="L1794" i="2"/>
  <c r="M1794" i="2"/>
  <c r="I1795" i="2"/>
  <c r="J1795" i="2"/>
  <c r="L1795" i="2"/>
  <c r="M1795" i="2"/>
  <c r="I1796" i="2"/>
  <c r="J1796" i="2"/>
  <c r="L1796" i="2"/>
  <c r="M1796" i="2"/>
  <c r="I1797" i="2"/>
  <c r="J1797" i="2"/>
  <c r="L1797" i="2"/>
  <c r="M1797" i="2"/>
  <c r="I1798" i="2"/>
  <c r="J1798" i="2"/>
  <c r="L1798" i="2"/>
  <c r="M1798" i="2"/>
  <c r="I1799" i="2"/>
  <c r="J1799" i="2"/>
  <c r="L1799" i="2"/>
  <c r="M1799" i="2"/>
  <c r="I1800" i="2"/>
  <c r="J1800" i="2"/>
  <c r="L1800" i="2"/>
  <c r="M1800" i="2"/>
  <c r="I1801" i="2"/>
  <c r="J1801" i="2"/>
  <c r="L1801" i="2"/>
  <c r="M1801" i="2"/>
  <c r="I1802" i="2"/>
  <c r="J1802" i="2"/>
  <c r="L1802" i="2"/>
  <c r="M1802" i="2"/>
  <c r="I1803" i="2"/>
  <c r="J1803" i="2"/>
  <c r="L1803" i="2"/>
  <c r="M1803" i="2"/>
  <c r="I1804" i="2"/>
  <c r="J1804" i="2"/>
  <c r="L1804" i="2"/>
  <c r="M1804" i="2"/>
  <c r="I1805" i="2"/>
  <c r="J1805" i="2"/>
  <c r="L1805" i="2"/>
  <c r="M1805" i="2"/>
  <c r="I1806" i="2"/>
  <c r="J1806" i="2"/>
  <c r="L1806" i="2"/>
  <c r="M1806" i="2"/>
  <c r="I1807" i="2"/>
  <c r="J1807" i="2"/>
  <c r="L1807" i="2"/>
  <c r="M1807" i="2"/>
  <c r="I1808" i="2"/>
  <c r="J1808" i="2"/>
  <c r="L1808" i="2"/>
  <c r="M1808" i="2"/>
  <c r="I1809" i="2"/>
  <c r="J1809" i="2"/>
  <c r="L1809" i="2"/>
  <c r="M1809" i="2"/>
  <c r="I1810" i="2"/>
  <c r="J1810" i="2"/>
  <c r="L1810" i="2"/>
  <c r="M1810" i="2"/>
  <c r="I1811" i="2"/>
  <c r="J1811" i="2"/>
  <c r="L1811" i="2"/>
  <c r="M1811" i="2"/>
  <c r="I1812" i="2"/>
  <c r="J1812" i="2"/>
  <c r="L1812" i="2"/>
  <c r="M1812" i="2"/>
  <c r="I1813" i="2"/>
  <c r="J1813" i="2"/>
  <c r="L1813" i="2"/>
  <c r="M1813" i="2"/>
  <c r="I1814" i="2"/>
  <c r="J1814" i="2"/>
  <c r="L1814" i="2"/>
  <c r="M1814" i="2"/>
  <c r="I1815" i="2"/>
  <c r="J1815" i="2"/>
  <c r="L1815" i="2"/>
  <c r="M1815" i="2"/>
  <c r="I1816" i="2"/>
  <c r="J1816" i="2"/>
  <c r="L1816" i="2"/>
  <c r="M1816" i="2"/>
  <c r="I1817" i="2"/>
  <c r="J1817" i="2"/>
  <c r="L1817" i="2"/>
  <c r="M1817" i="2"/>
  <c r="I1818" i="2"/>
  <c r="J1818" i="2"/>
  <c r="L1818" i="2"/>
  <c r="M1818" i="2"/>
  <c r="I1819" i="2"/>
  <c r="J1819" i="2"/>
  <c r="L1819" i="2"/>
  <c r="M1819" i="2"/>
  <c r="A9" i="2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E28" i="3"/>
  <c r="A29" i="3"/>
  <c r="E29" i="3"/>
  <c r="A30" i="3"/>
  <c r="E30" i="3"/>
  <c r="A31" i="3"/>
  <c r="E31" i="3"/>
  <c r="A32" i="3"/>
  <c r="E32" i="3"/>
  <c r="A33" i="3"/>
  <c r="E33" i="3"/>
  <c r="A34" i="3"/>
  <c r="E34" i="3"/>
  <c r="A35" i="3"/>
  <c r="E35" i="3"/>
  <c r="A36" i="3"/>
  <c r="E36" i="3"/>
  <c r="A37" i="3"/>
  <c r="E37" i="3"/>
  <c r="A38" i="3"/>
  <c r="E38" i="3"/>
  <c r="A39" i="3"/>
  <c r="E39" i="3"/>
  <c r="A40" i="3"/>
  <c r="E40" i="3"/>
  <c r="A41" i="3"/>
  <c r="E41" i="3"/>
  <c r="A42" i="3"/>
  <c r="E42" i="3"/>
  <c r="A43" i="3"/>
  <c r="E43" i="3"/>
  <c r="A44" i="3"/>
  <c r="E44" i="3"/>
  <c r="A45" i="3"/>
  <c r="E45" i="3"/>
  <c r="A46" i="3"/>
  <c r="E46" i="3"/>
  <c r="A47" i="3"/>
  <c r="E47" i="3"/>
  <c r="A48" i="3"/>
  <c r="E48" i="3"/>
  <c r="A49" i="3"/>
  <c r="E49" i="3"/>
  <c r="A50" i="3"/>
  <c r="E50" i="3"/>
  <c r="A51" i="3"/>
  <c r="E51" i="3"/>
  <c r="A52" i="3"/>
  <c r="E52" i="3"/>
  <c r="A53" i="3"/>
  <c r="E53" i="3"/>
  <c r="A54" i="3"/>
  <c r="E54" i="3"/>
  <c r="A55" i="3"/>
  <c r="E55" i="3"/>
  <c r="A56" i="3"/>
  <c r="E56" i="3"/>
  <c r="A57" i="3"/>
  <c r="E57" i="3"/>
  <c r="A58" i="3"/>
  <c r="E58" i="3"/>
  <c r="A59" i="3"/>
  <c r="E59" i="3"/>
  <c r="A60" i="3"/>
  <c r="E60" i="3"/>
  <c r="A61" i="3"/>
  <c r="E61" i="3"/>
  <c r="A62" i="3"/>
  <c r="E62" i="3"/>
  <c r="A63" i="3"/>
  <c r="E63" i="3"/>
  <c r="A64" i="3"/>
  <c r="E64" i="3"/>
  <c r="A65" i="3"/>
  <c r="E65" i="3"/>
  <c r="A66" i="3"/>
  <c r="E66" i="3"/>
  <c r="A67" i="3"/>
  <c r="E67" i="3"/>
  <c r="A68" i="3"/>
  <c r="E68" i="3"/>
  <c r="A69" i="3"/>
  <c r="E69" i="3"/>
  <c r="A70" i="3"/>
  <c r="E70" i="3"/>
  <c r="A71" i="3"/>
  <c r="E71" i="3"/>
  <c r="A72" i="3"/>
  <c r="E72" i="3"/>
  <c r="A73" i="3"/>
  <c r="E73" i="3"/>
  <c r="A74" i="3"/>
  <c r="E74" i="3"/>
  <c r="A75" i="3"/>
  <c r="E75" i="3"/>
  <c r="A76" i="3"/>
  <c r="E76" i="3"/>
  <c r="A77" i="3"/>
  <c r="E77" i="3"/>
  <c r="A78" i="3"/>
  <c r="E78" i="3"/>
  <c r="A79" i="3"/>
  <c r="E79" i="3"/>
  <c r="A80" i="3"/>
  <c r="E80" i="3"/>
  <c r="A81" i="3"/>
  <c r="E81" i="3"/>
  <c r="A82" i="3"/>
  <c r="E82" i="3"/>
  <c r="A83" i="3"/>
  <c r="E83" i="3"/>
  <c r="A84" i="3"/>
  <c r="E84" i="3"/>
  <c r="A85" i="3"/>
  <c r="E85" i="3"/>
  <c r="A86" i="3"/>
  <c r="E86" i="3"/>
  <c r="A87" i="3"/>
  <c r="E87" i="3"/>
  <c r="A88" i="3"/>
  <c r="E88" i="3"/>
  <c r="A89" i="3"/>
  <c r="E89" i="3"/>
  <c r="A90" i="3"/>
  <c r="E90" i="3"/>
  <c r="A91" i="3"/>
  <c r="E91" i="3"/>
  <c r="A92" i="3"/>
  <c r="E92" i="3"/>
  <c r="A93" i="3"/>
  <c r="E93" i="3"/>
  <c r="A94" i="3"/>
  <c r="E94" i="3"/>
  <c r="A95" i="3"/>
  <c r="E95" i="3"/>
  <c r="A96" i="3"/>
  <c r="E96" i="3"/>
  <c r="A97" i="3"/>
  <c r="E97" i="3"/>
  <c r="A98" i="3"/>
  <c r="E98" i="3"/>
  <c r="A99" i="3"/>
  <c r="E99" i="3"/>
  <c r="A100" i="3"/>
  <c r="E100" i="3"/>
  <c r="A101" i="3"/>
  <c r="E101" i="3"/>
  <c r="A102" i="3"/>
  <c r="E102" i="3"/>
  <c r="A103" i="3"/>
  <c r="E103" i="3"/>
  <c r="A104" i="3"/>
  <c r="E104" i="3"/>
  <c r="A105" i="3"/>
  <c r="E105" i="3"/>
  <c r="A106" i="3"/>
  <c r="E106" i="3"/>
  <c r="A107" i="3"/>
  <c r="E107" i="3"/>
  <c r="A108" i="3"/>
  <c r="E108" i="3"/>
  <c r="A109" i="3"/>
  <c r="E109" i="3"/>
  <c r="A110" i="3"/>
  <c r="E110" i="3"/>
  <c r="A111" i="3"/>
  <c r="E111" i="3"/>
  <c r="A112" i="3"/>
  <c r="E112" i="3"/>
  <c r="A113" i="3"/>
  <c r="E113" i="3"/>
  <c r="A114" i="3"/>
  <c r="E114" i="3"/>
  <c r="A115" i="3"/>
  <c r="E115" i="3"/>
  <c r="A116" i="3"/>
  <c r="E116" i="3"/>
  <c r="A117" i="3"/>
  <c r="E117" i="3"/>
  <c r="A118" i="3"/>
  <c r="E118" i="3"/>
  <c r="A119" i="3"/>
  <c r="E119" i="3"/>
  <c r="A120" i="3"/>
  <c r="E120" i="3"/>
  <c r="A121" i="3"/>
  <c r="E121" i="3"/>
  <c r="A122" i="3"/>
  <c r="E122" i="3"/>
  <c r="A123" i="3"/>
  <c r="E123" i="3"/>
  <c r="A124" i="3"/>
  <c r="E124" i="3"/>
  <c r="A125" i="3"/>
  <c r="E125" i="3"/>
  <c r="A126" i="3"/>
  <c r="E126" i="3"/>
  <c r="A127" i="3"/>
  <c r="E127" i="3"/>
  <c r="A128" i="3"/>
  <c r="E128" i="3"/>
  <c r="A129" i="3"/>
  <c r="E129" i="3"/>
  <c r="A130" i="3"/>
  <c r="E130" i="3"/>
  <c r="A131" i="3"/>
  <c r="E131" i="3"/>
  <c r="A132" i="3"/>
  <c r="E132" i="3"/>
  <c r="A133" i="3"/>
  <c r="E133" i="3"/>
  <c r="A134" i="3"/>
  <c r="E134" i="3"/>
  <c r="A135" i="3"/>
  <c r="E135" i="3"/>
  <c r="A136" i="3"/>
  <c r="E136" i="3"/>
  <c r="A137" i="3"/>
  <c r="E137" i="3"/>
  <c r="A138" i="3"/>
  <c r="E138" i="3"/>
  <c r="A139" i="3"/>
  <c r="E139" i="3"/>
  <c r="A140" i="3"/>
  <c r="E140" i="3"/>
  <c r="A141" i="3"/>
  <c r="E141" i="3"/>
  <c r="A142" i="3"/>
  <c r="E142" i="3"/>
  <c r="A143" i="3"/>
  <c r="E143" i="3"/>
  <c r="A144" i="3"/>
  <c r="E144" i="3"/>
  <c r="A145" i="3"/>
  <c r="E145" i="3"/>
  <c r="A146" i="3"/>
  <c r="E146" i="3"/>
  <c r="A147" i="3"/>
  <c r="E147" i="3"/>
  <c r="A148" i="3"/>
  <c r="E148" i="3"/>
  <c r="A149" i="3"/>
  <c r="E149" i="3"/>
  <c r="A150" i="3"/>
  <c r="E150" i="3"/>
  <c r="A151" i="3"/>
  <c r="E151" i="3"/>
  <c r="A152" i="3"/>
  <c r="E152" i="3"/>
  <c r="A153" i="3"/>
  <c r="E153" i="3"/>
  <c r="A154" i="3"/>
  <c r="E154" i="3"/>
  <c r="A155" i="3"/>
  <c r="E155" i="3"/>
  <c r="A156" i="3"/>
  <c r="E156" i="3"/>
  <c r="A157" i="3"/>
  <c r="E157" i="3"/>
  <c r="A158" i="3"/>
  <c r="E158" i="3"/>
  <c r="A159" i="3"/>
  <c r="E159" i="3"/>
  <c r="A160" i="3"/>
  <c r="E160" i="3"/>
  <c r="A161" i="3"/>
  <c r="E161" i="3"/>
  <c r="A162" i="3"/>
  <c r="E162" i="3"/>
  <c r="A163" i="3"/>
  <c r="E163" i="3"/>
  <c r="A164" i="3"/>
  <c r="E164" i="3"/>
  <c r="A165" i="3"/>
  <c r="E165" i="3"/>
  <c r="A166" i="3"/>
  <c r="E166" i="3"/>
  <c r="A167" i="3"/>
  <c r="E167" i="3"/>
  <c r="A168" i="3"/>
  <c r="E168" i="3"/>
  <c r="A169" i="3"/>
  <c r="E169" i="3"/>
  <c r="A170" i="3"/>
  <c r="E170" i="3"/>
  <c r="A171" i="3"/>
  <c r="E171" i="3"/>
  <c r="A172" i="3"/>
  <c r="E172" i="3"/>
  <c r="A173" i="3"/>
  <c r="E173" i="3"/>
  <c r="A174" i="3"/>
  <c r="E174" i="3"/>
  <c r="A175" i="3"/>
  <c r="E175" i="3"/>
  <c r="A176" i="3"/>
  <c r="E176" i="3"/>
  <c r="A177" i="3"/>
  <c r="E177" i="3"/>
  <c r="A178" i="3"/>
  <c r="E178" i="3"/>
  <c r="A179" i="3"/>
  <c r="E179" i="3"/>
  <c r="A180" i="3"/>
  <c r="E180" i="3"/>
  <c r="A181" i="3"/>
  <c r="E181" i="3"/>
  <c r="A182" i="3"/>
  <c r="E182" i="3"/>
  <c r="A183" i="3"/>
  <c r="E183" i="3"/>
  <c r="A184" i="3"/>
  <c r="E184" i="3"/>
  <c r="A185" i="3"/>
  <c r="E185" i="3"/>
  <c r="A186" i="3"/>
  <c r="E186" i="3"/>
  <c r="A187" i="3"/>
  <c r="E187" i="3"/>
  <c r="A188" i="3"/>
  <c r="E188" i="3"/>
  <c r="A189" i="3"/>
  <c r="E189" i="3"/>
  <c r="A190" i="3"/>
  <c r="E190" i="3"/>
  <c r="A191" i="3"/>
  <c r="E191" i="3"/>
  <c r="A192" i="3"/>
  <c r="E192" i="3"/>
  <c r="A193" i="3"/>
  <c r="E193" i="3"/>
  <c r="A194" i="3"/>
  <c r="E194" i="3"/>
  <c r="A195" i="3"/>
  <c r="E195" i="3"/>
  <c r="A196" i="3"/>
  <c r="E196" i="3"/>
  <c r="A197" i="3"/>
  <c r="E197" i="3"/>
  <c r="A198" i="3"/>
  <c r="E198" i="3"/>
  <c r="A199" i="3"/>
  <c r="E199" i="3"/>
  <c r="A200" i="3"/>
  <c r="E200" i="3"/>
  <c r="A201" i="3"/>
  <c r="E201" i="3"/>
  <c r="A202" i="3"/>
  <c r="E202" i="3"/>
  <c r="A203" i="3"/>
  <c r="E203" i="3"/>
  <c r="A204" i="3"/>
  <c r="E204" i="3"/>
  <c r="A205" i="3"/>
  <c r="E205" i="3"/>
  <c r="A206" i="3"/>
  <c r="E206" i="3"/>
  <c r="A207" i="3"/>
  <c r="E207" i="3"/>
  <c r="A208" i="3"/>
  <c r="E208" i="3"/>
  <c r="A209" i="3"/>
  <c r="E209" i="3"/>
  <c r="A210" i="3"/>
  <c r="E210" i="3"/>
  <c r="A211" i="3"/>
  <c r="E211" i="3"/>
  <c r="A212" i="3"/>
  <c r="E212" i="3"/>
  <c r="A213" i="3"/>
  <c r="E213" i="3"/>
  <c r="A214" i="3"/>
  <c r="E214" i="3"/>
  <c r="A215" i="3"/>
  <c r="E215" i="3"/>
  <c r="A216" i="3"/>
  <c r="E216" i="3"/>
  <c r="A217" i="3"/>
  <c r="E217" i="3"/>
  <c r="A218" i="3"/>
  <c r="E218" i="3"/>
  <c r="A219" i="3"/>
  <c r="E219" i="3"/>
  <c r="A220" i="3"/>
  <c r="E220" i="3"/>
  <c r="A221" i="3"/>
  <c r="E221" i="3"/>
  <c r="A222" i="3"/>
  <c r="E222" i="3"/>
  <c r="A223" i="3"/>
  <c r="E223" i="3"/>
  <c r="A224" i="3"/>
  <c r="E224" i="3"/>
  <c r="A225" i="3"/>
  <c r="E225" i="3"/>
  <c r="A226" i="3"/>
  <c r="E226" i="3"/>
  <c r="A227" i="3"/>
  <c r="E227" i="3"/>
  <c r="A228" i="3"/>
  <c r="E228" i="3"/>
  <c r="A229" i="3"/>
  <c r="E229" i="3"/>
  <c r="A230" i="3"/>
  <c r="E230" i="3"/>
  <c r="A231" i="3"/>
  <c r="E231" i="3"/>
  <c r="A232" i="3"/>
  <c r="E232" i="3"/>
  <c r="A233" i="3"/>
  <c r="E233" i="3"/>
  <c r="A234" i="3"/>
  <c r="E234" i="3"/>
  <c r="A235" i="3"/>
  <c r="E235" i="3"/>
  <c r="A236" i="3"/>
  <c r="E236" i="3"/>
  <c r="A237" i="3"/>
  <c r="E237" i="3"/>
  <c r="A238" i="3"/>
  <c r="E238" i="3"/>
  <c r="A239" i="3"/>
  <c r="E239" i="3"/>
  <c r="A240" i="3"/>
  <c r="E240" i="3"/>
  <c r="A241" i="3"/>
  <c r="E241" i="3"/>
  <c r="A242" i="3"/>
  <c r="E242" i="3"/>
  <c r="A243" i="3"/>
  <c r="E243" i="3"/>
  <c r="A244" i="3"/>
  <c r="E244" i="3"/>
  <c r="A245" i="3"/>
  <c r="E245" i="3"/>
  <c r="A246" i="3"/>
  <c r="E246" i="3"/>
  <c r="A247" i="3"/>
  <c r="E247" i="3"/>
  <c r="A248" i="3"/>
  <c r="E248" i="3"/>
  <c r="A249" i="3"/>
  <c r="E249" i="3"/>
  <c r="A250" i="3"/>
  <c r="E250" i="3"/>
  <c r="A251" i="3"/>
  <c r="E251" i="3"/>
  <c r="A252" i="3"/>
  <c r="E252" i="3"/>
  <c r="A253" i="3"/>
  <c r="E253" i="3"/>
  <c r="A254" i="3"/>
  <c r="E254" i="3"/>
  <c r="A255" i="3"/>
  <c r="E255" i="3"/>
  <c r="A256" i="3"/>
  <c r="E256" i="3"/>
  <c r="A257" i="3"/>
  <c r="E257" i="3"/>
  <c r="A258" i="3"/>
  <c r="E258" i="3"/>
  <c r="A259" i="3"/>
  <c r="E259" i="3"/>
  <c r="A260" i="3"/>
  <c r="E260" i="3"/>
  <c r="A261" i="3"/>
  <c r="E261" i="3"/>
  <c r="A262" i="3"/>
  <c r="E262" i="3"/>
  <c r="A263" i="3"/>
  <c r="E263" i="3"/>
  <c r="A264" i="3"/>
  <c r="E264" i="3"/>
  <c r="A265" i="3"/>
  <c r="E265" i="3"/>
  <c r="A266" i="3"/>
  <c r="E266" i="3"/>
  <c r="A267" i="3"/>
  <c r="E267" i="3"/>
  <c r="A268" i="3"/>
  <c r="E268" i="3"/>
  <c r="A269" i="3"/>
  <c r="E269" i="3"/>
  <c r="A270" i="3"/>
  <c r="E270" i="3"/>
  <c r="A271" i="3"/>
  <c r="E271" i="3"/>
  <c r="A272" i="3"/>
  <c r="E272" i="3"/>
  <c r="A273" i="3"/>
  <c r="E273" i="3"/>
  <c r="A274" i="3"/>
  <c r="E274" i="3"/>
  <c r="A275" i="3"/>
  <c r="E275" i="3"/>
  <c r="A276" i="3"/>
  <c r="E276" i="3"/>
  <c r="A277" i="3"/>
  <c r="E277" i="3"/>
  <c r="A278" i="3"/>
  <c r="E278" i="3"/>
  <c r="A279" i="3"/>
  <c r="E279" i="3"/>
  <c r="A280" i="3"/>
  <c r="E280" i="3"/>
  <c r="A281" i="3"/>
  <c r="E281" i="3"/>
  <c r="A282" i="3"/>
  <c r="E282" i="3"/>
  <c r="A283" i="3"/>
  <c r="E283" i="3"/>
  <c r="A284" i="3"/>
  <c r="E284" i="3"/>
  <c r="A285" i="3"/>
  <c r="E285" i="3"/>
  <c r="A286" i="3"/>
  <c r="E286" i="3"/>
  <c r="A287" i="3"/>
  <c r="E287" i="3"/>
  <c r="A288" i="3"/>
  <c r="E288" i="3"/>
  <c r="A289" i="3"/>
  <c r="E289" i="3"/>
  <c r="A290" i="3"/>
  <c r="E290" i="3"/>
  <c r="A291" i="3"/>
  <c r="E291" i="3"/>
  <c r="A292" i="3"/>
  <c r="E292" i="3"/>
  <c r="A293" i="3"/>
  <c r="E293" i="3"/>
  <c r="A294" i="3"/>
  <c r="E294" i="3"/>
  <c r="A295" i="3"/>
  <c r="E295" i="3"/>
  <c r="A296" i="3"/>
  <c r="E296" i="3"/>
  <c r="A297" i="3"/>
  <c r="E297" i="3"/>
  <c r="A298" i="3"/>
  <c r="E298" i="3"/>
  <c r="A299" i="3"/>
  <c r="E299" i="3"/>
  <c r="A300" i="3"/>
  <c r="E300" i="3"/>
  <c r="A301" i="3"/>
  <c r="E301" i="3"/>
  <c r="A302" i="3"/>
  <c r="E302" i="3"/>
  <c r="A303" i="3"/>
  <c r="E303" i="3"/>
  <c r="A304" i="3"/>
  <c r="E304" i="3"/>
  <c r="A305" i="3"/>
  <c r="E305" i="3"/>
  <c r="A306" i="3"/>
  <c r="E306" i="3"/>
  <c r="A307" i="3"/>
  <c r="E307" i="3"/>
  <c r="A308" i="3"/>
  <c r="E308" i="3"/>
  <c r="A309" i="3"/>
  <c r="E309" i="3"/>
  <c r="A310" i="3"/>
  <c r="E310" i="3"/>
  <c r="A311" i="3"/>
  <c r="E311" i="3"/>
  <c r="A312" i="3"/>
  <c r="E312" i="3"/>
  <c r="A313" i="3"/>
  <c r="E313" i="3"/>
  <c r="A314" i="3"/>
  <c r="E314" i="3"/>
  <c r="A315" i="3"/>
  <c r="E315" i="3"/>
  <c r="A316" i="3"/>
  <c r="E316" i="3"/>
  <c r="A317" i="3"/>
  <c r="E317" i="3"/>
  <c r="A318" i="3"/>
  <c r="E318" i="3"/>
  <c r="A319" i="3"/>
  <c r="E319" i="3"/>
  <c r="A320" i="3"/>
  <c r="E320" i="3"/>
  <c r="A321" i="3"/>
  <c r="E321" i="3"/>
  <c r="A322" i="3"/>
  <c r="E322" i="3"/>
  <c r="A323" i="3"/>
  <c r="E323" i="3"/>
  <c r="A324" i="3"/>
  <c r="E324" i="3"/>
  <c r="A325" i="3"/>
  <c r="E325" i="3"/>
  <c r="A326" i="3"/>
  <c r="E326" i="3"/>
  <c r="A327" i="3"/>
  <c r="E327" i="3"/>
  <c r="A328" i="3"/>
  <c r="E328" i="3"/>
  <c r="A329" i="3"/>
  <c r="E329" i="3"/>
  <c r="A330" i="3"/>
  <c r="E330" i="3"/>
  <c r="A331" i="3"/>
  <c r="E331" i="3"/>
  <c r="A332" i="3"/>
  <c r="E332" i="3"/>
  <c r="A333" i="3"/>
  <c r="E333" i="3"/>
  <c r="A334" i="3"/>
  <c r="E334" i="3"/>
  <c r="A335" i="3"/>
  <c r="E335" i="3"/>
  <c r="A336" i="3"/>
  <c r="E336" i="3"/>
  <c r="A337" i="3"/>
  <c r="E337" i="3"/>
  <c r="A338" i="3"/>
  <c r="E338" i="3"/>
  <c r="A339" i="3"/>
  <c r="E339" i="3"/>
  <c r="A340" i="3"/>
  <c r="E340" i="3"/>
  <c r="A341" i="3"/>
  <c r="E341" i="3"/>
  <c r="A342" i="3"/>
  <c r="E342" i="3"/>
  <c r="A343" i="3"/>
  <c r="E343" i="3"/>
  <c r="A344" i="3"/>
  <c r="E344" i="3"/>
  <c r="A345" i="3"/>
  <c r="E345" i="3"/>
  <c r="A346" i="3"/>
  <c r="E346" i="3"/>
  <c r="A347" i="3"/>
  <c r="E347" i="3"/>
  <c r="A348" i="3"/>
  <c r="E348" i="3"/>
  <c r="A349" i="3"/>
  <c r="E349" i="3"/>
  <c r="A350" i="3"/>
  <c r="E350" i="3"/>
  <c r="A351" i="3"/>
  <c r="E351" i="3"/>
  <c r="A352" i="3"/>
  <c r="E352" i="3"/>
  <c r="A353" i="3"/>
  <c r="E353" i="3"/>
  <c r="A354" i="3"/>
  <c r="E354" i="3"/>
  <c r="A355" i="3"/>
  <c r="E355" i="3"/>
  <c r="A356" i="3"/>
  <c r="E356" i="3"/>
  <c r="A357" i="3"/>
  <c r="E357" i="3"/>
  <c r="A358" i="3"/>
  <c r="E358" i="3"/>
  <c r="A359" i="3"/>
  <c r="E359" i="3"/>
  <c r="A360" i="3"/>
  <c r="E360" i="3"/>
  <c r="A361" i="3"/>
  <c r="E361" i="3"/>
  <c r="A362" i="3"/>
  <c r="E362" i="3"/>
  <c r="A363" i="3"/>
  <c r="E363" i="3"/>
  <c r="A364" i="3"/>
  <c r="E364" i="3"/>
  <c r="A365" i="3"/>
  <c r="E365" i="3"/>
  <c r="A366" i="3"/>
  <c r="E366" i="3"/>
  <c r="A367" i="3"/>
  <c r="E367" i="3"/>
  <c r="A368" i="3"/>
  <c r="E368" i="3"/>
  <c r="A369" i="3"/>
  <c r="E369" i="3"/>
  <c r="A370" i="3"/>
  <c r="E370" i="3"/>
  <c r="A371" i="3"/>
  <c r="E371" i="3"/>
  <c r="A372" i="3"/>
  <c r="E372" i="3"/>
  <c r="A373" i="3"/>
  <c r="E373" i="3"/>
  <c r="A374" i="3"/>
  <c r="E374" i="3"/>
  <c r="A375" i="3"/>
  <c r="E375" i="3"/>
  <c r="A376" i="3"/>
  <c r="E376" i="3"/>
  <c r="A377" i="3"/>
  <c r="E377" i="3"/>
  <c r="A378" i="3"/>
  <c r="E378" i="3"/>
  <c r="A379" i="3"/>
  <c r="E379" i="3"/>
  <c r="A380" i="3"/>
  <c r="E380" i="3"/>
  <c r="A381" i="3"/>
  <c r="E381" i="3"/>
  <c r="A382" i="3"/>
  <c r="E382" i="3"/>
  <c r="A383" i="3"/>
  <c r="E383" i="3"/>
  <c r="A384" i="3"/>
  <c r="E384" i="3"/>
  <c r="A385" i="3"/>
  <c r="E385" i="3"/>
  <c r="A386" i="3"/>
  <c r="E386" i="3"/>
  <c r="A387" i="3"/>
  <c r="E387" i="3"/>
  <c r="A388" i="3"/>
  <c r="E388" i="3"/>
  <c r="A389" i="3"/>
  <c r="E389" i="3"/>
  <c r="A390" i="3"/>
  <c r="E390" i="3"/>
  <c r="A391" i="3"/>
  <c r="E391" i="3"/>
  <c r="A392" i="3"/>
  <c r="E392" i="3"/>
  <c r="A393" i="3"/>
  <c r="E393" i="3"/>
  <c r="A394" i="3"/>
  <c r="E394" i="3"/>
  <c r="A395" i="3"/>
  <c r="E395" i="3"/>
  <c r="A396" i="3"/>
  <c r="E396" i="3"/>
  <c r="A397" i="3"/>
  <c r="E397" i="3"/>
  <c r="A398" i="3"/>
  <c r="E398" i="3"/>
  <c r="A399" i="3"/>
  <c r="E399" i="3"/>
  <c r="A400" i="3"/>
  <c r="E400" i="3"/>
  <c r="A401" i="3"/>
  <c r="E401" i="3"/>
  <c r="A402" i="3"/>
  <c r="E402" i="3"/>
  <c r="A403" i="3"/>
  <c r="E403" i="3"/>
  <c r="A404" i="3"/>
  <c r="E404" i="3"/>
  <c r="A405" i="3"/>
  <c r="E405" i="3"/>
  <c r="A406" i="3"/>
  <c r="E406" i="3"/>
  <c r="A407" i="3"/>
  <c r="E407" i="3"/>
  <c r="A408" i="3"/>
  <c r="E408" i="3"/>
  <c r="A409" i="3"/>
  <c r="E409" i="3"/>
  <c r="A410" i="3"/>
  <c r="E410" i="3"/>
  <c r="A411" i="3"/>
  <c r="E411" i="3"/>
  <c r="A412" i="3"/>
  <c r="E412" i="3"/>
  <c r="A413" i="3"/>
  <c r="E413" i="3"/>
  <c r="A414" i="3"/>
  <c r="E414" i="3"/>
  <c r="A415" i="3"/>
  <c r="E415" i="3"/>
  <c r="A416" i="3"/>
  <c r="E416" i="3"/>
  <c r="A417" i="3"/>
  <c r="E417" i="3"/>
  <c r="A418" i="3"/>
  <c r="E418" i="3"/>
  <c r="A419" i="3"/>
  <c r="E419" i="3"/>
  <c r="A420" i="3"/>
  <c r="E420" i="3"/>
  <c r="A421" i="3"/>
  <c r="E421" i="3"/>
  <c r="A422" i="3"/>
  <c r="E422" i="3"/>
  <c r="A423" i="3"/>
  <c r="E423" i="3"/>
  <c r="A424" i="3"/>
  <c r="E424" i="3"/>
  <c r="A425" i="3"/>
  <c r="E425" i="3"/>
  <c r="A426" i="3"/>
  <c r="E426" i="3"/>
  <c r="A427" i="3"/>
  <c r="E427" i="3"/>
  <c r="A428" i="3"/>
  <c r="E428" i="3"/>
  <c r="A429" i="3"/>
  <c r="E429" i="3"/>
  <c r="A430" i="3"/>
  <c r="E430" i="3"/>
  <c r="A431" i="3"/>
  <c r="E431" i="3"/>
  <c r="A432" i="3"/>
  <c r="E432" i="3"/>
  <c r="A433" i="3"/>
  <c r="E433" i="3"/>
  <c r="A434" i="3"/>
  <c r="E434" i="3"/>
  <c r="A435" i="3"/>
  <c r="E435" i="3"/>
  <c r="A436" i="3"/>
  <c r="E436" i="3"/>
  <c r="A437" i="3"/>
  <c r="E437" i="3"/>
  <c r="A438" i="3"/>
  <c r="E438" i="3"/>
  <c r="A439" i="3"/>
  <c r="E439" i="3"/>
  <c r="A440" i="3"/>
  <c r="E440" i="3"/>
  <c r="A441" i="3"/>
  <c r="E441" i="3"/>
  <c r="A442" i="3"/>
  <c r="E442" i="3"/>
  <c r="A443" i="3"/>
  <c r="E443" i="3"/>
  <c r="A444" i="3"/>
  <c r="E444" i="3"/>
  <c r="A445" i="3"/>
  <c r="E445" i="3"/>
  <c r="A446" i="3"/>
  <c r="E446" i="3"/>
  <c r="A447" i="3"/>
  <c r="E447" i="3"/>
  <c r="A448" i="3"/>
  <c r="E448" i="3"/>
  <c r="A449" i="3"/>
  <c r="E449" i="3"/>
  <c r="A450" i="3"/>
  <c r="E450" i="3"/>
  <c r="A451" i="3"/>
  <c r="E451" i="3"/>
  <c r="A452" i="3"/>
  <c r="E452" i="3"/>
  <c r="A453" i="3"/>
  <c r="E453" i="3"/>
  <c r="A454" i="3"/>
  <c r="E454" i="3"/>
  <c r="A455" i="3"/>
  <c r="E455" i="3"/>
  <c r="A456" i="3"/>
  <c r="E456" i="3"/>
  <c r="A457" i="3"/>
  <c r="E457" i="3"/>
  <c r="A458" i="3"/>
  <c r="E458" i="3"/>
  <c r="A459" i="3"/>
  <c r="E459" i="3"/>
  <c r="A460" i="3"/>
  <c r="E460" i="3"/>
  <c r="A461" i="3"/>
  <c r="E461" i="3"/>
  <c r="A462" i="3"/>
  <c r="E462" i="3"/>
  <c r="A463" i="3"/>
  <c r="E463" i="3"/>
  <c r="A464" i="3"/>
  <c r="E464" i="3"/>
  <c r="A465" i="3"/>
  <c r="E465" i="3"/>
  <c r="A466" i="3"/>
  <c r="E466" i="3"/>
  <c r="A467" i="3"/>
  <c r="E467" i="3"/>
  <c r="A468" i="3"/>
  <c r="E468" i="3"/>
  <c r="A469" i="3"/>
  <c r="E469" i="3"/>
  <c r="A470" i="3"/>
  <c r="E470" i="3"/>
  <c r="A471" i="3"/>
  <c r="E471" i="3"/>
  <c r="A472" i="3"/>
  <c r="E472" i="3"/>
  <c r="A473" i="3"/>
  <c r="E473" i="3"/>
  <c r="A474" i="3"/>
  <c r="E474" i="3"/>
  <c r="A475" i="3"/>
  <c r="E475" i="3"/>
  <c r="A476" i="3"/>
  <c r="E476" i="3"/>
  <c r="A477" i="3"/>
  <c r="E477" i="3"/>
  <c r="A478" i="3"/>
  <c r="E478" i="3"/>
  <c r="A479" i="3"/>
  <c r="E479" i="3"/>
  <c r="A480" i="3"/>
  <c r="E480" i="3"/>
  <c r="A481" i="3"/>
  <c r="E481" i="3"/>
  <c r="A482" i="3"/>
  <c r="E482" i="3"/>
  <c r="A483" i="3"/>
  <c r="E483" i="3"/>
  <c r="A484" i="3"/>
  <c r="E484" i="3"/>
  <c r="A485" i="3"/>
  <c r="E485" i="3"/>
  <c r="A486" i="3"/>
  <c r="E486" i="3"/>
  <c r="A487" i="3"/>
  <c r="E487" i="3"/>
  <c r="A488" i="3"/>
  <c r="E488" i="3"/>
  <c r="A489" i="3"/>
  <c r="E489" i="3"/>
  <c r="A490" i="3"/>
  <c r="E490" i="3"/>
  <c r="A491" i="3"/>
  <c r="E491" i="3"/>
  <c r="A492" i="3"/>
  <c r="E492" i="3"/>
  <c r="A493" i="3"/>
  <c r="E493" i="3"/>
  <c r="A494" i="3"/>
  <c r="E494" i="3"/>
  <c r="A495" i="3"/>
  <c r="E495" i="3"/>
  <c r="A496" i="3"/>
  <c r="E496" i="3"/>
  <c r="A497" i="3"/>
  <c r="E497" i="3"/>
  <c r="A498" i="3"/>
  <c r="E498" i="3"/>
  <c r="A499" i="3"/>
  <c r="E499" i="3"/>
  <c r="A500" i="3"/>
  <c r="E500" i="3"/>
  <c r="A501" i="3"/>
  <c r="E501" i="3"/>
  <c r="A502" i="3"/>
  <c r="E502" i="3"/>
  <c r="A503" i="3"/>
  <c r="E503" i="3"/>
  <c r="A504" i="3"/>
  <c r="E504" i="3"/>
  <c r="A505" i="3"/>
  <c r="E505" i="3"/>
  <c r="A506" i="3"/>
  <c r="E506" i="3"/>
  <c r="A507" i="3"/>
  <c r="E507" i="3"/>
  <c r="A508" i="3"/>
  <c r="E508" i="3"/>
  <c r="A509" i="3"/>
  <c r="E509" i="3"/>
  <c r="A510" i="3"/>
  <c r="E510" i="3"/>
  <c r="A511" i="3"/>
  <c r="E511" i="3"/>
  <c r="A512" i="3"/>
  <c r="E512" i="3"/>
  <c r="A513" i="3"/>
  <c r="E513" i="3"/>
  <c r="A514" i="3"/>
  <c r="E514" i="3"/>
  <c r="A515" i="3"/>
  <c r="E515" i="3"/>
  <c r="A516" i="3"/>
  <c r="E516" i="3"/>
  <c r="A517" i="3"/>
  <c r="E517" i="3"/>
  <c r="A518" i="3"/>
  <c r="E518" i="3"/>
  <c r="A519" i="3"/>
  <c r="E519" i="3"/>
  <c r="A520" i="3"/>
  <c r="E520" i="3"/>
  <c r="A521" i="3"/>
  <c r="E521" i="3"/>
  <c r="A522" i="3"/>
  <c r="E522" i="3"/>
  <c r="A523" i="3"/>
  <c r="E523" i="3"/>
  <c r="A524" i="3"/>
  <c r="E524" i="3"/>
  <c r="A525" i="3"/>
  <c r="E525" i="3"/>
  <c r="A526" i="3"/>
  <c r="E526" i="3"/>
  <c r="A527" i="3"/>
  <c r="E527" i="3"/>
  <c r="A528" i="3"/>
  <c r="E528" i="3"/>
  <c r="A529" i="3"/>
  <c r="E529" i="3"/>
  <c r="A530" i="3"/>
  <c r="E530" i="3"/>
  <c r="A531" i="3"/>
  <c r="E531" i="3"/>
  <c r="A532" i="3"/>
  <c r="E532" i="3"/>
  <c r="A533" i="3"/>
  <c r="E533" i="3"/>
  <c r="A534" i="3"/>
  <c r="E534" i="3"/>
  <c r="A535" i="3"/>
  <c r="E535" i="3"/>
  <c r="A536" i="3"/>
  <c r="E536" i="3"/>
  <c r="A537" i="3"/>
  <c r="E537" i="3"/>
  <c r="A538" i="3"/>
  <c r="E538" i="3"/>
  <c r="A539" i="3"/>
  <c r="E539" i="3"/>
  <c r="A540" i="3"/>
  <c r="E540" i="3"/>
  <c r="A541" i="3"/>
  <c r="E541" i="3"/>
  <c r="A542" i="3"/>
  <c r="E542" i="3"/>
  <c r="A543" i="3"/>
  <c r="E543" i="3"/>
  <c r="A544" i="3"/>
  <c r="E544" i="3"/>
  <c r="A545" i="3"/>
  <c r="E545" i="3"/>
  <c r="A546" i="3"/>
  <c r="E546" i="3"/>
  <c r="A547" i="3"/>
  <c r="E547" i="3"/>
  <c r="A548" i="3"/>
  <c r="E548" i="3"/>
  <c r="A549" i="3"/>
  <c r="E549" i="3"/>
  <c r="A550" i="3"/>
  <c r="E550" i="3"/>
  <c r="A551" i="3"/>
  <c r="E551" i="3"/>
  <c r="A552" i="3"/>
  <c r="E552" i="3"/>
  <c r="A553" i="3"/>
  <c r="E553" i="3"/>
  <c r="A554" i="3"/>
  <c r="E554" i="3"/>
  <c r="A555" i="3"/>
  <c r="E555" i="3"/>
  <c r="A556" i="3"/>
  <c r="E556" i="3"/>
  <c r="A557" i="3"/>
  <c r="E557" i="3"/>
  <c r="A558" i="3"/>
  <c r="E558" i="3"/>
  <c r="A559" i="3"/>
  <c r="E559" i="3"/>
  <c r="A560" i="3"/>
  <c r="E560" i="3"/>
  <c r="A561" i="3"/>
  <c r="E561" i="3"/>
  <c r="A562" i="3"/>
  <c r="E562" i="3"/>
  <c r="A563" i="3"/>
  <c r="E563" i="3"/>
  <c r="A564" i="3"/>
  <c r="E564" i="3"/>
  <c r="A565" i="3"/>
  <c r="E565" i="3"/>
  <c r="A566" i="3"/>
  <c r="E566" i="3"/>
  <c r="A567" i="3"/>
  <c r="E567" i="3"/>
  <c r="A568" i="3"/>
  <c r="E568" i="3"/>
  <c r="A569" i="3"/>
  <c r="E569" i="3"/>
  <c r="A570" i="3"/>
  <c r="E570" i="3"/>
  <c r="A571" i="3"/>
  <c r="E571" i="3"/>
  <c r="A572" i="3"/>
  <c r="E572" i="3"/>
  <c r="A573" i="3"/>
  <c r="E573" i="3"/>
  <c r="A574" i="3"/>
  <c r="E574" i="3"/>
  <c r="A575" i="3"/>
  <c r="E575" i="3"/>
  <c r="A576" i="3"/>
  <c r="E576" i="3"/>
  <c r="A577" i="3"/>
  <c r="E577" i="3"/>
  <c r="A578" i="3"/>
  <c r="E578" i="3"/>
  <c r="A579" i="3"/>
  <c r="E579" i="3"/>
  <c r="A580" i="3"/>
  <c r="E580" i="3"/>
  <c r="A581" i="3"/>
  <c r="E581" i="3"/>
  <c r="A582" i="3"/>
  <c r="E582" i="3"/>
  <c r="A583" i="3"/>
  <c r="E583" i="3"/>
  <c r="A584" i="3"/>
  <c r="E584" i="3"/>
  <c r="A585" i="3"/>
  <c r="E585" i="3"/>
  <c r="A586" i="3"/>
  <c r="E586" i="3"/>
  <c r="A587" i="3"/>
  <c r="E587" i="3"/>
  <c r="A588" i="3"/>
  <c r="E588" i="3"/>
  <c r="A589" i="3"/>
  <c r="E589" i="3"/>
  <c r="A590" i="3"/>
  <c r="E590" i="3"/>
  <c r="A591" i="3"/>
  <c r="E591" i="3"/>
  <c r="A592" i="3"/>
  <c r="E592" i="3"/>
  <c r="A593" i="3"/>
  <c r="E593" i="3"/>
  <c r="A594" i="3"/>
  <c r="E594" i="3"/>
  <c r="A595" i="3"/>
  <c r="E595" i="3"/>
  <c r="A596" i="3"/>
  <c r="E596" i="3"/>
  <c r="A597" i="3"/>
  <c r="E597" i="3"/>
  <c r="A598" i="3"/>
  <c r="E598" i="3"/>
  <c r="A599" i="3"/>
  <c r="E599" i="3"/>
  <c r="A600" i="3"/>
  <c r="E600" i="3"/>
  <c r="A601" i="3"/>
  <c r="E601" i="3"/>
  <c r="A602" i="3"/>
  <c r="E602" i="3"/>
  <c r="A603" i="3"/>
  <c r="E603" i="3"/>
  <c r="A604" i="3"/>
  <c r="E604" i="3"/>
  <c r="A605" i="3"/>
  <c r="E605" i="3"/>
  <c r="A606" i="3"/>
  <c r="E606" i="3"/>
  <c r="A607" i="3"/>
  <c r="E607" i="3"/>
  <c r="A608" i="3"/>
  <c r="E608" i="3"/>
  <c r="A609" i="3"/>
  <c r="E609" i="3"/>
  <c r="A610" i="3"/>
  <c r="E610" i="3"/>
  <c r="A611" i="3"/>
  <c r="E611" i="3"/>
  <c r="A612" i="3"/>
  <c r="E612" i="3"/>
  <c r="A613" i="3"/>
  <c r="E613" i="3"/>
  <c r="A614" i="3"/>
  <c r="E614" i="3"/>
  <c r="A615" i="3"/>
  <c r="E615" i="3"/>
  <c r="A616" i="3"/>
  <c r="E616" i="3"/>
  <c r="A617" i="3"/>
  <c r="E617" i="3"/>
  <c r="A618" i="3"/>
  <c r="E618" i="3"/>
  <c r="A619" i="3"/>
  <c r="E619" i="3"/>
  <c r="A620" i="3"/>
  <c r="E620" i="3"/>
  <c r="A621" i="3"/>
  <c r="E621" i="3"/>
  <c r="A622" i="3"/>
  <c r="E622" i="3"/>
  <c r="A623" i="3"/>
  <c r="E623" i="3"/>
  <c r="A624" i="3"/>
  <c r="E624" i="3"/>
  <c r="A625" i="3"/>
  <c r="E625" i="3"/>
  <c r="A626" i="3"/>
  <c r="E626" i="3"/>
  <c r="A627" i="3"/>
  <c r="E627" i="3"/>
  <c r="A628" i="3"/>
  <c r="E628" i="3"/>
  <c r="A629" i="3"/>
  <c r="E629" i="3"/>
  <c r="A630" i="3"/>
  <c r="E630" i="3"/>
  <c r="A631" i="3"/>
  <c r="E631" i="3"/>
  <c r="A632" i="3"/>
  <c r="E632" i="3"/>
  <c r="A633" i="3"/>
  <c r="E633" i="3"/>
  <c r="A634" i="3"/>
  <c r="E634" i="3"/>
  <c r="A635" i="3"/>
  <c r="E635" i="3"/>
  <c r="A636" i="3"/>
  <c r="E636" i="3"/>
  <c r="A637" i="3"/>
  <c r="E637" i="3"/>
  <c r="A638" i="3"/>
  <c r="E638" i="3"/>
  <c r="A639" i="3"/>
  <c r="E639" i="3"/>
  <c r="A640" i="3"/>
  <c r="E640" i="3"/>
  <c r="A641" i="3"/>
  <c r="E641" i="3"/>
  <c r="A642" i="3"/>
  <c r="E642" i="3"/>
  <c r="A643" i="3"/>
  <c r="E643" i="3"/>
  <c r="A644" i="3"/>
  <c r="E644" i="3"/>
  <c r="A645" i="3"/>
  <c r="E645" i="3"/>
  <c r="A646" i="3"/>
  <c r="E646" i="3"/>
  <c r="A647" i="3"/>
  <c r="E647" i="3"/>
  <c r="A648" i="3"/>
  <c r="E648" i="3"/>
  <c r="A649" i="3"/>
  <c r="E649" i="3"/>
  <c r="A650" i="3"/>
  <c r="E650" i="3"/>
  <c r="A651" i="3"/>
  <c r="E651" i="3"/>
  <c r="A652" i="3"/>
  <c r="E652" i="3"/>
  <c r="A653" i="3"/>
  <c r="E653" i="3"/>
  <c r="A654" i="3"/>
  <c r="E654" i="3"/>
  <c r="A655" i="3"/>
  <c r="E655" i="3"/>
  <c r="A656" i="3"/>
  <c r="E656" i="3"/>
  <c r="A657" i="3"/>
  <c r="E657" i="3"/>
  <c r="A658" i="3"/>
  <c r="E658" i="3"/>
  <c r="A659" i="3"/>
  <c r="E659" i="3"/>
  <c r="A660" i="3"/>
  <c r="E660" i="3"/>
  <c r="A661" i="3"/>
  <c r="E661" i="3"/>
  <c r="A662" i="3"/>
  <c r="E662" i="3"/>
  <c r="A663" i="3"/>
  <c r="E663" i="3"/>
  <c r="A664" i="3"/>
  <c r="E664" i="3"/>
  <c r="A665" i="3"/>
  <c r="E665" i="3"/>
  <c r="A666" i="3"/>
  <c r="E666" i="3"/>
  <c r="A667" i="3"/>
  <c r="E667" i="3"/>
  <c r="A668" i="3"/>
  <c r="E668" i="3"/>
  <c r="A669" i="3"/>
  <c r="E669" i="3"/>
  <c r="A670" i="3"/>
  <c r="E670" i="3"/>
  <c r="A671" i="3"/>
  <c r="E671" i="3"/>
  <c r="A672" i="3"/>
  <c r="E672" i="3"/>
  <c r="A673" i="3"/>
  <c r="E673" i="3"/>
  <c r="A674" i="3"/>
  <c r="E674" i="3"/>
  <c r="A675" i="3"/>
  <c r="E675" i="3"/>
  <c r="A676" i="3"/>
  <c r="E676" i="3"/>
  <c r="A677" i="3"/>
  <c r="E677" i="3"/>
  <c r="A678" i="3"/>
  <c r="E678" i="3"/>
  <c r="A679" i="3"/>
  <c r="E679" i="3"/>
  <c r="A680" i="3"/>
  <c r="E680" i="3"/>
  <c r="A681" i="3"/>
  <c r="E681" i="3"/>
  <c r="A682" i="3"/>
  <c r="E682" i="3"/>
  <c r="A683" i="3"/>
  <c r="E683" i="3"/>
  <c r="A684" i="3"/>
  <c r="E684" i="3"/>
  <c r="A685" i="3"/>
  <c r="E685" i="3"/>
  <c r="A686" i="3"/>
  <c r="E686" i="3"/>
  <c r="A687" i="3"/>
  <c r="E687" i="3"/>
  <c r="A688" i="3"/>
  <c r="E688" i="3"/>
  <c r="A689" i="3"/>
  <c r="E689" i="3"/>
  <c r="A690" i="3"/>
  <c r="E690" i="3"/>
  <c r="A691" i="3"/>
  <c r="E691" i="3"/>
  <c r="A692" i="3"/>
  <c r="E692" i="3"/>
  <c r="A693" i="3"/>
  <c r="E693" i="3"/>
  <c r="A694" i="3"/>
  <c r="E694" i="3"/>
  <c r="A695" i="3"/>
  <c r="E695" i="3"/>
  <c r="A696" i="3"/>
  <c r="E696" i="3"/>
  <c r="A697" i="3"/>
  <c r="E697" i="3"/>
  <c r="A698" i="3"/>
  <c r="E698" i="3"/>
  <c r="A699" i="3"/>
  <c r="E699" i="3"/>
  <c r="A700" i="3"/>
  <c r="E700" i="3"/>
  <c r="A701" i="3"/>
  <c r="E701" i="3"/>
  <c r="A702" i="3"/>
  <c r="E702" i="3"/>
  <c r="A703" i="3"/>
  <c r="E703" i="3"/>
  <c r="A704" i="3"/>
  <c r="E704" i="3"/>
  <c r="A705" i="3"/>
  <c r="E705" i="3"/>
  <c r="A706" i="3"/>
  <c r="E706" i="3"/>
  <c r="A707" i="3"/>
  <c r="E707" i="3"/>
  <c r="A708" i="3"/>
  <c r="E708" i="3"/>
  <c r="A709" i="3"/>
  <c r="E709" i="3"/>
  <c r="A710" i="3"/>
  <c r="E710" i="3"/>
  <c r="A711" i="3"/>
  <c r="E711" i="3"/>
  <c r="A712" i="3"/>
  <c r="E712" i="3"/>
  <c r="A713" i="3"/>
  <c r="E713" i="3"/>
  <c r="A714" i="3"/>
  <c r="E714" i="3"/>
  <c r="A715" i="3"/>
  <c r="E715" i="3"/>
  <c r="A716" i="3"/>
  <c r="E716" i="3"/>
  <c r="A717" i="3"/>
  <c r="E717" i="3"/>
  <c r="A718" i="3"/>
  <c r="E718" i="3"/>
  <c r="A719" i="3"/>
  <c r="E719" i="3"/>
  <c r="A720" i="3"/>
  <c r="E720" i="3"/>
  <c r="A721" i="3"/>
  <c r="E721" i="3"/>
  <c r="A722" i="3"/>
  <c r="E722" i="3"/>
  <c r="A723" i="3"/>
  <c r="E723" i="3"/>
  <c r="A724" i="3"/>
  <c r="E724" i="3"/>
  <c r="A725" i="3"/>
  <c r="E725" i="3"/>
  <c r="A726" i="3"/>
  <c r="E726" i="3"/>
  <c r="A727" i="3"/>
  <c r="E727" i="3"/>
  <c r="A728" i="3"/>
  <c r="E728" i="3"/>
  <c r="A729" i="3"/>
  <c r="E729" i="3"/>
  <c r="A730" i="3"/>
  <c r="E730" i="3"/>
  <c r="A731" i="3"/>
  <c r="E731" i="3"/>
  <c r="A732" i="3"/>
  <c r="E732" i="3"/>
  <c r="A733" i="3"/>
  <c r="E733" i="3"/>
  <c r="A734" i="3"/>
  <c r="E734" i="3"/>
  <c r="A735" i="3"/>
  <c r="E735" i="3"/>
  <c r="A736" i="3"/>
  <c r="E736" i="3"/>
  <c r="A737" i="3"/>
  <c r="E737" i="3"/>
  <c r="A738" i="3"/>
  <c r="E738" i="3"/>
  <c r="A739" i="3"/>
  <c r="E739" i="3"/>
  <c r="A740" i="3"/>
  <c r="E740" i="3"/>
  <c r="A741" i="3"/>
  <c r="E741" i="3"/>
  <c r="A742" i="3"/>
  <c r="E742" i="3"/>
  <c r="A743" i="3"/>
  <c r="E743" i="3"/>
  <c r="A744" i="3"/>
  <c r="E744" i="3"/>
  <c r="A745" i="3"/>
  <c r="E745" i="3"/>
  <c r="A746" i="3"/>
  <c r="E746" i="3"/>
  <c r="A747" i="3"/>
  <c r="E747" i="3"/>
  <c r="A748" i="3"/>
  <c r="E748" i="3"/>
  <c r="A749" i="3"/>
  <c r="E749" i="3"/>
  <c r="A750" i="3"/>
  <c r="E750" i="3"/>
  <c r="A751" i="3"/>
  <c r="E751" i="3"/>
  <c r="A752" i="3"/>
  <c r="E752" i="3"/>
  <c r="A753" i="3"/>
  <c r="E753" i="3"/>
  <c r="A754" i="3"/>
  <c r="E754" i="3"/>
  <c r="A755" i="3"/>
  <c r="E755" i="3"/>
  <c r="A756" i="3"/>
  <c r="E756" i="3"/>
  <c r="A757" i="3"/>
  <c r="E757" i="3"/>
  <c r="A758" i="3"/>
  <c r="E758" i="3"/>
  <c r="A759" i="3"/>
  <c r="E759" i="3"/>
  <c r="A760" i="3"/>
  <c r="E760" i="3"/>
  <c r="A761" i="3"/>
  <c r="E761" i="3"/>
  <c r="A762" i="3"/>
  <c r="E762" i="3"/>
  <c r="A763" i="3"/>
  <c r="E763" i="3"/>
  <c r="A764" i="3"/>
  <c r="E764" i="3"/>
  <c r="A765" i="3"/>
  <c r="E765" i="3"/>
  <c r="A766" i="3"/>
  <c r="E766" i="3"/>
  <c r="A767" i="3"/>
  <c r="E767" i="3"/>
  <c r="A768" i="3"/>
  <c r="E768" i="3"/>
  <c r="A769" i="3"/>
  <c r="E769" i="3"/>
  <c r="A770" i="3"/>
  <c r="E770" i="3"/>
  <c r="A771" i="3"/>
  <c r="E771" i="3"/>
  <c r="A772" i="3"/>
  <c r="E772" i="3"/>
  <c r="A773" i="3"/>
  <c r="E773" i="3"/>
  <c r="A774" i="3"/>
  <c r="E774" i="3"/>
  <c r="A775" i="3"/>
  <c r="E775" i="3"/>
  <c r="A776" i="3"/>
  <c r="E776" i="3"/>
  <c r="A777" i="3"/>
  <c r="E777" i="3"/>
  <c r="A778" i="3"/>
  <c r="E778" i="3"/>
  <c r="A779" i="3"/>
  <c r="E779" i="3"/>
  <c r="A780" i="3"/>
  <c r="E780" i="3"/>
  <c r="A781" i="3"/>
  <c r="E781" i="3"/>
  <c r="A782" i="3"/>
  <c r="E782" i="3"/>
  <c r="A783" i="3"/>
  <c r="E783" i="3"/>
  <c r="A784" i="3"/>
  <c r="E784" i="3"/>
  <c r="A785" i="3"/>
  <c r="E785" i="3"/>
  <c r="A786" i="3"/>
  <c r="E786" i="3"/>
  <c r="A787" i="3"/>
  <c r="E787" i="3"/>
  <c r="A788" i="3"/>
  <c r="E788" i="3"/>
  <c r="A789" i="3"/>
  <c r="E789" i="3"/>
  <c r="A790" i="3"/>
  <c r="E790" i="3"/>
  <c r="A791" i="3"/>
  <c r="E791" i="3"/>
  <c r="A792" i="3"/>
  <c r="E792" i="3"/>
  <c r="A793" i="3"/>
  <c r="E793" i="3"/>
  <c r="A794" i="3"/>
  <c r="E794" i="3"/>
  <c r="A795" i="3"/>
  <c r="E795" i="3"/>
  <c r="A796" i="3"/>
  <c r="E796" i="3"/>
  <c r="A797" i="3"/>
  <c r="E797" i="3"/>
  <c r="A798" i="3"/>
  <c r="E798" i="3"/>
  <c r="A799" i="3"/>
  <c r="E799" i="3"/>
  <c r="A800" i="3"/>
  <c r="E800" i="3"/>
  <c r="A801" i="3"/>
  <c r="E801" i="3"/>
  <c r="A802" i="3"/>
  <c r="E802" i="3"/>
  <c r="A803" i="3"/>
  <c r="E803" i="3"/>
  <c r="A804" i="3"/>
  <c r="E804" i="3"/>
  <c r="A805" i="3"/>
  <c r="E805" i="3"/>
  <c r="A806" i="3"/>
  <c r="E806" i="3"/>
  <c r="A807" i="3"/>
  <c r="E807" i="3"/>
  <c r="A808" i="3"/>
  <c r="E808" i="3"/>
  <c r="A809" i="3"/>
  <c r="E809" i="3"/>
  <c r="A810" i="3"/>
  <c r="E810" i="3"/>
  <c r="A811" i="3"/>
  <c r="E811" i="3"/>
  <c r="A812" i="3"/>
  <c r="E812" i="3"/>
  <c r="A813" i="3"/>
  <c r="E813" i="3"/>
  <c r="A814" i="3"/>
  <c r="E814" i="3"/>
  <c r="A815" i="3"/>
  <c r="E815" i="3"/>
  <c r="A816" i="3"/>
  <c r="E816" i="3"/>
  <c r="A817" i="3"/>
  <c r="E817" i="3"/>
  <c r="A818" i="3"/>
  <c r="E818" i="3"/>
  <c r="A819" i="3"/>
  <c r="E819" i="3"/>
  <c r="A820" i="3"/>
  <c r="E820" i="3"/>
  <c r="A821" i="3"/>
  <c r="E821" i="3"/>
  <c r="A822" i="3"/>
  <c r="E822" i="3"/>
  <c r="A823" i="3"/>
  <c r="E823" i="3"/>
  <c r="A824" i="3"/>
  <c r="E824" i="3"/>
  <c r="A825" i="3"/>
  <c r="E825" i="3"/>
  <c r="A826" i="3"/>
  <c r="E826" i="3"/>
  <c r="A827" i="3"/>
  <c r="E827" i="3"/>
  <c r="A828" i="3"/>
  <c r="E828" i="3"/>
  <c r="A829" i="3"/>
  <c r="E829" i="3"/>
  <c r="A830" i="3"/>
  <c r="E830" i="3"/>
  <c r="A831" i="3"/>
  <c r="E831" i="3"/>
  <c r="A832" i="3"/>
  <c r="E832" i="3"/>
  <c r="A833" i="3"/>
  <c r="E833" i="3"/>
  <c r="A834" i="3"/>
  <c r="E834" i="3"/>
  <c r="A835" i="3"/>
  <c r="E835" i="3"/>
  <c r="A836" i="3"/>
  <c r="E836" i="3"/>
  <c r="A837" i="3"/>
  <c r="E837" i="3"/>
  <c r="A838" i="3"/>
  <c r="E838" i="3"/>
  <c r="A839" i="3"/>
  <c r="E839" i="3"/>
  <c r="A840" i="3"/>
  <c r="E840" i="3"/>
  <c r="A841" i="3"/>
  <c r="E841" i="3"/>
  <c r="A842" i="3"/>
  <c r="E842" i="3"/>
  <c r="A843" i="3"/>
  <c r="E843" i="3"/>
  <c r="A844" i="3"/>
  <c r="E844" i="3"/>
  <c r="A845" i="3"/>
  <c r="E845" i="3"/>
  <c r="A846" i="3"/>
  <c r="E846" i="3"/>
  <c r="A847" i="3"/>
  <c r="E847" i="3"/>
  <c r="A848" i="3"/>
  <c r="E848" i="3"/>
  <c r="A849" i="3"/>
  <c r="E849" i="3"/>
  <c r="A850" i="3"/>
  <c r="E850" i="3"/>
  <c r="A851" i="3"/>
  <c r="E851" i="3"/>
  <c r="A852" i="3"/>
  <c r="E852" i="3"/>
  <c r="A853" i="3"/>
  <c r="E853" i="3"/>
  <c r="A854" i="3"/>
  <c r="E854" i="3"/>
  <c r="A855" i="3"/>
  <c r="E855" i="3"/>
  <c r="A856" i="3"/>
  <c r="E856" i="3"/>
  <c r="A857" i="3"/>
  <c r="E857" i="3"/>
  <c r="A858" i="3"/>
  <c r="E858" i="3"/>
  <c r="A859" i="3"/>
  <c r="E859" i="3"/>
  <c r="A860" i="3"/>
  <c r="E860" i="3"/>
  <c r="A861" i="3"/>
  <c r="E861" i="3"/>
  <c r="A862" i="3"/>
  <c r="E862" i="3"/>
  <c r="A863" i="3"/>
  <c r="E863" i="3"/>
  <c r="A864" i="3"/>
  <c r="E864" i="3"/>
  <c r="A865" i="3"/>
  <c r="E865" i="3"/>
  <c r="A866" i="3"/>
  <c r="E866" i="3"/>
  <c r="A867" i="3"/>
  <c r="E867" i="3"/>
  <c r="A868" i="3"/>
  <c r="E868" i="3"/>
  <c r="A869" i="3"/>
  <c r="E869" i="3"/>
  <c r="A870" i="3"/>
  <c r="E870" i="3"/>
  <c r="A871" i="3"/>
  <c r="E871" i="3"/>
  <c r="A872" i="3"/>
  <c r="E872" i="3"/>
  <c r="A873" i="3"/>
  <c r="E873" i="3"/>
  <c r="A874" i="3"/>
  <c r="E874" i="3"/>
  <c r="A875" i="3"/>
  <c r="E875" i="3"/>
  <c r="A876" i="3"/>
  <c r="E876" i="3"/>
  <c r="A877" i="3"/>
  <c r="E877" i="3"/>
  <c r="A878" i="3"/>
  <c r="E878" i="3"/>
  <c r="A879" i="3"/>
  <c r="E879" i="3"/>
  <c r="A880" i="3"/>
  <c r="E880" i="3"/>
  <c r="A881" i="3"/>
  <c r="E881" i="3"/>
  <c r="A882" i="3"/>
  <c r="E882" i="3"/>
  <c r="A883" i="3"/>
  <c r="E883" i="3"/>
  <c r="A884" i="3"/>
  <c r="E884" i="3"/>
  <c r="A885" i="3"/>
  <c r="E885" i="3"/>
  <c r="A886" i="3"/>
  <c r="E886" i="3"/>
  <c r="A887" i="3"/>
  <c r="E887" i="3"/>
  <c r="A888" i="3"/>
  <c r="E888" i="3"/>
  <c r="A889" i="3"/>
  <c r="E889" i="3"/>
  <c r="A890" i="3"/>
  <c r="E890" i="3"/>
  <c r="A891" i="3"/>
  <c r="E891" i="3"/>
  <c r="A892" i="3"/>
  <c r="E892" i="3"/>
  <c r="A893" i="3"/>
  <c r="E893" i="3"/>
  <c r="A894" i="3"/>
  <c r="E894" i="3"/>
  <c r="A895" i="3"/>
  <c r="E895" i="3"/>
  <c r="A896" i="3"/>
  <c r="E896" i="3"/>
  <c r="A897" i="3"/>
  <c r="E897" i="3"/>
  <c r="A898" i="3"/>
  <c r="E898" i="3"/>
  <c r="A899" i="3"/>
  <c r="E899" i="3"/>
  <c r="A900" i="3"/>
  <c r="E900" i="3"/>
  <c r="A901" i="3"/>
  <c r="E901" i="3"/>
  <c r="A902" i="3"/>
  <c r="E902" i="3"/>
  <c r="A903" i="3"/>
  <c r="E903" i="3"/>
  <c r="A904" i="3"/>
  <c r="E904" i="3"/>
  <c r="A905" i="3"/>
  <c r="E905" i="3"/>
  <c r="A906" i="3"/>
  <c r="E906" i="3"/>
  <c r="A907" i="3"/>
  <c r="E907" i="3"/>
  <c r="A908" i="3"/>
  <c r="E908" i="3"/>
  <c r="A909" i="3"/>
  <c r="E909" i="3"/>
  <c r="A910" i="3"/>
  <c r="E910" i="3"/>
  <c r="A911" i="3"/>
  <c r="E911" i="3"/>
  <c r="A912" i="3"/>
  <c r="E912" i="3"/>
  <c r="A913" i="3"/>
  <c r="E913" i="3"/>
  <c r="A914" i="3"/>
  <c r="E914" i="3"/>
  <c r="A915" i="3"/>
  <c r="E915" i="3"/>
  <c r="A916" i="3"/>
  <c r="E916" i="3"/>
  <c r="A917" i="3"/>
  <c r="E917" i="3"/>
  <c r="A918" i="3"/>
  <c r="E918" i="3"/>
  <c r="A919" i="3"/>
  <c r="E919" i="3"/>
  <c r="A920" i="3"/>
  <c r="E920" i="3"/>
  <c r="A921" i="3"/>
  <c r="E921" i="3"/>
  <c r="A922" i="3"/>
  <c r="E922" i="3"/>
  <c r="A923" i="3"/>
  <c r="E923" i="3"/>
  <c r="A924" i="3"/>
  <c r="E924" i="3"/>
  <c r="A925" i="3"/>
  <c r="E925" i="3"/>
  <c r="A926" i="3"/>
  <c r="E926" i="3"/>
  <c r="A927" i="3"/>
  <c r="E927" i="3"/>
  <c r="A928" i="3"/>
  <c r="E928" i="3"/>
  <c r="A929" i="3"/>
  <c r="E929" i="3"/>
  <c r="A930" i="3"/>
  <c r="E930" i="3"/>
  <c r="A931" i="3"/>
  <c r="E931" i="3"/>
  <c r="A932" i="3"/>
  <c r="E932" i="3"/>
  <c r="A933" i="3"/>
  <c r="E933" i="3"/>
  <c r="A934" i="3"/>
  <c r="E934" i="3"/>
  <c r="A935" i="3"/>
  <c r="E935" i="3"/>
  <c r="A936" i="3"/>
  <c r="E936" i="3"/>
  <c r="A937" i="3"/>
  <c r="E937" i="3"/>
  <c r="A938" i="3"/>
  <c r="E938" i="3"/>
  <c r="A939" i="3"/>
  <c r="E939" i="3"/>
  <c r="A940" i="3"/>
  <c r="E940" i="3"/>
  <c r="A941" i="3"/>
  <c r="E941" i="3"/>
  <c r="A942" i="3"/>
  <c r="E942" i="3"/>
  <c r="A943" i="3"/>
  <c r="E943" i="3"/>
  <c r="A944" i="3"/>
  <c r="E944" i="3"/>
  <c r="A945" i="3"/>
  <c r="E945" i="3"/>
  <c r="A946" i="3"/>
  <c r="E946" i="3"/>
  <c r="A947" i="3"/>
  <c r="E947" i="3"/>
  <c r="A948" i="3"/>
  <c r="E948" i="3"/>
  <c r="A949" i="3"/>
  <c r="E949" i="3"/>
  <c r="A950" i="3"/>
  <c r="E950" i="3"/>
  <c r="A951" i="3"/>
  <c r="E951" i="3"/>
  <c r="A952" i="3"/>
  <c r="E952" i="3"/>
  <c r="A953" i="3"/>
  <c r="E953" i="3"/>
  <c r="A954" i="3"/>
  <c r="E954" i="3"/>
  <c r="A955" i="3"/>
  <c r="E955" i="3"/>
  <c r="A956" i="3"/>
  <c r="E956" i="3"/>
  <c r="A957" i="3"/>
  <c r="E957" i="3"/>
  <c r="A958" i="3"/>
  <c r="E958" i="3"/>
  <c r="A959" i="3"/>
  <c r="E959" i="3"/>
  <c r="A960" i="3"/>
  <c r="E960" i="3"/>
  <c r="A961" i="3"/>
  <c r="E961" i="3"/>
  <c r="A962" i="3"/>
  <c r="E962" i="3"/>
  <c r="A963" i="3"/>
  <c r="E963" i="3"/>
  <c r="A964" i="3"/>
  <c r="E964" i="3"/>
  <c r="A965" i="3"/>
  <c r="E965" i="3"/>
  <c r="A966" i="3"/>
  <c r="E966" i="3"/>
  <c r="A967" i="3"/>
  <c r="E967" i="3"/>
  <c r="A968" i="3"/>
  <c r="E968" i="3"/>
  <c r="A969" i="3"/>
  <c r="E969" i="3"/>
  <c r="A970" i="3"/>
  <c r="E970" i="3"/>
  <c r="A971" i="3"/>
  <c r="E971" i="3"/>
  <c r="A972" i="3"/>
  <c r="E972" i="3"/>
  <c r="A973" i="3"/>
  <c r="E973" i="3"/>
  <c r="A974" i="3"/>
  <c r="E974" i="3"/>
  <c r="A975" i="3"/>
  <c r="E975" i="3"/>
  <c r="A976" i="3"/>
  <c r="E976" i="3"/>
  <c r="A977" i="3"/>
  <c r="E977" i="3"/>
  <c r="A978" i="3"/>
  <c r="E978" i="3"/>
  <c r="A979" i="3"/>
  <c r="E979" i="3"/>
  <c r="A980" i="3"/>
  <c r="E980" i="3"/>
  <c r="A981" i="3"/>
  <c r="E981" i="3"/>
  <c r="A982" i="3"/>
  <c r="E982" i="3"/>
  <c r="A983" i="3"/>
  <c r="E983" i="3"/>
  <c r="A984" i="3"/>
  <c r="E984" i="3"/>
  <c r="A985" i="3"/>
  <c r="E985" i="3"/>
  <c r="A986" i="3"/>
  <c r="E986" i="3"/>
  <c r="A987" i="3"/>
  <c r="E987" i="3"/>
  <c r="A988" i="3"/>
  <c r="E988" i="3"/>
  <c r="A989" i="3"/>
  <c r="E989" i="3"/>
  <c r="A990" i="3"/>
  <c r="E990" i="3"/>
  <c r="A991" i="3"/>
  <c r="E991" i="3"/>
  <c r="A992" i="3"/>
  <c r="E992" i="3"/>
  <c r="A993" i="3"/>
  <c r="E993" i="3"/>
  <c r="A994" i="3"/>
  <c r="E994" i="3"/>
  <c r="A995" i="3"/>
  <c r="E995" i="3"/>
  <c r="A996" i="3"/>
  <c r="E996" i="3"/>
  <c r="A997" i="3"/>
  <c r="E997" i="3"/>
  <c r="A998" i="3"/>
  <c r="E998" i="3"/>
  <c r="A999" i="3"/>
  <c r="E999" i="3"/>
  <c r="A1000" i="3"/>
  <c r="E1000" i="3"/>
  <c r="A1001" i="3"/>
  <c r="E1001" i="3"/>
  <c r="A1002" i="3"/>
  <c r="E1002" i="3"/>
  <c r="A1003" i="3"/>
  <c r="E1003" i="3"/>
  <c r="A1004" i="3"/>
  <c r="E1004" i="3"/>
  <c r="A1005" i="3"/>
  <c r="E1005" i="3"/>
  <c r="A1006" i="3"/>
  <c r="E1006" i="3"/>
  <c r="A1007" i="3"/>
  <c r="E1007" i="3"/>
  <c r="A1008" i="3"/>
  <c r="E1008" i="3"/>
  <c r="A1009" i="3"/>
  <c r="E1009" i="3"/>
  <c r="A1010" i="3"/>
  <c r="E1010" i="3"/>
  <c r="A1011" i="3"/>
  <c r="E1011" i="3"/>
  <c r="A1012" i="3"/>
  <c r="E1012" i="3"/>
  <c r="A1013" i="3"/>
  <c r="E1013" i="3"/>
  <c r="A1014" i="3"/>
  <c r="E1014" i="3"/>
  <c r="A1015" i="3"/>
  <c r="E1015" i="3"/>
  <c r="A1016" i="3"/>
  <c r="E1016" i="3"/>
  <c r="A1017" i="3"/>
  <c r="E1017" i="3"/>
  <c r="A1018" i="3"/>
  <c r="E1018" i="3"/>
  <c r="A1019" i="3"/>
  <c r="E1019" i="3"/>
  <c r="A1020" i="3"/>
  <c r="E1020" i="3"/>
  <c r="A1021" i="3"/>
  <c r="E1021" i="3"/>
  <c r="A1022" i="3"/>
  <c r="E1022" i="3"/>
  <c r="A1023" i="3"/>
  <c r="E1023" i="3"/>
  <c r="A1024" i="3"/>
  <c r="E1024" i="3"/>
  <c r="A1025" i="3"/>
  <c r="E1025" i="3"/>
  <c r="A1026" i="3"/>
  <c r="E1026" i="3"/>
  <c r="A1027" i="3"/>
  <c r="E1027" i="3"/>
  <c r="A1028" i="3"/>
  <c r="E1028" i="3"/>
  <c r="A1029" i="3"/>
  <c r="E1029" i="3"/>
  <c r="A1030" i="3"/>
  <c r="E1030" i="3"/>
  <c r="A1031" i="3"/>
  <c r="E1031" i="3"/>
  <c r="A1032" i="3"/>
  <c r="E1032" i="3"/>
  <c r="A1033" i="3"/>
  <c r="E1033" i="3"/>
  <c r="A1034" i="3"/>
  <c r="E1034" i="3"/>
  <c r="A1035" i="3"/>
  <c r="E1035" i="3"/>
  <c r="A1036" i="3"/>
  <c r="E1036" i="3"/>
  <c r="A1037" i="3"/>
  <c r="E1037" i="3"/>
  <c r="A1038" i="3"/>
  <c r="E1038" i="3"/>
  <c r="A1039" i="3"/>
  <c r="E1039" i="3"/>
  <c r="A1040" i="3"/>
  <c r="E1040" i="3"/>
  <c r="A1041" i="3"/>
  <c r="E1041" i="3"/>
  <c r="A1042" i="3"/>
  <c r="E1042" i="3"/>
  <c r="A1043" i="3"/>
  <c r="E1043" i="3"/>
  <c r="A1044" i="3"/>
  <c r="E1044" i="3"/>
  <c r="A1045" i="3"/>
  <c r="E1045" i="3"/>
  <c r="A1046" i="3"/>
  <c r="E1046" i="3"/>
  <c r="A1047" i="3"/>
  <c r="E1047" i="3"/>
  <c r="A1048" i="3"/>
  <c r="E1048" i="3"/>
  <c r="A1049" i="3"/>
  <c r="E1049" i="3"/>
  <c r="A1050" i="3"/>
  <c r="E1050" i="3"/>
  <c r="A1051" i="3"/>
  <c r="E1051" i="3"/>
  <c r="A1052" i="3"/>
  <c r="E1052" i="3"/>
  <c r="A1053" i="3"/>
  <c r="E1053" i="3"/>
  <c r="A1054" i="3"/>
  <c r="E1054" i="3"/>
  <c r="A1055" i="3"/>
  <c r="E1055" i="3"/>
  <c r="A1056" i="3"/>
  <c r="E1056" i="3"/>
  <c r="A1057" i="3"/>
  <c r="E1057" i="3"/>
  <c r="A1058" i="3"/>
  <c r="E1058" i="3"/>
  <c r="A1059" i="3"/>
  <c r="E1059" i="3"/>
  <c r="A1060" i="3"/>
  <c r="E1060" i="3"/>
  <c r="A1061" i="3"/>
  <c r="E1061" i="3"/>
  <c r="A1062" i="3"/>
  <c r="E1062" i="3"/>
  <c r="A1063" i="3"/>
  <c r="E1063" i="3"/>
  <c r="A1064" i="3"/>
  <c r="E1064" i="3"/>
  <c r="A1065" i="3"/>
  <c r="E1065" i="3"/>
  <c r="A1066" i="3"/>
  <c r="E1066" i="3"/>
  <c r="A1067" i="3"/>
  <c r="E1067" i="3"/>
  <c r="A1068" i="3"/>
  <c r="E1068" i="3"/>
  <c r="A1069" i="3"/>
  <c r="E1069" i="3"/>
  <c r="A1070" i="3"/>
  <c r="E1070" i="3"/>
  <c r="A1071" i="3"/>
  <c r="E1071" i="3"/>
  <c r="A1072" i="3"/>
  <c r="E1072" i="3"/>
  <c r="A1073" i="3"/>
  <c r="E1073" i="3"/>
  <c r="A1074" i="3"/>
  <c r="E1074" i="3"/>
  <c r="A1075" i="3"/>
  <c r="E1075" i="3"/>
  <c r="A1076" i="3"/>
  <c r="E1076" i="3"/>
  <c r="A1077" i="3"/>
  <c r="E1077" i="3"/>
  <c r="A1078" i="3"/>
  <c r="E1078" i="3"/>
  <c r="A1079" i="3"/>
  <c r="E1079" i="3"/>
  <c r="A1080" i="3"/>
  <c r="E1080" i="3"/>
  <c r="A1081" i="3"/>
  <c r="E1081" i="3"/>
  <c r="A1082" i="3"/>
  <c r="E1082" i="3"/>
  <c r="A1083" i="3"/>
  <c r="E1083" i="3"/>
  <c r="A1084" i="3"/>
  <c r="E1084" i="3"/>
  <c r="A1085" i="3"/>
  <c r="E1085" i="3"/>
  <c r="A1086" i="3"/>
  <c r="E1086" i="3"/>
  <c r="A1087" i="3"/>
  <c r="E1087" i="3"/>
  <c r="A1088" i="3"/>
  <c r="E1088" i="3"/>
  <c r="A1089" i="3"/>
  <c r="E1089" i="3"/>
  <c r="A1090" i="3"/>
  <c r="E1090" i="3"/>
  <c r="A1091" i="3"/>
  <c r="E1091" i="3"/>
  <c r="A1092" i="3"/>
  <c r="E1092" i="3"/>
  <c r="A1093" i="3"/>
  <c r="E1093" i="3"/>
  <c r="A1094" i="3"/>
  <c r="E1094" i="3"/>
  <c r="A1095" i="3"/>
  <c r="E1095" i="3"/>
  <c r="A1096" i="3"/>
  <c r="E1096" i="3"/>
  <c r="A1097" i="3"/>
  <c r="E1097" i="3"/>
  <c r="A1098" i="3"/>
  <c r="E1098" i="3"/>
  <c r="A1099" i="3"/>
  <c r="E1099" i="3"/>
  <c r="A1100" i="3"/>
  <c r="E1100" i="3"/>
  <c r="A1101" i="3"/>
  <c r="E1101" i="3"/>
  <c r="A1102" i="3"/>
  <c r="E1102" i="3"/>
  <c r="A1103" i="3"/>
  <c r="E1103" i="3"/>
  <c r="A1104" i="3"/>
  <c r="E1104" i="3"/>
  <c r="A1105" i="3"/>
  <c r="E1105" i="3"/>
  <c r="A1106" i="3"/>
  <c r="E1106" i="3"/>
  <c r="A1107" i="3"/>
  <c r="E1107" i="3"/>
  <c r="A1108" i="3"/>
  <c r="E1108" i="3"/>
  <c r="A1109" i="3"/>
  <c r="E1109" i="3"/>
  <c r="A1110" i="3"/>
  <c r="E1110" i="3"/>
  <c r="A1111" i="3"/>
  <c r="E1111" i="3"/>
  <c r="A1112" i="3"/>
  <c r="E1112" i="3"/>
  <c r="A1113" i="3"/>
  <c r="E1113" i="3"/>
  <c r="A1114" i="3"/>
  <c r="E1114" i="3"/>
  <c r="A1115" i="3"/>
  <c r="E1115" i="3"/>
  <c r="A1116" i="3"/>
  <c r="E1116" i="3"/>
  <c r="A1117" i="3"/>
  <c r="E1117" i="3"/>
  <c r="A1118" i="3"/>
  <c r="E1118" i="3"/>
  <c r="A1119" i="3"/>
  <c r="E1119" i="3"/>
  <c r="A1120" i="3"/>
  <c r="E1120" i="3"/>
  <c r="A1121" i="3"/>
  <c r="E1121" i="3"/>
  <c r="A1122" i="3"/>
  <c r="E1122" i="3"/>
  <c r="A1123" i="3"/>
  <c r="E1123" i="3"/>
  <c r="A1124" i="3"/>
  <c r="E1124" i="3"/>
  <c r="A1125" i="3"/>
  <c r="E1125" i="3"/>
  <c r="A1126" i="3"/>
  <c r="E1126" i="3"/>
  <c r="A1127" i="3"/>
  <c r="E1127" i="3"/>
  <c r="A1128" i="3"/>
  <c r="E1128" i="3"/>
  <c r="A1129" i="3"/>
  <c r="E1129" i="3"/>
  <c r="A1130" i="3"/>
  <c r="E1130" i="3"/>
  <c r="A1131" i="3"/>
  <c r="E1131" i="3"/>
  <c r="A1132" i="3"/>
  <c r="E1132" i="3"/>
  <c r="A1133" i="3"/>
  <c r="E1133" i="3"/>
  <c r="A1134" i="3"/>
  <c r="E1134" i="3"/>
  <c r="A1135" i="3"/>
  <c r="E1135" i="3"/>
  <c r="A1136" i="3"/>
  <c r="E1136" i="3"/>
  <c r="A1137" i="3"/>
  <c r="E1137" i="3"/>
  <c r="A1138" i="3"/>
  <c r="E1138" i="3"/>
  <c r="A1139" i="3"/>
  <c r="E1139" i="3"/>
  <c r="A1140" i="3"/>
  <c r="E1140" i="3"/>
  <c r="A1141" i="3"/>
  <c r="E1141" i="3"/>
  <c r="A1142" i="3"/>
  <c r="E1142" i="3"/>
  <c r="A1143" i="3"/>
  <c r="E1143" i="3"/>
  <c r="A1144" i="3"/>
  <c r="E1144" i="3"/>
  <c r="A1145" i="3"/>
  <c r="E1145" i="3"/>
  <c r="A1146" i="3"/>
  <c r="E1146" i="3"/>
  <c r="A1147" i="3"/>
  <c r="E1147" i="3"/>
  <c r="A1148" i="3"/>
  <c r="E1148" i="3"/>
  <c r="A1149" i="3"/>
  <c r="E1149" i="3"/>
  <c r="A1150" i="3"/>
  <c r="E1150" i="3"/>
  <c r="A1151" i="3"/>
  <c r="E1151" i="3"/>
  <c r="A1152" i="3"/>
  <c r="E1152" i="3"/>
  <c r="A1153" i="3"/>
  <c r="E1153" i="3"/>
  <c r="A1154" i="3"/>
  <c r="E1154" i="3"/>
  <c r="A1155" i="3"/>
  <c r="E1155" i="3"/>
  <c r="A1156" i="3"/>
  <c r="E1156" i="3"/>
  <c r="A1157" i="3"/>
  <c r="E1157" i="3"/>
  <c r="A1158" i="3"/>
  <c r="E1158" i="3"/>
  <c r="A1159" i="3"/>
  <c r="E1159" i="3"/>
  <c r="A1160" i="3"/>
  <c r="E1160" i="3"/>
  <c r="A1161" i="3"/>
  <c r="E1161" i="3"/>
  <c r="A1162" i="3"/>
  <c r="E1162" i="3"/>
  <c r="A1163" i="3"/>
  <c r="E1163" i="3"/>
  <c r="A1164" i="3"/>
  <c r="E1164" i="3"/>
  <c r="A1165" i="3"/>
  <c r="E1165" i="3"/>
  <c r="A1166" i="3"/>
  <c r="E1166" i="3"/>
  <c r="A1167" i="3"/>
  <c r="E1167" i="3"/>
  <c r="A1168" i="3"/>
  <c r="E1168" i="3"/>
  <c r="A1169" i="3"/>
  <c r="E1169" i="3"/>
  <c r="A1170" i="3"/>
  <c r="E1170" i="3"/>
  <c r="A1171" i="3"/>
  <c r="E1171" i="3"/>
  <c r="A1172" i="3"/>
  <c r="E1172" i="3"/>
  <c r="A1173" i="3"/>
  <c r="E1173" i="3"/>
  <c r="A1174" i="3"/>
  <c r="E1174" i="3"/>
  <c r="A1175" i="3"/>
  <c r="E1175" i="3"/>
  <c r="A1176" i="3"/>
  <c r="E1176" i="3"/>
  <c r="A1177" i="3"/>
  <c r="E1177" i="3"/>
  <c r="A1178" i="3"/>
  <c r="E1178" i="3"/>
  <c r="A1179" i="3"/>
  <c r="E1179" i="3"/>
  <c r="A1180" i="3"/>
  <c r="E1180" i="3"/>
  <c r="A1181" i="3"/>
  <c r="E1181" i="3"/>
  <c r="A1182" i="3"/>
  <c r="E1182" i="3"/>
  <c r="A1183" i="3"/>
  <c r="E1183" i="3"/>
  <c r="A1184" i="3"/>
  <c r="E1184" i="3"/>
  <c r="A1185" i="3"/>
  <c r="E1185" i="3"/>
  <c r="A1186" i="3"/>
  <c r="E1186" i="3"/>
  <c r="A1187" i="3"/>
  <c r="E1187" i="3"/>
  <c r="A1188" i="3"/>
  <c r="E1188" i="3"/>
  <c r="A1189" i="3"/>
  <c r="E1189" i="3"/>
  <c r="A1190" i="3"/>
  <c r="E1190" i="3"/>
  <c r="A1191" i="3"/>
  <c r="E1191" i="3"/>
  <c r="A1192" i="3"/>
  <c r="E1192" i="3"/>
  <c r="A1193" i="3"/>
  <c r="E1193" i="3"/>
  <c r="A1194" i="3"/>
  <c r="E1194" i="3"/>
  <c r="A1195" i="3"/>
  <c r="E1195" i="3"/>
  <c r="A1196" i="3"/>
  <c r="E1196" i="3"/>
  <c r="A1197" i="3"/>
  <c r="E1197" i="3"/>
  <c r="A1198" i="3"/>
  <c r="E1198" i="3"/>
  <c r="A1199" i="3"/>
  <c r="E1199" i="3"/>
  <c r="A1200" i="3"/>
  <c r="E1200" i="3"/>
  <c r="A1201" i="3"/>
  <c r="E1201" i="3"/>
  <c r="A1202" i="3"/>
  <c r="E1202" i="3"/>
  <c r="A1203" i="3"/>
  <c r="E1203" i="3"/>
  <c r="A1204" i="3"/>
  <c r="E1204" i="3"/>
  <c r="A1205" i="3"/>
  <c r="E1205" i="3"/>
  <c r="A1206" i="3"/>
  <c r="E1206" i="3"/>
  <c r="A1207" i="3"/>
  <c r="E1207" i="3"/>
  <c r="A1208" i="3"/>
  <c r="E1208" i="3"/>
  <c r="A1209" i="3"/>
  <c r="E1209" i="3"/>
  <c r="A1210" i="3"/>
  <c r="E1210" i="3"/>
  <c r="A1211" i="3"/>
  <c r="E1211" i="3"/>
  <c r="A1212" i="3"/>
  <c r="E1212" i="3"/>
  <c r="A1213" i="3"/>
  <c r="E1213" i="3"/>
  <c r="A1214" i="3"/>
  <c r="E1214" i="3"/>
  <c r="A1215" i="3"/>
  <c r="E1215" i="3"/>
  <c r="A1216" i="3"/>
  <c r="E1216" i="3"/>
  <c r="A1217" i="3"/>
  <c r="E1217" i="3"/>
  <c r="A1218" i="3"/>
  <c r="E1218" i="3"/>
  <c r="A1219" i="3"/>
  <c r="E1219" i="3"/>
  <c r="A1220" i="3"/>
  <c r="E1220" i="3"/>
  <c r="A1221" i="3"/>
  <c r="E1221" i="3"/>
  <c r="A1222" i="3"/>
  <c r="E1222" i="3"/>
  <c r="A1223" i="3"/>
  <c r="E1223" i="3"/>
  <c r="A1224" i="3"/>
  <c r="E1224" i="3"/>
  <c r="A1225" i="3"/>
  <c r="E1225" i="3"/>
  <c r="A1226" i="3"/>
  <c r="E1226" i="3"/>
  <c r="A1227" i="3"/>
  <c r="E1227" i="3"/>
  <c r="A1228" i="3"/>
  <c r="E1228" i="3"/>
  <c r="A1229" i="3"/>
  <c r="E1229" i="3"/>
  <c r="A1230" i="3"/>
  <c r="E1230" i="3"/>
  <c r="A1231" i="3"/>
  <c r="E1231" i="3"/>
  <c r="A1232" i="3"/>
  <c r="E1232" i="3"/>
  <c r="A1233" i="3"/>
  <c r="E1233" i="3"/>
  <c r="A1234" i="3"/>
  <c r="E1234" i="3"/>
  <c r="A1235" i="3"/>
  <c r="E1235" i="3"/>
  <c r="A1236" i="3"/>
  <c r="E1236" i="3"/>
  <c r="A1237" i="3"/>
  <c r="E1237" i="3"/>
  <c r="A1238" i="3"/>
  <c r="E1238" i="3"/>
  <c r="A1239" i="3"/>
  <c r="E1239" i="3"/>
  <c r="A1240" i="3"/>
  <c r="E1240" i="3"/>
  <c r="A1241" i="3"/>
  <c r="E1241" i="3"/>
  <c r="A1242" i="3"/>
  <c r="E1242" i="3"/>
  <c r="A1243" i="3"/>
  <c r="E1243" i="3"/>
  <c r="A1244" i="3"/>
  <c r="E1244" i="3"/>
  <c r="A1245" i="3"/>
  <c r="E1245" i="3"/>
  <c r="A1246" i="3"/>
  <c r="E1246" i="3"/>
  <c r="A1247" i="3"/>
  <c r="E1247" i="3"/>
  <c r="A1248" i="3"/>
  <c r="E1248" i="3"/>
  <c r="A1249" i="3"/>
  <c r="E1249" i="3"/>
  <c r="A1250" i="3"/>
  <c r="E1250" i="3"/>
  <c r="A1251" i="3"/>
  <c r="E1251" i="3"/>
  <c r="A1252" i="3"/>
  <c r="E1252" i="3"/>
  <c r="A1253" i="3"/>
  <c r="E1253" i="3"/>
  <c r="A1254" i="3"/>
  <c r="E1254" i="3"/>
  <c r="A1255" i="3"/>
  <c r="E1255" i="3"/>
  <c r="A1256" i="3"/>
  <c r="E1256" i="3"/>
  <c r="A1257" i="3"/>
  <c r="E1257" i="3"/>
  <c r="A1258" i="3"/>
  <c r="E1258" i="3"/>
  <c r="A1259" i="3"/>
  <c r="E1259" i="3"/>
  <c r="A1260" i="3"/>
  <c r="E1260" i="3"/>
  <c r="A1261" i="3"/>
  <c r="E1261" i="3"/>
  <c r="A1262" i="3"/>
  <c r="E1262" i="3"/>
  <c r="A1263" i="3"/>
  <c r="E1263" i="3"/>
  <c r="A1264" i="3"/>
  <c r="E1264" i="3"/>
  <c r="A1265" i="3"/>
  <c r="E1265" i="3"/>
  <c r="A1266" i="3"/>
  <c r="E1266" i="3"/>
  <c r="A1267" i="3"/>
  <c r="E1267" i="3"/>
  <c r="A1268" i="3"/>
  <c r="E1268" i="3"/>
  <c r="A1269" i="3"/>
  <c r="E1269" i="3"/>
  <c r="A1270" i="3"/>
  <c r="E1270" i="3"/>
  <c r="A1271" i="3"/>
  <c r="E1271" i="3"/>
  <c r="A1272" i="3"/>
  <c r="E1272" i="3"/>
  <c r="A1273" i="3"/>
  <c r="E1273" i="3"/>
  <c r="A1274" i="3"/>
  <c r="E1274" i="3"/>
  <c r="A1275" i="3"/>
  <c r="E1275" i="3"/>
  <c r="A1276" i="3"/>
  <c r="E1276" i="3"/>
  <c r="A1277" i="3"/>
  <c r="E1277" i="3"/>
  <c r="A1278" i="3"/>
  <c r="E1278" i="3"/>
  <c r="A1279" i="3"/>
  <c r="E1279" i="3"/>
  <c r="A1280" i="3"/>
  <c r="E1280" i="3"/>
  <c r="A1281" i="3"/>
  <c r="E1281" i="3"/>
  <c r="A1282" i="3"/>
  <c r="E1282" i="3"/>
  <c r="A1283" i="3"/>
  <c r="E1283" i="3"/>
  <c r="A1284" i="3"/>
  <c r="E1284" i="3"/>
  <c r="A1285" i="3"/>
  <c r="E1285" i="3"/>
  <c r="A1286" i="3"/>
  <c r="E1286" i="3"/>
  <c r="A1287" i="3"/>
  <c r="E1287" i="3"/>
  <c r="A1288" i="3"/>
  <c r="E1288" i="3"/>
  <c r="A1289" i="3"/>
  <c r="E1289" i="3"/>
  <c r="A1290" i="3"/>
  <c r="E1290" i="3"/>
  <c r="A1291" i="3"/>
  <c r="E1291" i="3"/>
  <c r="A1292" i="3"/>
  <c r="E1292" i="3"/>
  <c r="A1293" i="3"/>
  <c r="E1293" i="3"/>
  <c r="A1294" i="3"/>
  <c r="E1294" i="3"/>
  <c r="A1295" i="3"/>
  <c r="E1295" i="3"/>
  <c r="A1296" i="3"/>
  <c r="E1296" i="3"/>
  <c r="A1297" i="3"/>
  <c r="E1297" i="3"/>
  <c r="A1298" i="3"/>
  <c r="E1298" i="3"/>
  <c r="A1299" i="3"/>
  <c r="E1299" i="3"/>
  <c r="A1300" i="3"/>
  <c r="E1300" i="3"/>
  <c r="A1301" i="3"/>
  <c r="E1301" i="3"/>
  <c r="A1302" i="3"/>
  <c r="E1302" i="3"/>
  <c r="A1303" i="3"/>
  <c r="E1303" i="3"/>
  <c r="A1304" i="3"/>
  <c r="E1304" i="3"/>
  <c r="A1305" i="3"/>
  <c r="E1305" i="3"/>
  <c r="A1306" i="3"/>
  <c r="E1306" i="3"/>
  <c r="A1307" i="3"/>
  <c r="E1307" i="3"/>
  <c r="A1308" i="3"/>
  <c r="E1308" i="3"/>
  <c r="A1309" i="3"/>
  <c r="E1309" i="3"/>
  <c r="A1310" i="3"/>
  <c r="E1310" i="3"/>
  <c r="A1311" i="3"/>
  <c r="E1311" i="3"/>
  <c r="A1312" i="3"/>
  <c r="E1312" i="3"/>
  <c r="A1313" i="3"/>
  <c r="E1313" i="3"/>
  <c r="A1314" i="3"/>
  <c r="E1314" i="3"/>
  <c r="A1315" i="3"/>
  <c r="E1315" i="3"/>
  <c r="A1316" i="3"/>
  <c r="E1316" i="3"/>
  <c r="A1317" i="3"/>
  <c r="E1317" i="3"/>
  <c r="A1318" i="3"/>
  <c r="E1318" i="3"/>
  <c r="A1319" i="3"/>
  <c r="E1319" i="3"/>
  <c r="A1320" i="3"/>
  <c r="E1320" i="3"/>
  <c r="A1321" i="3"/>
  <c r="E1321" i="3"/>
  <c r="A1322" i="3"/>
  <c r="E1322" i="3"/>
  <c r="A1323" i="3"/>
  <c r="E1323" i="3"/>
  <c r="A1324" i="3"/>
  <c r="E1324" i="3"/>
  <c r="A1325" i="3"/>
  <c r="E1325" i="3"/>
  <c r="A1326" i="3"/>
  <c r="E1326" i="3"/>
  <c r="A1327" i="3"/>
  <c r="E1327" i="3"/>
  <c r="A1328" i="3"/>
  <c r="E1328" i="3"/>
  <c r="A1329" i="3"/>
  <c r="E1329" i="3"/>
  <c r="A1330" i="3"/>
  <c r="E1330" i="3"/>
  <c r="A1331" i="3"/>
  <c r="E1331" i="3"/>
  <c r="A1332" i="3"/>
  <c r="E1332" i="3"/>
  <c r="A1333" i="3"/>
  <c r="E1333" i="3"/>
  <c r="A1334" i="3"/>
  <c r="E1334" i="3"/>
  <c r="A1335" i="3"/>
  <c r="E1335" i="3"/>
  <c r="A1336" i="3"/>
  <c r="E1336" i="3"/>
  <c r="A1337" i="3"/>
  <c r="E1337" i="3"/>
  <c r="A1338" i="3"/>
  <c r="E1338" i="3"/>
  <c r="A1339" i="3"/>
  <c r="E1339" i="3"/>
  <c r="A1340" i="3"/>
  <c r="E1340" i="3"/>
  <c r="A1341" i="3"/>
  <c r="E1341" i="3"/>
  <c r="A1342" i="3"/>
  <c r="E1342" i="3"/>
  <c r="A1343" i="3"/>
  <c r="E1343" i="3"/>
  <c r="A1344" i="3"/>
  <c r="E1344" i="3"/>
  <c r="A1345" i="3"/>
  <c r="E1345" i="3"/>
  <c r="A1346" i="3"/>
  <c r="E1346" i="3"/>
  <c r="A1347" i="3"/>
  <c r="E1347" i="3"/>
  <c r="A1348" i="3"/>
  <c r="E1348" i="3"/>
  <c r="A1349" i="3"/>
  <c r="E1349" i="3"/>
  <c r="A1350" i="3"/>
  <c r="E1350" i="3"/>
  <c r="A1351" i="3"/>
  <c r="E1351" i="3"/>
  <c r="A1352" i="3"/>
  <c r="E1352" i="3"/>
  <c r="A1353" i="3"/>
  <c r="E1353" i="3"/>
  <c r="A1354" i="3"/>
  <c r="E1354" i="3"/>
  <c r="A1355" i="3"/>
  <c r="E1355" i="3"/>
  <c r="A1356" i="3"/>
  <c r="E1356" i="3"/>
  <c r="A1357" i="3"/>
  <c r="E1357" i="3"/>
  <c r="A1358" i="3"/>
  <c r="E1358" i="3"/>
  <c r="A1359" i="3"/>
  <c r="E1359" i="3"/>
  <c r="A1360" i="3"/>
  <c r="E1360" i="3"/>
  <c r="A1361" i="3"/>
  <c r="E1361" i="3"/>
  <c r="A1362" i="3"/>
  <c r="E1362" i="3"/>
  <c r="A1363" i="3"/>
  <c r="E1363" i="3"/>
  <c r="A1364" i="3"/>
  <c r="E1364" i="3"/>
  <c r="A1365" i="3"/>
  <c r="E1365" i="3"/>
  <c r="A1366" i="3"/>
  <c r="E1366" i="3"/>
  <c r="A1367" i="3"/>
  <c r="E1367" i="3"/>
  <c r="A1368" i="3"/>
  <c r="E1368" i="3"/>
  <c r="A1369" i="3"/>
  <c r="E1369" i="3"/>
  <c r="A1370" i="3"/>
  <c r="E1370" i="3"/>
  <c r="A1371" i="3"/>
  <c r="E1371" i="3"/>
  <c r="A1372" i="3"/>
  <c r="E1372" i="3"/>
  <c r="A1373" i="3"/>
  <c r="E1373" i="3"/>
  <c r="A1374" i="3"/>
  <c r="E1374" i="3"/>
  <c r="A1375" i="3"/>
  <c r="E1375" i="3"/>
  <c r="A1376" i="3"/>
  <c r="E1376" i="3"/>
  <c r="A1377" i="3"/>
  <c r="E1377" i="3"/>
  <c r="A1378" i="3"/>
  <c r="E1378" i="3"/>
  <c r="A1379" i="3"/>
  <c r="E1379" i="3"/>
  <c r="A1380" i="3"/>
  <c r="E1380" i="3"/>
  <c r="A1381" i="3"/>
  <c r="E1381" i="3"/>
  <c r="A1382" i="3"/>
  <c r="E1382" i="3"/>
  <c r="A1383" i="3"/>
  <c r="E1383" i="3"/>
  <c r="A1384" i="3"/>
  <c r="E1384" i="3"/>
  <c r="A1385" i="3"/>
  <c r="E1385" i="3"/>
  <c r="A1386" i="3"/>
  <c r="E1386" i="3"/>
  <c r="A1387" i="3"/>
  <c r="E1387" i="3"/>
  <c r="A1388" i="3"/>
  <c r="E1388" i="3"/>
  <c r="A1389" i="3"/>
  <c r="E1389" i="3"/>
  <c r="A1390" i="3"/>
  <c r="E1390" i="3"/>
  <c r="A1391" i="3"/>
  <c r="E1391" i="3"/>
  <c r="A1392" i="3"/>
  <c r="E1392" i="3"/>
  <c r="A1393" i="3"/>
  <c r="E1393" i="3"/>
  <c r="A1394" i="3"/>
  <c r="E1394" i="3"/>
  <c r="A1395" i="3"/>
  <c r="E1395" i="3"/>
  <c r="A1396" i="3"/>
  <c r="E1396" i="3"/>
  <c r="A1397" i="3"/>
  <c r="E1397" i="3"/>
  <c r="A1398" i="3"/>
  <c r="E1398" i="3"/>
  <c r="A1399" i="3"/>
  <c r="E1399" i="3"/>
  <c r="A1400" i="3"/>
  <c r="E1400" i="3"/>
  <c r="A1401" i="3"/>
  <c r="E1401" i="3"/>
  <c r="A1402" i="3"/>
  <c r="E1402" i="3"/>
  <c r="A1403" i="3"/>
  <c r="E1403" i="3"/>
  <c r="A1404" i="3"/>
  <c r="E1404" i="3"/>
  <c r="A1405" i="3"/>
  <c r="E1405" i="3"/>
  <c r="A1406" i="3"/>
  <c r="E1406" i="3"/>
  <c r="A1407" i="3"/>
  <c r="E1407" i="3"/>
  <c r="A1408" i="3"/>
  <c r="E1408" i="3"/>
  <c r="A1409" i="3"/>
  <c r="E1409" i="3"/>
  <c r="A1410" i="3"/>
  <c r="E1410" i="3"/>
  <c r="A1411" i="3"/>
  <c r="E1411" i="3"/>
  <c r="A1412" i="3"/>
  <c r="E1412" i="3"/>
  <c r="A1413" i="3"/>
  <c r="E1413" i="3"/>
  <c r="A1414" i="3"/>
  <c r="E1414" i="3"/>
  <c r="A1415" i="3"/>
  <c r="E1415" i="3"/>
  <c r="A1416" i="3"/>
  <c r="E1416" i="3"/>
  <c r="A1417" i="3"/>
  <c r="E1417" i="3"/>
  <c r="A1418" i="3"/>
  <c r="E1418" i="3"/>
  <c r="A1419" i="3"/>
  <c r="E1419" i="3"/>
  <c r="A1420" i="3"/>
  <c r="E1420" i="3"/>
  <c r="A1421" i="3"/>
  <c r="E1421" i="3"/>
  <c r="A1422" i="3"/>
  <c r="E1422" i="3"/>
  <c r="A1423" i="3"/>
  <c r="E1423" i="3"/>
  <c r="A1424" i="3"/>
  <c r="E1424" i="3"/>
  <c r="A1425" i="3"/>
  <c r="E1425" i="3"/>
  <c r="A1426" i="3"/>
  <c r="E1426" i="3"/>
  <c r="A1427" i="3"/>
  <c r="E1427" i="3"/>
  <c r="A1428" i="3"/>
  <c r="E1428" i="3"/>
  <c r="A1429" i="3"/>
  <c r="E1429" i="3"/>
  <c r="A1430" i="3"/>
  <c r="E1430" i="3"/>
  <c r="A1431" i="3"/>
  <c r="E1431" i="3"/>
  <c r="A1432" i="3"/>
  <c r="E1432" i="3"/>
  <c r="A1433" i="3"/>
  <c r="E1433" i="3"/>
  <c r="A1434" i="3"/>
  <c r="E1434" i="3"/>
  <c r="A1435" i="3"/>
  <c r="E1435" i="3"/>
  <c r="A1436" i="3"/>
  <c r="E1436" i="3"/>
  <c r="A1437" i="3"/>
  <c r="E1437" i="3"/>
  <c r="A1438" i="3"/>
  <c r="E1438" i="3"/>
  <c r="A1439" i="3"/>
  <c r="E1439" i="3"/>
  <c r="A1440" i="3"/>
  <c r="E1440" i="3"/>
  <c r="A1441" i="3"/>
  <c r="E1441" i="3"/>
  <c r="A1442" i="3"/>
  <c r="E1442" i="3"/>
  <c r="A1443" i="3"/>
  <c r="E1443" i="3"/>
  <c r="A1444" i="3"/>
  <c r="E1444" i="3"/>
  <c r="A1445" i="3"/>
  <c r="E1445" i="3"/>
  <c r="A1446" i="3"/>
  <c r="E1446" i="3"/>
  <c r="A1447" i="3"/>
  <c r="E1447" i="3"/>
  <c r="A1448" i="3"/>
  <c r="E1448" i="3"/>
  <c r="A1449" i="3"/>
  <c r="E1449" i="3"/>
  <c r="A1450" i="3"/>
  <c r="E1450" i="3"/>
  <c r="A1451" i="3"/>
  <c r="E1451" i="3"/>
  <c r="A1452" i="3"/>
  <c r="E1452" i="3"/>
  <c r="A1453" i="3"/>
  <c r="E1453" i="3"/>
  <c r="A1454" i="3"/>
  <c r="E1454" i="3"/>
  <c r="A1455" i="3"/>
  <c r="E1455" i="3"/>
  <c r="A1456" i="3"/>
  <c r="E1456" i="3"/>
  <c r="A1457" i="3"/>
  <c r="E1457" i="3"/>
  <c r="A1458" i="3"/>
  <c r="E1458" i="3"/>
  <c r="A1459" i="3"/>
  <c r="E1459" i="3"/>
  <c r="A1460" i="3"/>
  <c r="E1460" i="3"/>
  <c r="A1461" i="3"/>
  <c r="E1461" i="3"/>
  <c r="A1462" i="3"/>
  <c r="E1462" i="3"/>
  <c r="A1463" i="3"/>
  <c r="E1463" i="3"/>
  <c r="A1464" i="3"/>
  <c r="E1464" i="3"/>
  <c r="A1465" i="3"/>
  <c r="E1465" i="3"/>
  <c r="A1466" i="3"/>
  <c r="E1466" i="3"/>
  <c r="A1467" i="3"/>
  <c r="E1467" i="3"/>
  <c r="A1468" i="3"/>
  <c r="E1468" i="3"/>
  <c r="A1469" i="3"/>
  <c r="E1469" i="3"/>
  <c r="A1470" i="3"/>
  <c r="E1470" i="3"/>
  <c r="A1471" i="3"/>
  <c r="E1471" i="3"/>
  <c r="A1472" i="3"/>
  <c r="E1472" i="3"/>
  <c r="A1473" i="3"/>
  <c r="E1473" i="3"/>
  <c r="A1474" i="3"/>
  <c r="E1474" i="3"/>
  <c r="A1475" i="3"/>
  <c r="E1475" i="3"/>
  <c r="A1476" i="3"/>
  <c r="E1476" i="3"/>
  <c r="A1477" i="3"/>
  <c r="E1477" i="3"/>
  <c r="A1478" i="3"/>
  <c r="E1478" i="3"/>
  <c r="A1479" i="3"/>
  <c r="E1479" i="3"/>
  <c r="A1480" i="3"/>
  <c r="E1480" i="3"/>
  <c r="A1481" i="3"/>
  <c r="E1481" i="3"/>
  <c r="A1482" i="3"/>
  <c r="E1482" i="3"/>
  <c r="A1483" i="3"/>
  <c r="E1483" i="3"/>
  <c r="A1484" i="3"/>
  <c r="E1484" i="3"/>
  <c r="A1485" i="3"/>
  <c r="E1485" i="3"/>
  <c r="A1486" i="3"/>
  <c r="E1486" i="3"/>
  <c r="A1487" i="3"/>
  <c r="E1487" i="3"/>
  <c r="A1488" i="3"/>
  <c r="E1488" i="3"/>
  <c r="A1489" i="3"/>
  <c r="E1489" i="3"/>
  <c r="A1490" i="3"/>
  <c r="E1490" i="3"/>
  <c r="A1491" i="3"/>
  <c r="E1491" i="3"/>
  <c r="A1492" i="3"/>
  <c r="E1492" i="3"/>
  <c r="A1493" i="3"/>
  <c r="E1493" i="3"/>
  <c r="A1494" i="3"/>
  <c r="E1494" i="3"/>
  <c r="A1495" i="3"/>
  <c r="E1495" i="3"/>
  <c r="A1496" i="3"/>
  <c r="E1496" i="3"/>
  <c r="A1497" i="3"/>
  <c r="E1497" i="3"/>
  <c r="A1498" i="3"/>
  <c r="E1498" i="3"/>
  <c r="A1499" i="3"/>
  <c r="E1499" i="3"/>
  <c r="A1500" i="3"/>
  <c r="E1500" i="3"/>
  <c r="A1501" i="3"/>
  <c r="E1501" i="3"/>
  <c r="A1502" i="3"/>
  <c r="E1502" i="3"/>
  <c r="A1503" i="3"/>
  <c r="E1503" i="3"/>
  <c r="A1504" i="3"/>
  <c r="E1504" i="3"/>
  <c r="A1505" i="3"/>
  <c r="E1505" i="3"/>
  <c r="A1506" i="3"/>
  <c r="E1506" i="3"/>
  <c r="A1507" i="3"/>
  <c r="E1507" i="3"/>
  <c r="A1508" i="3"/>
  <c r="E1508" i="3"/>
  <c r="A1509" i="3"/>
  <c r="E1509" i="3"/>
  <c r="A1510" i="3"/>
  <c r="E1510" i="3"/>
  <c r="A1511" i="3"/>
  <c r="E1511" i="3"/>
  <c r="A1512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13" i="3"/>
  <c r="I23" i="2"/>
  <c r="M23" i="2"/>
  <c r="J23" i="2"/>
  <c r="L23" i="2"/>
  <c r="M24" i="2"/>
  <c r="L24" i="2"/>
  <c r="J24" i="2"/>
  <c r="I24" i="2"/>
  <c r="J25" i="2"/>
  <c r="M25" i="2"/>
  <c r="L25" i="2"/>
  <c r="I25" i="2"/>
  <c r="J26" i="2"/>
  <c r="M26" i="2"/>
  <c r="L26" i="2"/>
  <c r="I26" i="2"/>
  <c r="J27" i="2"/>
  <c r="M27" i="2"/>
  <c r="L27" i="2"/>
  <c r="I27" i="2"/>
  <c r="J28" i="2"/>
  <c r="M28" i="2"/>
  <c r="L28" i="2"/>
  <c r="I28" i="2"/>
  <c r="L29" i="2"/>
  <c r="J29" i="2"/>
  <c r="I29" i="2"/>
  <c r="M29" i="2"/>
  <c r="M30" i="2"/>
  <c r="L30" i="2"/>
  <c r="J30" i="2"/>
  <c r="I30" i="2"/>
  <c r="M31" i="2"/>
  <c r="L31" i="2"/>
  <c r="J31" i="2"/>
  <c r="I31" i="2"/>
  <c r="M32" i="2"/>
  <c r="L32" i="2"/>
  <c r="I32" i="2"/>
  <c r="J32" i="2"/>
  <c r="J33" i="2"/>
  <c r="M33" i="2"/>
  <c r="L33" i="2"/>
  <c r="I33" i="2"/>
  <c r="J34" i="2"/>
  <c r="M34" i="2"/>
  <c r="L34" i="2"/>
  <c r="I34" i="2"/>
  <c r="J35" i="2"/>
  <c r="M35" i="2"/>
  <c r="L35" i="2"/>
  <c r="I35" i="2"/>
  <c r="J36" i="2"/>
  <c r="M36" i="2"/>
  <c r="L36" i="2"/>
  <c r="I36" i="2"/>
  <c r="L37" i="2"/>
  <c r="J37" i="2"/>
  <c r="I37" i="2"/>
  <c r="M37" i="2"/>
  <c r="M38" i="2"/>
  <c r="L38" i="2"/>
  <c r="J38" i="2"/>
  <c r="I38" i="2"/>
  <c r="M39" i="2"/>
  <c r="L39" i="2"/>
  <c r="I39" i="2"/>
  <c r="J39" i="2"/>
  <c r="M40" i="2"/>
  <c r="L40" i="2"/>
  <c r="J40" i="2"/>
  <c r="I40" i="2"/>
  <c r="J41" i="2"/>
  <c r="M41" i="2"/>
  <c r="L41" i="2"/>
  <c r="I41" i="2"/>
  <c r="J42" i="2"/>
  <c r="M42" i="2"/>
  <c r="L42" i="2"/>
  <c r="I42" i="2"/>
  <c r="J43" i="2"/>
  <c r="M43" i="2"/>
  <c r="L43" i="2"/>
  <c r="I43" i="2"/>
  <c r="J44" i="2"/>
  <c r="M44" i="2"/>
  <c r="L44" i="2"/>
  <c r="I44" i="2"/>
  <c r="L45" i="2"/>
  <c r="J45" i="2"/>
  <c r="I45" i="2"/>
  <c r="M45" i="2"/>
  <c r="M46" i="2"/>
  <c r="L46" i="2"/>
  <c r="J46" i="2"/>
  <c r="I46" i="2"/>
  <c r="M47" i="2"/>
  <c r="L47" i="2"/>
  <c r="I47" i="2"/>
  <c r="J47" i="2"/>
  <c r="M48" i="2"/>
  <c r="L48" i="2"/>
  <c r="J48" i="2"/>
  <c r="I48" i="2"/>
  <c r="J49" i="2"/>
  <c r="M49" i="2"/>
  <c r="L49" i="2"/>
  <c r="I49" i="2"/>
  <c r="J50" i="2"/>
  <c r="M50" i="2"/>
  <c r="L50" i="2"/>
  <c r="I50" i="2"/>
  <c r="J51" i="2"/>
  <c r="M51" i="2"/>
  <c r="L51" i="2"/>
  <c r="I51" i="2"/>
  <c r="J52" i="2"/>
  <c r="L52" i="2"/>
  <c r="M52" i="2"/>
  <c r="I52" i="2"/>
  <c r="L53" i="2"/>
  <c r="J53" i="2"/>
  <c r="M53" i="2"/>
  <c r="I53" i="2"/>
  <c r="M54" i="2"/>
  <c r="L54" i="2"/>
  <c r="J54" i="2"/>
  <c r="I54" i="2"/>
  <c r="M55" i="2"/>
  <c r="L55" i="2"/>
  <c r="J55" i="2"/>
  <c r="I55" i="2"/>
  <c r="M56" i="2"/>
  <c r="L56" i="2"/>
  <c r="J56" i="2"/>
  <c r="I56" i="2"/>
  <c r="J57" i="2"/>
  <c r="M57" i="2"/>
  <c r="L57" i="2"/>
  <c r="I57" i="2"/>
  <c r="J58" i="2"/>
  <c r="M58" i="2"/>
  <c r="L58" i="2"/>
  <c r="I58" i="2"/>
  <c r="J59" i="2"/>
  <c r="M59" i="2"/>
  <c r="L59" i="2"/>
  <c r="I59" i="2"/>
  <c r="J60" i="2"/>
  <c r="M60" i="2"/>
  <c r="L60" i="2"/>
  <c r="I60" i="2"/>
  <c r="L61" i="2"/>
  <c r="J61" i="2"/>
  <c r="M61" i="2"/>
  <c r="I61" i="2"/>
  <c r="M62" i="2"/>
  <c r="L62" i="2"/>
  <c r="J62" i="2"/>
  <c r="I62" i="2"/>
  <c r="M63" i="2"/>
  <c r="L63" i="2"/>
  <c r="I63" i="2"/>
  <c r="J63" i="2"/>
  <c r="M64" i="2"/>
  <c r="L64" i="2"/>
  <c r="J64" i="2"/>
  <c r="I64" i="2"/>
  <c r="J65" i="2"/>
  <c r="M65" i="2"/>
  <c r="L65" i="2"/>
  <c r="I65" i="2"/>
  <c r="J66" i="2"/>
  <c r="M66" i="2"/>
  <c r="L66" i="2"/>
  <c r="I66" i="2"/>
  <c r="J67" i="2"/>
  <c r="M67" i="2"/>
  <c r="I67" i="2"/>
  <c r="L67" i="2"/>
  <c r="J68" i="2"/>
  <c r="I68" i="2"/>
  <c r="M68" i="2"/>
  <c r="L68" i="2"/>
  <c r="L69" i="2"/>
  <c r="J69" i="2"/>
  <c r="I69" i="2"/>
  <c r="M69" i="2"/>
  <c r="M70" i="2"/>
  <c r="L70" i="2"/>
  <c r="J70" i="2"/>
  <c r="I70" i="2"/>
  <c r="M71" i="2"/>
  <c r="L71" i="2"/>
  <c r="I71" i="2"/>
  <c r="J71" i="2"/>
  <c r="M72" i="2"/>
  <c r="L72" i="2"/>
  <c r="J72" i="2"/>
  <c r="I72" i="2"/>
  <c r="J73" i="2"/>
  <c r="M73" i="2"/>
  <c r="L73" i="2"/>
  <c r="I73" i="2"/>
  <c r="J74" i="2"/>
  <c r="M74" i="2"/>
  <c r="L74" i="2"/>
  <c r="I74" i="2"/>
  <c r="J75" i="2"/>
  <c r="M75" i="2"/>
  <c r="I75" i="2"/>
  <c r="L75" i="2"/>
  <c r="J76" i="2"/>
  <c r="I76" i="2"/>
  <c r="M76" i="2"/>
  <c r="L76" i="2"/>
  <c r="L77" i="2"/>
  <c r="J77" i="2"/>
  <c r="I77" i="2"/>
  <c r="M77" i="2"/>
  <c r="M78" i="2"/>
  <c r="L78" i="2"/>
  <c r="J78" i="2"/>
  <c r="I78" i="2"/>
  <c r="M79" i="2"/>
  <c r="L79" i="2"/>
  <c r="I79" i="2"/>
  <c r="J79" i="2"/>
  <c r="M80" i="2"/>
  <c r="L80" i="2"/>
  <c r="J80" i="2"/>
  <c r="I80" i="2"/>
  <c r="J81" i="2"/>
  <c r="M81" i="2"/>
  <c r="L81" i="2"/>
  <c r="I81" i="2"/>
  <c r="J82" i="2"/>
  <c r="M82" i="2"/>
  <c r="L82" i="2"/>
  <c r="I82" i="2"/>
  <c r="J83" i="2"/>
  <c r="M83" i="2"/>
  <c r="I83" i="2"/>
  <c r="L83" i="2"/>
  <c r="J84" i="2"/>
  <c r="I84" i="2"/>
  <c r="L84" i="2"/>
  <c r="M84" i="2"/>
  <c r="L85" i="2"/>
  <c r="J85" i="2"/>
  <c r="I85" i="2"/>
  <c r="M85" i="2"/>
  <c r="M86" i="2"/>
  <c r="L86" i="2"/>
  <c r="J86" i="2"/>
  <c r="I86" i="2"/>
  <c r="M87" i="2"/>
  <c r="L87" i="2"/>
  <c r="J87" i="2"/>
  <c r="I87" i="2"/>
  <c r="M88" i="2"/>
  <c r="L88" i="2"/>
  <c r="J88" i="2"/>
  <c r="I88" i="2"/>
  <c r="J89" i="2"/>
  <c r="M89" i="2"/>
  <c r="L89" i="2"/>
  <c r="I89" i="2"/>
  <c r="J90" i="2"/>
  <c r="M90" i="2"/>
  <c r="L90" i="2"/>
  <c r="I90" i="2"/>
  <c r="J91" i="2"/>
  <c r="M91" i="2"/>
  <c r="I91" i="2"/>
  <c r="L91" i="2"/>
  <c r="J92" i="2"/>
  <c r="M92" i="2"/>
  <c r="L92" i="2"/>
  <c r="I92" i="2"/>
  <c r="L93" i="2"/>
  <c r="J93" i="2"/>
  <c r="M93" i="2"/>
  <c r="I93" i="2"/>
  <c r="M94" i="2"/>
  <c r="L94" i="2"/>
  <c r="J94" i="2"/>
  <c r="I94" i="2"/>
  <c r="M95" i="2"/>
  <c r="L95" i="2"/>
  <c r="J95" i="2"/>
  <c r="I95" i="2"/>
  <c r="M96" i="2"/>
  <c r="L96" i="2"/>
  <c r="J96" i="2"/>
  <c r="I96" i="2"/>
  <c r="J97" i="2"/>
  <c r="M97" i="2"/>
  <c r="L97" i="2"/>
  <c r="I97" i="2"/>
  <c r="J98" i="2"/>
  <c r="M98" i="2"/>
  <c r="L98" i="2"/>
  <c r="I98" i="2"/>
  <c r="J99" i="2"/>
  <c r="M99" i="2"/>
  <c r="I99" i="2"/>
  <c r="L99" i="2"/>
  <c r="I100" i="2"/>
  <c r="M100" i="2"/>
  <c r="L100" i="2"/>
  <c r="J100" i="2"/>
  <c r="L101" i="2"/>
  <c r="I101" i="2"/>
  <c r="M101" i="2"/>
  <c r="J101" i="2"/>
  <c r="M102" i="2"/>
  <c r="L102" i="2"/>
  <c r="I102" i="2"/>
  <c r="J102" i="2"/>
  <c r="M103" i="2"/>
  <c r="L103" i="2"/>
  <c r="J103" i="2"/>
  <c r="I103" i="2"/>
  <c r="M104" i="2"/>
  <c r="L104" i="2"/>
  <c r="J104" i="2"/>
  <c r="I104" i="2"/>
  <c r="M105" i="2"/>
  <c r="L105" i="2"/>
  <c r="J105" i="2"/>
  <c r="I105" i="2"/>
  <c r="M106" i="2"/>
  <c r="L106" i="2"/>
  <c r="J106" i="2"/>
  <c r="I106" i="2"/>
  <c r="M107" i="2"/>
  <c r="I107" i="2"/>
  <c r="L107" i="2"/>
  <c r="J107" i="2"/>
  <c r="I108" i="2"/>
  <c r="M108" i="2"/>
  <c r="L108" i="2"/>
  <c r="J108" i="2"/>
  <c r="L109" i="2"/>
  <c r="I109" i="2"/>
  <c r="J109" i="2"/>
  <c r="M109" i="2"/>
  <c r="M110" i="2"/>
  <c r="L110" i="2"/>
  <c r="I110" i="2"/>
  <c r="J110" i="2"/>
  <c r="M111" i="2"/>
  <c r="L111" i="2"/>
  <c r="J111" i="2"/>
  <c r="I111" i="2"/>
  <c r="M112" i="2"/>
  <c r="L112" i="2"/>
  <c r="J112" i="2"/>
  <c r="I112" i="2"/>
  <c r="M113" i="2"/>
  <c r="L113" i="2"/>
  <c r="J113" i="2"/>
  <c r="I113" i="2"/>
  <c r="M114" i="2"/>
  <c r="L114" i="2"/>
  <c r="J114" i="2"/>
  <c r="I114" i="2"/>
  <c r="M115" i="2"/>
  <c r="I115" i="2"/>
  <c r="J115" i="2"/>
  <c r="L115" i="2"/>
  <c r="I116" i="2"/>
  <c r="J116" i="2"/>
  <c r="M116" i="2"/>
  <c r="L116" i="2"/>
  <c r="L117" i="2"/>
  <c r="I117" i="2"/>
  <c r="M117" i="2"/>
  <c r="J117" i="2"/>
  <c r="M118" i="2"/>
  <c r="L118" i="2"/>
  <c r="I118" i="2"/>
  <c r="J118" i="2"/>
  <c r="M119" i="2"/>
  <c r="L119" i="2"/>
  <c r="J119" i="2"/>
  <c r="I119" i="2"/>
  <c r="M120" i="2"/>
  <c r="L120" i="2"/>
  <c r="J120" i="2"/>
  <c r="I120" i="2"/>
  <c r="M121" i="2"/>
  <c r="L121" i="2"/>
  <c r="J121" i="2"/>
  <c r="I121" i="2"/>
  <c r="M122" i="2"/>
  <c r="L122" i="2"/>
  <c r="J122" i="2"/>
  <c r="I122" i="2"/>
  <c r="M123" i="2"/>
  <c r="I123" i="2"/>
  <c r="J123" i="2"/>
  <c r="L123" i="2"/>
  <c r="M124" i="2"/>
  <c r="L124" i="2"/>
  <c r="I124" i="2"/>
  <c r="J124" i="2"/>
  <c r="L125" i="2"/>
  <c r="M125" i="2"/>
  <c r="I125" i="2"/>
  <c r="J125" i="2"/>
  <c r="M126" i="2"/>
  <c r="L126" i="2"/>
  <c r="I126" i="2"/>
  <c r="J126" i="2"/>
  <c r="M127" i="2"/>
  <c r="L127" i="2"/>
  <c r="J127" i="2"/>
  <c r="I127" i="2"/>
  <c r="M128" i="2"/>
  <c r="L128" i="2"/>
  <c r="J128" i="2"/>
  <c r="I128" i="2"/>
  <c r="M129" i="2"/>
  <c r="L129" i="2"/>
  <c r="J129" i="2"/>
  <c r="I129" i="2"/>
  <c r="M130" i="2"/>
  <c r="L130" i="2"/>
  <c r="J130" i="2"/>
  <c r="I130" i="2"/>
  <c r="M131" i="2"/>
  <c r="I131" i="2"/>
  <c r="L131" i="2"/>
  <c r="J131" i="2"/>
  <c r="I132" i="2"/>
  <c r="M132" i="2"/>
  <c r="L132" i="2"/>
  <c r="J132" i="2"/>
  <c r="L133" i="2"/>
  <c r="I133" i="2"/>
  <c r="M133" i="2"/>
  <c r="J133" i="2"/>
  <c r="M134" i="2"/>
  <c r="L134" i="2"/>
  <c r="I134" i="2"/>
  <c r="J134" i="2"/>
  <c r="M135" i="2"/>
  <c r="L135" i="2"/>
  <c r="J135" i="2"/>
  <c r="I135" i="2"/>
  <c r="M136" i="2"/>
  <c r="L136" i="2"/>
  <c r="J136" i="2"/>
  <c r="I136" i="2"/>
  <c r="M137" i="2"/>
  <c r="L137" i="2"/>
  <c r="J137" i="2"/>
  <c r="I137" i="2"/>
  <c r="M138" i="2"/>
  <c r="L138" i="2"/>
  <c r="J138" i="2"/>
  <c r="I138" i="2"/>
  <c r="M139" i="2"/>
  <c r="I139" i="2"/>
  <c r="L139" i="2"/>
  <c r="J139" i="2"/>
  <c r="I140" i="2"/>
  <c r="M140" i="2"/>
  <c r="L140" i="2"/>
  <c r="J140" i="2"/>
  <c r="L141" i="2"/>
  <c r="I141" i="2"/>
  <c r="J141" i="2"/>
  <c r="M141" i="2"/>
  <c r="M142" i="2"/>
  <c r="L142" i="2"/>
  <c r="I142" i="2"/>
  <c r="J142" i="2"/>
  <c r="M143" i="2"/>
  <c r="L143" i="2"/>
  <c r="J143" i="2"/>
  <c r="I143" i="2"/>
  <c r="M144" i="2"/>
  <c r="L144" i="2"/>
  <c r="J144" i="2"/>
  <c r="I144" i="2"/>
  <c r="M145" i="2"/>
  <c r="L145" i="2"/>
  <c r="J145" i="2"/>
  <c r="I145" i="2"/>
  <c r="M146" i="2"/>
  <c r="L146" i="2"/>
  <c r="J146" i="2"/>
  <c r="I146" i="2"/>
  <c r="M147" i="2"/>
  <c r="I147" i="2"/>
  <c r="J147" i="2"/>
  <c r="L147" i="2"/>
  <c r="I148" i="2"/>
  <c r="J148" i="2"/>
  <c r="L148" i="2"/>
  <c r="M148" i="2"/>
  <c r="L149" i="2"/>
  <c r="I149" i="2"/>
  <c r="M149" i="2"/>
  <c r="J149" i="2"/>
  <c r="M150" i="2"/>
  <c r="L150" i="2"/>
  <c r="I150" i="2"/>
  <c r="J150" i="2"/>
  <c r="M151" i="2"/>
  <c r="L151" i="2"/>
  <c r="J151" i="2"/>
  <c r="I151" i="2"/>
  <c r="M152" i="2"/>
  <c r="L152" i="2"/>
  <c r="J152" i="2"/>
  <c r="I152" i="2"/>
  <c r="M153" i="2"/>
  <c r="L153" i="2"/>
  <c r="J153" i="2"/>
  <c r="I153" i="2"/>
  <c r="M154" i="2"/>
  <c r="L154" i="2"/>
  <c r="J154" i="2"/>
  <c r="I154" i="2"/>
  <c r="M155" i="2"/>
  <c r="I155" i="2"/>
  <c r="J155" i="2"/>
  <c r="L155" i="2"/>
  <c r="M156" i="2"/>
  <c r="L156" i="2"/>
  <c r="I156" i="2"/>
  <c r="J156" i="2"/>
  <c r="L157" i="2"/>
  <c r="M157" i="2"/>
  <c r="I157" i="2"/>
  <c r="J157" i="2"/>
  <c r="M158" i="2"/>
  <c r="L158" i="2"/>
  <c r="I158" i="2"/>
  <c r="J158" i="2"/>
  <c r="M159" i="2"/>
  <c r="L159" i="2"/>
  <c r="J159" i="2"/>
  <c r="I159" i="2"/>
  <c r="M160" i="2"/>
  <c r="L160" i="2"/>
  <c r="J160" i="2"/>
  <c r="I160" i="2"/>
  <c r="M161" i="2"/>
  <c r="L161" i="2"/>
  <c r="J161" i="2"/>
  <c r="I161" i="2"/>
  <c r="M162" i="2"/>
  <c r="L162" i="2"/>
  <c r="J162" i="2"/>
  <c r="I162" i="2"/>
  <c r="M163" i="2"/>
  <c r="I163" i="2"/>
  <c r="L163" i="2"/>
  <c r="J163" i="2"/>
  <c r="I164" i="2"/>
  <c r="M164" i="2"/>
  <c r="L164" i="2"/>
  <c r="J164" i="2"/>
  <c r="L165" i="2"/>
  <c r="I165" i="2"/>
  <c r="M165" i="2"/>
  <c r="J165" i="2"/>
  <c r="M166" i="2"/>
  <c r="L166" i="2"/>
  <c r="I166" i="2"/>
  <c r="J166" i="2"/>
  <c r="M167" i="2"/>
  <c r="L167" i="2"/>
  <c r="J167" i="2"/>
  <c r="I167" i="2"/>
  <c r="M168" i="2"/>
  <c r="L168" i="2"/>
  <c r="J168" i="2"/>
  <c r="I168" i="2"/>
  <c r="M169" i="2"/>
  <c r="L169" i="2"/>
  <c r="J169" i="2"/>
  <c r="I169" i="2"/>
  <c r="M170" i="2"/>
  <c r="L170" i="2"/>
  <c r="J170" i="2"/>
  <c r="I170" i="2"/>
  <c r="M171" i="2"/>
  <c r="I171" i="2"/>
  <c r="L171" i="2"/>
  <c r="J171" i="2"/>
  <c r="I172" i="2"/>
  <c r="M172" i="2"/>
  <c r="L172" i="2"/>
  <c r="J172" i="2"/>
  <c r="L173" i="2"/>
  <c r="I173" i="2"/>
  <c r="M173" i="2"/>
  <c r="J173" i="2"/>
  <c r="M174" i="2"/>
  <c r="L174" i="2"/>
  <c r="I174" i="2"/>
  <c r="J174" i="2"/>
  <c r="M175" i="2"/>
  <c r="L175" i="2"/>
  <c r="J175" i="2"/>
  <c r="I175" i="2"/>
  <c r="M176" i="2"/>
  <c r="L176" i="2"/>
  <c r="J176" i="2"/>
  <c r="I176" i="2"/>
  <c r="M177" i="2"/>
  <c r="L177" i="2"/>
  <c r="J177" i="2"/>
  <c r="I177" i="2"/>
  <c r="M178" i="2"/>
  <c r="L178" i="2"/>
  <c r="J178" i="2"/>
  <c r="I178" i="2"/>
  <c r="M179" i="2"/>
  <c r="I179" i="2"/>
  <c r="J179" i="2"/>
  <c r="L179" i="2"/>
  <c r="I180" i="2"/>
  <c r="L180" i="2"/>
  <c r="M180" i="2"/>
  <c r="J180" i="2"/>
  <c r="L181" i="2"/>
  <c r="I181" i="2"/>
  <c r="M181" i="2"/>
  <c r="J181" i="2"/>
  <c r="M182" i="2"/>
  <c r="L182" i="2"/>
  <c r="I182" i="2"/>
  <c r="J182" i="2"/>
  <c r="M183" i="2"/>
  <c r="L183" i="2"/>
  <c r="J183" i="2"/>
  <c r="I183" i="2"/>
  <c r="M184" i="2"/>
  <c r="L184" i="2"/>
  <c r="J184" i="2"/>
  <c r="I184" i="2"/>
  <c r="M185" i="2"/>
  <c r="L185" i="2"/>
  <c r="J185" i="2"/>
  <c r="I185" i="2"/>
  <c r="M186" i="2"/>
  <c r="L186" i="2"/>
  <c r="J186" i="2"/>
  <c r="I186" i="2"/>
  <c r="M187" i="2"/>
  <c r="I187" i="2"/>
  <c r="J187" i="2"/>
  <c r="L187" i="2"/>
  <c r="M188" i="2"/>
  <c r="L188" i="2"/>
  <c r="I188" i="2"/>
  <c r="J188" i="2"/>
  <c r="L189" i="2"/>
  <c r="M189" i="2"/>
  <c r="I189" i="2"/>
  <c r="J189" i="2"/>
  <c r="M190" i="2"/>
  <c r="L190" i="2"/>
  <c r="I190" i="2"/>
  <c r="J190" i="2"/>
  <c r="M191" i="2"/>
  <c r="L191" i="2"/>
  <c r="J191" i="2"/>
  <c r="I191" i="2"/>
  <c r="M192" i="2"/>
  <c r="L192" i="2"/>
  <c r="J192" i="2"/>
  <c r="I192" i="2"/>
  <c r="M193" i="2"/>
  <c r="L193" i="2"/>
  <c r="J193" i="2"/>
  <c r="I193" i="2"/>
  <c r="M194" i="2"/>
  <c r="L194" i="2"/>
  <c r="J194" i="2"/>
  <c r="I194" i="2"/>
  <c r="M195" i="2"/>
  <c r="I195" i="2"/>
  <c r="L195" i="2"/>
  <c r="J195" i="2"/>
  <c r="I196" i="2"/>
  <c r="M196" i="2"/>
  <c r="L196" i="2"/>
  <c r="J196" i="2"/>
  <c r="L197" i="2"/>
  <c r="I197" i="2"/>
  <c r="M197" i="2"/>
  <c r="J197" i="2"/>
  <c r="M198" i="2"/>
  <c r="L198" i="2"/>
  <c r="I198" i="2"/>
  <c r="J198" i="2"/>
  <c r="M199" i="2"/>
  <c r="L199" i="2"/>
  <c r="J199" i="2"/>
  <c r="I199" i="2"/>
  <c r="M200" i="2"/>
  <c r="L200" i="2"/>
  <c r="J200" i="2"/>
  <c r="I200" i="2"/>
  <c r="M201" i="2"/>
  <c r="L201" i="2"/>
  <c r="J201" i="2"/>
  <c r="I201" i="2"/>
  <c r="M202" i="2"/>
  <c r="L202" i="2"/>
  <c r="J202" i="2"/>
  <c r="I202" i="2"/>
  <c r="M203" i="2"/>
  <c r="I203" i="2"/>
  <c r="L203" i="2"/>
  <c r="J203" i="2"/>
  <c r="I204" i="2"/>
  <c r="M204" i="2"/>
  <c r="L204" i="2"/>
  <c r="J204" i="2"/>
  <c r="L205" i="2"/>
  <c r="I205" i="2"/>
  <c r="J205" i="2"/>
  <c r="M205" i="2"/>
  <c r="M206" i="2"/>
  <c r="L206" i="2"/>
  <c r="I206" i="2"/>
  <c r="J206" i="2"/>
  <c r="M207" i="2"/>
  <c r="L207" i="2"/>
  <c r="J207" i="2"/>
  <c r="I207" i="2"/>
  <c r="M208" i="2"/>
  <c r="L208" i="2"/>
  <c r="J208" i="2"/>
  <c r="I208" i="2"/>
  <c r="M209" i="2"/>
  <c r="L209" i="2"/>
  <c r="J209" i="2"/>
  <c r="I209" i="2"/>
  <c r="M210" i="2"/>
  <c r="L210" i="2"/>
  <c r="J210" i="2"/>
  <c r="I210" i="2"/>
  <c r="M211" i="2"/>
  <c r="I211" i="2"/>
  <c r="J211" i="2"/>
  <c r="L211" i="2"/>
  <c r="I212" i="2"/>
  <c r="J212" i="2"/>
  <c r="L212" i="2"/>
  <c r="M212" i="2"/>
  <c r="L213" i="2"/>
  <c r="I213" i="2"/>
  <c r="M213" i="2"/>
  <c r="J213" i="2"/>
  <c r="M214" i="2"/>
  <c r="L214" i="2"/>
  <c r="I214" i="2"/>
  <c r="J214" i="2"/>
  <c r="M215" i="2"/>
  <c r="L215" i="2"/>
  <c r="J215" i="2"/>
  <c r="I215" i="2"/>
  <c r="M216" i="2"/>
  <c r="L216" i="2"/>
  <c r="J216" i="2"/>
  <c r="I216" i="2"/>
  <c r="M217" i="2"/>
  <c r="L217" i="2"/>
  <c r="J217" i="2"/>
  <c r="I217" i="2"/>
  <c r="M218" i="2"/>
  <c r="L218" i="2"/>
  <c r="J218" i="2"/>
  <c r="I218" i="2"/>
  <c r="M219" i="2"/>
  <c r="I219" i="2"/>
  <c r="J219" i="2"/>
  <c r="L219" i="2"/>
  <c r="M220" i="2"/>
  <c r="L220" i="2"/>
  <c r="I220" i="2"/>
  <c r="J220" i="2"/>
  <c r="L221" i="2"/>
  <c r="M221" i="2"/>
  <c r="I221" i="2"/>
  <c r="J221" i="2"/>
  <c r="M222" i="2"/>
  <c r="L222" i="2"/>
  <c r="I222" i="2"/>
  <c r="J222" i="2"/>
  <c r="M223" i="2"/>
  <c r="L223" i="2"/>
  <c r="J223" i="2"/>
  <c r="I223" i="2"/>
  <c r="M224" i="2"/>
  <c r="L224" i="2"/>
  <c r="J224" i="2"/>
  <c r="I224" i="2"/>
  <c r="M225" i="2"/>
  <c r="L225" i="2"/>
  <c r="J225" i="2"/>
  <c r="I225" i="2"/>
  <c r="M226" i="2"/>
  <c r="L226" i="2"/>
  <c r="J226" i="2"/>
  <c r="I226" i="2"/>
  <c r="M227" i="2"/>
  <c r="I227" i="2"/>
  <c r="L227" i="2"/>
  <c r="J227" i="2"/>
  <c r="I228" i="2"/>
  <c r="M228" i="2"/>
  <c r="L228" i="2"/>
  <c r="J228" i="2"/>
  <c r="L229" i="2"/>
  <c r="I229" i="2"/>
  <c r="M229" i="2"/>
  <c r="J229" i="2"/>
  <c r="M230" i="2"/>
  <c r="L230" i="2"/>
  <c r="I230" i="2"/>
  <c r="J230" i="2"/>
  <c r="M231" i="2"/>
  <c r="L231" i="2"/>
  <c r="J231" i="2"/>
  <c r="I231" i="2"/>
  <c r="M232" i="2"/>
  <c r="L232" i="2"/>
  <c r="J232" i="2"/>
  <c r="I232" i="2"/>
  <c r="M233" i="2"/>
  <c r="L233" i="2"/>
  <c r="J233" i="2"/>
  <c r="I233" i="2"/>
  <c r="M234" i="2"/>
  <c r="L234" i="2"/>
  <c r="J234" i="2"/>
  <c r="I234" i="2"/>
  <c r="M235" i="2"/>
  <c r="I235" i="2"/>
  <c r="L235" i="2"/>
  <c r="J235" i="2"/>
  <c r="I236" i="2"/>
  <c r="M236" i="2"/>
  <c r="L236" i="2"/>
  <c r="J236" i="2"/>
  <c r="L237" i="2"/>
  <c r="J237" i="2"/>
  <c r="I237" i="2"/>
  <c r="M237" i="2"/>
  <c r="M238" i="2"/>
  <c r="L238" i="2"/>
  <c r="I238" i="2"/>
  <c r="J238" i="2"/>
  <c r="M239" i="2"/>
  <c r="L239" i="2"/>
  <c r="J239" i="2"/>
  <c r="I239" i="2"/>
  <c r="M240" i="2"/>
  <c r="L240" i="2"/>
  <c r="J240" i="2"/>
  <c r="I240" i="2"/>
  <c r="M241" i="2"/>
  <c r="L241" i="2"/>
  <c r="J241" i="2"/>
  <c r="I241" i="2"/>
  <c r="M242" i="2"/>
  <c r="L242" i="2"/>
  <c r="J242" i="2"/>
  <c r="I242" i="2"/>
  <c r="M243" i="2"/>
  <c r="I243" i="2"/>
  <c r="J243" i="2"/>
  <c r="L243" i="2"/>
  <c r="I244" i="2"/>
  <c r="J244" i="2"/>
  <c r="L244" i="2"/>
  <c r="M244" i="2"/>
  <c r="L245" i="2"/>
  <c r="M245" i="2"/>
  <c r="J245" i="2"/>
  <c r="I245" i="2"/>
  <c r="M246" i="2"/>
  <c r="L246" i="2"/>
  <c r="I246" i="2"/>
  <c r="J246" i="2"/>
  <c r="M247" i="2"/>
  <c r="L247" i="2"/>
  <c r="J247" i="2"/>
  <c r="I247" i="2"/>
  <c r="M248" i="2"/>
  <c r="L248" i="2"/>
  <c r="J248" i="2"/>
  <c r="I248" i="2"/>
  <c r="M249" i="2"/>
  <c r="L249" i="2"/>
  <c r="J249" i="2"/>
  <c r="I249" i="2"/>
  <c r="M250" i="2"/>
  <c r="L250" i="2"/>
  <c r="J250" i="2"/>
  <c r="I250" i="2"/>
  <c r="M251" i="2"/>
  <c r="I251" i="2"/>
  <c r="J251" i="2"/>
  <c r="L251" i="2"/>
  <c r="M252" i="2"/>
  <c r="L252" i="2"/>
  <c r="I252" i="2"/>
  <c r="J252" i="2"/>
  <c r="L253" i="2"/>
  <c r="M253" i="2"/>
  <c r="J253" i="2"/>
  <c r="I253" i="2"/>
  <c r="M254" i="2"/>
  <c r="L254" i="2"/>
  <c r="I254" i="2"/>
  <c r="J254" i="2"/>
  <c r="M255" i="2"/>
  <c r="L255" i="2"/>
  <c r="J255" i="2"/>
  <c r="I255" i="2"/>
  <c r="M256" i="2"/>
  <c r="L256" i="2"/>
  <c r="J256" i="2"/>
  <c r="I256" i="2"/>
  <c r="M257" i="2"/>
  <c r="L257" i="2"/>
  <c r="J257" i="2"/>
  <c r="I257" i="2"/>
  <c r="M258" i="2"/>
  <c r="L258" i="2"/>
  <c r="J258" i="2"/>
  <c r="I258" i="2"/>
  <c r="M259" i="2"/>
  <c r="I259" i="2"/>
  <c r="L259" i="2"/>
  <c r="J259" i="2"/>
  <c r="I260" i="2"/>
  <c r="M260" i="2"/>
  <c r="L260" i="2"/>
  <c r="J260" i="2"/>
  <c r="L261" i="2"/>
  <c r="M261" i="2"/>
  <c r="I261" i="2"/>
  <c r="J261" i="2"/>
  <c r="M262" i="2"/>
  <c r="L262" i="2"/>
  <c r="I262" i="2"/>
  <c r="J262" i="2"/>
  <c r="M263" i="2"/>
  <c r="L263" i="2"/>
  <c r="J263" i="2"/>
  <c r="I263" i="2"/>
  <c r="M264" i="2"/>
  <c r="L264" i="2"/>
  <c r="J264" i="2"/>
  <c r="I264" i="2"/>
  <c r="M265" i="2"/>
  <c r="L265" i="2"/>
  <c r="J265" i="2"/>
  <c r="I265" i="2"/>
  <c r="M266" i="2"/>
  <c r="L266" i="2"/>
  <c r="J266" i="2"/>
  <c r="I266" i="2"/>
  <c r="M267" i="2"/>
  <c r="I267" i="2"/>
  <c r="L267" i="2"/>
  <c r="J267" i="2"/>
  <c r="I268" i="2"/>
  <c r="M268" i="2"/>
  <c r="L268" i="2"/>
  <c r="J268" i="2"/>
  <c r="L269" i="2"/>
  <c r="J269" i="2"/>
  <c r="I269" i="2"/>
  <c r="M269" i="2"/>
  <c r="M270" i="2"/>
  <c r="L270" i="2"/>
  <c r="I270" i="2"/>
  <c r="J270" i="2"/>
  <c r="M271" i="2"/>
  <c r="L271" i="2"/>
  <c r="J271" i="2"/>
  <c r="I271" i="2"/>
  <c r="M272" i="2"/>
  <c r="L272" i="2"/>
  <c r="J272" i="2"/>
  <c r="I272" i="2"/>
  <c r="M273" i="2"/>
  <c r="L273" i="2"/>
  <c r="J273" i="2"/>
  <c r="I273" i="2"/>
  <c r="M274" i="2"/>
  <c r="L274" i="2"/>
  <c r="J274" i="2"/>
  <c r="I274" i="2"/>
  <c r="M275" i="2"/>
  <c r="I275" i="2"/>
  <c r="J275" i="2"/>
  <c r="L275" i="2"/>
  <c r="I276" i="2"/>
  <c r="J276" i="2"/>
  <c r="L276" i="2"/>
  <c r="M276" i="2"/>
  <c r="L277" i="2"/>
  <c r="M277" i="2"/>
  <c r="I277" i="2"/>
  <c r="J277" i="2"/>
  <c r="M278" i="2"/>
  <c r="L278" i="2"/>
  <c r="I278" i="2"/>
  <c r="J278" i="2"/>
  <c r="M279" i="2"/>
  <c r="L279" i="2"/>
  <c r="J279" i="2"/>
  <c r="I279" i="2"/>
  <c r="M280" i="2"/>
  <c r="L280" i="2"/>
  <c r="J280" i="2"/>
  <c r="I280" i="2"/>
  <c r="M281" i="2"/>
  <c r="L281" i="2"/>
  <c r="J281" i="2"/>
  <c r="I281" i="2"/>
  <c r="M282" i="2"/>
  <c r="L282" i="2"/>
  <c r="J282" i="2"/>
  <c r="I282" i="2"/>
  <c r="M283" i="2"/>
  <c r="I283" i="2"/>
  <c r="J283" i="2"/>
  <c r="L283" i="2"/>
  <c r="M284" i="2"/>
  <c r="L284" i="2"/>
  <c r="I284" i="2"/>
  <c r="J284" i="2"/>
  <c r="L285" i="2"/>
  <c r="M285" i="2"/>
  <c r="I285" i="2"/>
  <c r="J285" i="2"/>
  <c r="M286" i="2"/>
  <c r="L286" i="2"/>
  <c r="I286" i="2"/>
  <c r="J286" i="2"/>
  <c r="M287" i="2"/>
  <c r="L287" i="2"/>
  <c r="J287" i="2"/>
  <c r="I287" i="2"/>
  <c r="M288" i="2"/>
  <c r="L288" i="2"/>
  <c r="J288" i="2"/>
  <c r="I288" i="2"/>
  <c r="M289" i="2"/>
  <c r="L289" i="2"/>
  <c r="J289" i="2"/>
  <c r="I289" i="2"/>
  <c r="M290" i="2"/>
  <c r="L290" i="2"/>
  <c r="J290" i="2"/>
  <c r="I290" i="2"/>
  <c r="M291" i="2"/>
  <c r="I291" i="2"/>
  <c r="L291" i="2"/>
  <c r="J291" i="2"/>
  <c r="I292" i="2"/>
  <c r="M292" i="2"/>
  <c r="L292" i="2"/>
  <c r="J292" i="2"/>
  <c r="L293" i="2"/>
  <c r="M293" i="2"/>
  <c r="J293" i="2"/>
  <c r="I293" i="2"/>
  <c r="M294" i="2"/>
  <c r="L294" i="2"/>
  <c r="I294" i="2"/>
  <c r="J294" i="2"/>
  <c r="M295" i="2"/>
  <c r="L295" i="2"/>
  <c r="J295" i="2"/>
  <c r="I295" i="2"/>
  <c r="M296" i="2"/>
  <c r="L296" i="2"/>
  <c r="J296" i="2"/>
  <c r="I296" i="2"/>
  <c r="M297" i="2"/>
  <c r="L297" i="2"/>
  <c r="J297" i="2"/>
  <c r="I297" i="2"/>
  <c r="M298" i="2"/>
  <c r="L298" i="2"/>
  <c r="J298" i="2"/>
  <c r="I298" i="2"/>
  <c r="M299" i="2"/>
  <c r="I299" i="2"/>
  <c r="L299" i="2"/>
  <c r="J299" i="2"/>
  <c r="I300" i="2"/>
  <c r="M300" i="2"/>
  <c r="L300" i="2"/>
  <c r="J300" i="2"/>
  <c r="L301" i="2"/>
  <c r="M301" i="2"/>
  <c r="J301" i="2"/>
  <c r="I301" i="2"/>
  <c r="M302" i="2"/>
  <c r="L302" i="2"/>
  <c r="I302" i="2"/>
  <c r="J302" i="2"/>
  <c r="M303" i="2"/>
  <c r="L303" i="2"/>
  <c r="J303" i="2"/>
  <c r="I303" i="2"/>
  <c r="M304" i="2"/>
  <c r="L304" i="2"/>
  <c r="J304" i="2"/>
  <c r="I304" i="2"/>
  <c r="M305" i="2"/>
  <c r="L305" i="2"/>
  <c r="J305" i="2"/>
  <c r="I305" i="2"/>
  <c r="M306" i="2"/>
  <c r="L306" i="2"/>
  <c r="J306" i="2"/>
  <c r="I306" i="2"/>
  <c r="M307" i="2"/>
  <c r="I307" i="2"/>
  <c r="J307" i="2"/>
  <c r="L307" i="2"/>
  <c r="I308" i="2"/>
  <c r="L308" i="2"/>
  <c r="M308" i="2"/>
  <c r="J308" i="2"/>
  <c r="L309" i="2"/>
  <c r="M309" i="2"/>
  <c r="J309" i="2"/>
  <c r="I309" i="2"/>
  <c r="M310" i="2"/>
  <c r="L310" i="2"/>
  <c r="I310" i="2"/>
  <c r="J310" i="2"/>
  <c r="M311" i="2"/>
  <c r="L311" i="2"/>
  <c r="J311" i="2"/>
  <c r="I311" i="2"/>
  <c r="M312" i="2"/>
  <c r="L312" i="2"/>
  <c r="J312" i="2"/>
  <c r="I312" i="2"/>
  <c r="M313" i="2"/>
  <c r="L313" i="2"/>
  <c r="J313" i="2"/>
  <c r="I313" i="2"/>
  <c r="M314" i="2"/>
  <c r="L314" i="2"/>
  <c r="J314" i="2"/>
  <c r="I314" i="2"/>
  <c r="M315" i="2"/>
  <c r="I315" i="2"/>
  <c r="J315" i="2"/>
  <c r="L315" i="2"/>
  <c r="M316" i="2"/>
  <c r="L316" i="2"/>
  <c r="I316" i="2"/>
  <c r="J316" i="2"/>
  <c r="L317" i="2"/>
  <c r="M317" i="2"/>
  <c r="J317" i="2"/>
  <c r="I317" i="2"/>
  <c r="M318" i="2"/>
  <c r="L318" i="2"/>
  <c r="I318" i="2"/>
  <c r="J318" i="2"/>
  <c r="M319" i="2"/>
  <c r="L319" i="2"/>
  <c r="J319" i="2"/>
  <c r="I319" i="2"/>
  <c r="M320" i="2"/>
  <c r="L320" i="2"/>
  <c r="J320" i="2"/>
  <c r="I320" i="2"/>
  <c r="M321" i="2"/>
  <c r="L321" i="2"/>
  <c r="J321" i="2"/>
  <c r="I321" i="2"/>
  <c r="M322" i="2"/>
  <c r="L322" i="2"/>
  <c r="J322" i="2"/>
  <c r="I322" i="2"/>
  <c r="M323" i="2"/>
  <c r="I323" i="2"/>
  <c r="L323" i="2"/>
  <c r="J323" i="2"/>
  <c r="Q11" i="2"/>
  <c r="R11" i="2"/>
  <c r="J11" i="2"/>
  <c r="K11" i="2"/>
  <c r="P11" i="2"/>
</calcChain>
</file>

<file path=xl/sharedStrings.xml><?xml version="1.0" encoding="utf-8"?>
<sst xmlns="http://schemas.openxmlformats.org/spreadsheetml/2006/main" count="87" uniqueCount="49">
  <si>
    <t>Precinct</t>
  </si>
  <si>
    <t>Arrival Rate</t>
  </si>
  <si>
    <t>Voters Per Hour</t>
  </si>
  <si>
    <t>Average time to vote</t>
  </si>
  <si>
    <t>Number of voting stations</t>
  </si>
  <si>
    <t>Maximum Line Length</t>
  </si>
  <si>
    <t>Balking Rate</t>
  </si>
  <si>
    <t>Minutes per Voter</t>
  </si>
  <si>
    <t>Number</t>
  </si>
  <si>
    <t>Average Wait Time</t>
  </si>
  <si>
    <t>Average Time in System</t>
  </si>
  <si>
    <t>Expected Voters in System</t>
  </si>
  <si>
    <t>Expected Line Length (Inside)</t>
  </si>
  <si>
    <t>Expected Line Length (outside)</t>
  </si>
  <si>
    <t>Probability of No Wait</t>
  </si>
  <si>
    <t>Probability of Full Waiting Room</t>
  </si>
  <si>
    <t>Effective Arrival Rate</t>
  </si>
  <si>
    <t>Alerts</t>
  </si>
  <si>
    <t>Minutes</t>
  </si>
  <si>
    <t>Number of People</t>
  </si>
  <si>
    <t>Percentage</t>
  </si>
  <si>
    <t>Voters per hour</t>
  </si>
  <si>
    <t>System is Unstable</t>
  </si>
  <si>
    <t>Individual Alert</t>
  </si>
  <si>
    <t>Overall Alert</t>
  </si>
  <si>
    <t>System is Stable</t>
  </si>
  <si>
    <t>None</t>
  </si>
  <si>
    <t>Enter Number of Precincts</t>
  </si>
  <si>
    <t>Finite Waiting Room Calculation Tool</t>
  </si>
  <si>
    <t>Model Inputs</t>
  </si>
  <si>
    <t>Model Outputs</t>
  </si>
  <si>
    <t>Inputs</t>
  </si>
  <si>
    <t>Outputs</t>
  </si>
  <si>
    <t>M/M/k Queue with a finite Waiting Room</t>
  </si>
  <si>
    <t>This model uses a numerical approximation with a maximum overall capacity of</t>
  </si>
  <si>
    <t>Maximum Number of Voters in System</t>
  </si>
  <si>
    <t>Total Voters In System</t>
  </si>
  <si>
    <t>Probability of This state</t>
  </si>
  <si>
    <t>Exponent Buildup Calculation</t>
  </si>
  <si>
    <t>Relative Weight of this State</t>
  </si>
  <si>
    <t>Voters in Queue Inside Polling Place</t>
  </si>
  <si>
    <t>Voters in Queue Outside Polling Place</t>
  </si>
  <si>
    <t>Probability of No Queue</t>
  </si>
  <si>
    <t>Arrival Rate in this State</t>
  </si>
  <si>
    <t>Waiting Area Full Flag</t>
  </si>
  <si>
    <t>Calculations</t>
  </si>
  <si>
    <t>Totals:</t>
  </si>
  <si>
    <t>Service Rate</t>
  </si>
  <si>
    <t>Outside line arrival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</si>
</sst>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9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charset val="134"/>
      <scheme val="minor"/>
    </font>
    <font>
      <sz val="12"/>
      <color indexed="72"/>
      <name val="Helvetic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auto="1"/>
      </bottom>
      <diagonal/>
    </border>
  </borders>
  <cellStyleXfs count="10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55">
    <xf numFmtId="0" fontId="0" fillId="0" borderId="0" xfId="0"/>
    <xf numFmtId="2" fontId="0" fillId="0" borderId="0" xfId="0" applyNumberFormat="1"/>
    <xf numFmtId="0" fontId="1" fillId="0" borderId="0" xfId="0" applyFont="1" applyFill="1"/>
    <xf numFmtId="0" fontId="0" fillId="0" borderId="0" xfId="0" applyFill="1"/>
    <xf numFmtId="2" fontId="0" fillId="0" borderId="0" xfId="0" applyNumberFormat="1" applyFill="1"/>
    <xf numFmtId="164" fontId="0" fillId="0" borderId="0" xfId="0" applyNumberFormat="1"/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wrapText="1"/>
    </xf>
    <xf numFmtId="9" fontId="0" fillId="0" borderId="0" xfId="1" applyFont="1"/>
    <xf numFmtId="169" fontId="0" fillId="0" borderId="0" xfId="0" applyNumberFormat="1"/>
    <xf numFmtId="0" fontId="6" fillId="0" borderId="0" xfId="0" applyFont="1"/>
    <xf numFmtId="9" fontId="6" fillId="0" borderId="0" xfId="0" applyNumberFormat="1" applyFont="1"/>
    <xf numFmtId="0" fontId="1" fillId="0" borderId="0" xfId="0" applyFont="1"/>
    <xf numFmtId="0" fontId="0" fillId="0" borderId="1" xfId="0" applyBorder="1"/>
    <xf numFmtId="0" fontId="0" fillId="4" borderId="0" xfId="0" applyFill="1"/>
    <xf numFmtId="0" fontId="0" fillId="0" borderId="2" xfId="0" applyBorder="1"/>
    <xf numFmtId="0" fontId="9" fillId="0" borderId="0" xfId="0" applyFont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5" borderId="0" xfId="0" applyFill="1" applyAlignment="1">
      <alignment horizontal="centerContinuous"/>
    </xf>
    <xf numFmtId="0" fontId="8" fillId="2" borderId="0" xfId="0" applyFont="1" applyFill="1" applyAlignment="1">
      <alignment horizontal="centerContinuous"/>
    </xf>
    <xf numFmtId="0" fontId="8" fillId="5" borderId="0" xfId="0" applyFont="1" applyFill="1" applyAlignment="1">
      <alignment horizontal="centerContinuous"/>
    </xf>
    <xf numFmtId="0" fontId="0" fillId="0" borderId="0" xfId="0" applyBorder="1"/>
    <xf numFmtId="2" fontId="8" fillId="2" borderId="0" xfId="0" applyNumberFormat="1" applyFont="1" applyFill="1" applyBorder="1" applyAlignment="1">
      <alignment horizontal="centerContinuous"/>
    </xf>
    <xf numFmtId="0" fontId="8" fillId="2" borderId="0" xfId="0" applyFont="1" applyFill="1" applyBorder="1" applyAlignment="1">
      <alignment horizontal="centerContinuous"/>
    </xf>
    <xf numFmtId="2" fontId="0" fillId="0" borderId="1" xfId="0" applyNumberFormat="1" applyFill="1" applyBorder="1"/>
    <xf numFmtId="0" fontId="0" fillId="0" borderId="1" xfId="0" applyFill="1" applyBorder="1"/>
    <xf numFmtId="0" fontId="1" fillId="0" borderId="1" xfId="0" applyFont="1" applyFill="1" applyBorder="1"/>
    <xf numFmtId="0" fontId="8" fillId="3" borderId="0" xfId="0" applyFont="1" applyFill="1" applyBorder="1" applyAlignment="1">
      <alignment horizontal="centerContinuous"/>
    </xf>
    <xf numFmtId="0" fontId="10" fillId="0" borderId="0" xfId="0" applyFont="1" applyFill="1" applyBorder="1" applyAlignment="1">
      <alignment horizontal="centerContinuous"/>
    </xf>
    <xf numFmtId="0" fontId="10" fillId="0" borderId="0" xfId="0" applyFont="1" applyBorder="1" applyAlignment="1">
      <alignment horizontal="centerContinuous"/>
    </xf>
    <xf numFmtId="164" fontId="10" fillId="0" borderId="0" xfId="0" applyNumberFormat="1" applyFont="1" applyBorder="1" applyAlignment="1">
      <alignment horizontal="centerContinuous"/>
    </xf>
    <xf numFmtId="2" fontId="0" fillId="0" borderId="2" xfId="0" applyNumberFormat="1" applyFill="1" applyBorder="1"/>
    <xf numFmtId="0" fontId="0" fillId="0" borderId="2" xfId="0" applyFill="1" applyBorder="1"/>
    <xf numFmtId="164" fontId="0" fillId="0" borderId="2" xfId="0" applyNumberFormat="1" applyBorder="1"/>
    <xf numFmtId="0" fontId="1" fillId="2" borderId="0" xfId="0" applyFont="1" applyFill="1" applyBorder="1" applyProtection="1">
      <protection locked="0"/>
    </xf>
    <xf numFmtId="0" fontId="1" fillId="0" borderId="2" xfId="0" applyFont="1" applyFill="1" applyBorder="1"/>
    <xf numFmtId="2" fontId="1" fillId="3" borderId="0" xfId="0" applyNumberFormat="1" applyFont="1" applyFill="1" applyBorder="1"/>
    <xf numFmtId="0" fontId="2" fillId="0" borderId="0" xfId="0" applyFont="1" applyBorder="1"/>
    <xf numFmtId="164" fontId="0" fillId="0" borderId="0" xfId="0" applyNumberFormat="1" applyBorder="1"/>
    <xf numFmtId="0" fontId="0" fillId="4" borderId="0" xfId="0" applyFill="1" applyAlignment="1">
      <alignment wrapText="1"/>
    </xf>
    <xf numFmtId="0" fontId="1" fillId="4" borderId="0" xfId="0" applyFont="1" applyFill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Border="1" applyAlignment="1">
      <alignment wrapText="1"/>
    </xf>
    <xf numFmtId="2" fontId="0" fillId="0" borderId="0" xfId="0" applyNumberFormat="1" applyBorder="1" applyAlignment="1">
      <alignment wrapText="1"/>
    </xf>
    <xf numFmtId="164" fontId="0" fillId="0" borderId="0" xfId="0" applyNumberFormat="1" applyBorder="1" applyAlignment="1">
      <alignment horizontal="left" wrapText="1"/>
    </xf>
    <xf numFmtId="2" fontId="0" fillId="0" borderId="1" xfId="0" applyNumberFormat="1" applyBorder="1"/>
    <xf numFmtId="164" fontId="0" fillId="0" borderId="1" xfId="0" applyNumberFormat="1" applyBorder="1"/>
    <xf numFmtId="0" fontId="9" fillId="0" borderId="0" xfId="0" applyFont="1" applyFill="1" applyAlignment="1">
      <alignment horizontal="centerContinuous"/>
    </xf>
    <xf numFmtId="2" fontId="9" fillId="0" borderId="0" xfId="0" applyNumberFormat="1" applyFont="1" applyFill="1" applyAlignment="1">
      <alignment horizontal="centerContinuous"/>
    </xf>
    <xf numFmtId="164" fontId="9" fillId="0" borderId="0" xfId="0" applyNumberFormat="1" applyFont="1" applyAlignment="1">
      <alignment horizontal="centerContinuous"/>
    </xf>
    <xf numFmtId="2" fontId="11" fillId="0" borderId="0" xfId="0" applyNumberFormat="1" applyFont="1" applyFill="1" applyBorder="1" applyAlignment="1">
      <alignment horizontal="centerContinuous"/>
    </xf>
    <xf numFmtId="2" fontId="0" fillId="0" borderId="0" xfId="0" applyNumberFormat="1" applyAlignment="1">
      <alignment horizontal="centerContinuous"/>
    </xf>
    <xf numFmtId="2" fontId="1" fillId="0" borderId="0" xfId="0" applyNumberFormat="1" applyFont="1"/>
    <xf numFmtId="1" fontId="1" fillId="0" borderId="0" xfId="0" applyNumberFormat="1" applyFont="1"/>
  </cellXfs>
  <cellStyles count="1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Normal" xfId="0" builtinId="0"/>
    <cellStyle name="Percent" xfId="1" builtinId="5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8</xdr:row>
          <xdr:rowOff>63500</xdr:rowOff>
        </xdr:from>
        <xdr:to>
          <xdr:col>3</xdr:col>
          <xdr:colOff>736600</xdr:colOff>
          <xdr:row>9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 type="none" w="med" len="med"/>
              <a:tailEnd type="none" w="med" len="med"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Run Macro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U2029"/>
  <sheetViews>
    <sheetView tabSelected="1" zoomScale="80" zoomScaleNormal="80" workbookViewId="0">
      <selection activeCell="G13" sqref="G13"/>
    </sheetView>
  </sheetViews>
  <sheetFormatPr baseColWidth="10" defaultColWidth="8.83203125" defaultRowHeight="15" outlineLevelCol="1" x14ac:dyDescent="0.2"/>
  <cols>
    <col min="1" max="1" width="27.5" style="14" customWidth="1" outlineLevel="1"/>
    <col min="2" max="2" width="2.5" style="14" customWidth="1" outlineLevel="1"/>
    <col min="3" max="3" width="14.6640625" customWidth="1"/>
    <col min="4" max="4" width="14.5" style="1" customWidth="1"/>
    <col min="5" max="5" width="13.83203125" customWidth="1"/>
    <col min="6" max="6" width="17.6640625" customWidth="1"/>
    <col min="7" max="7" width="20.1640625" customWidth="1"/>
    <col min="8" max="8" width="12.83203125" customWidth="1"/>
    <col min="9" max="9" width="8.83203125" style="5"/>
    <col min="12" max="17" width="11.5" customWidth="1"/>
    <col min="18" max="18" width="19.33203125" bestFit="1" customWidth="1"/>
    <col min="19" max="19" width="11.5" customWidth="1"/>
    <col min="20" max="20" width="9.83203125" customWidth="1"/>
  </cols>
  <sheetData>
    <row r="2" spans="1:21" ht="24" x14ac:dyDescent="0.3">
      <c r="C2" s="51" t="s">
        <v>33</v>
      </c>
      <c r="D2" s="28"/>
      <c r="E2" s="28"/>
      <c r="F2" s="29"/>
      <c r="G2" s="29"/>
      <c r="H2" s="30"/>
      <c r="I2" s="29"/>
      <c r="J2" s="29"/>
      <c r="K2" s="29"/>
      <c r="L2" s="29"/>
      <c r="M2" s="29"/>
      <c r="N2" s="29"/>
      <c r="O2" s="29"/>
      <c r="P2" s="29"/>
      <c r="Q2" s="29"/>
      <c r="R2" s="29"/>
    </row>
    <row r="3" spans="1:21" ht="6" customHeight="1" thickBot="1" x14ac:dyDescent="0.25">
      <c r="C3" s="31"/>
      <c r="D3" s="32"/>
      <c r="E3" s="32"/>
      <c r="F3" s="15"/>
      <c r="G3" s="15"/>
      <c r="H3" s="38"/>
      <c r="I3" s="21"/>
      <c r="J3" s="15"/>
      <c r="K3" s="15"/>
      <c r="L3" s="15"/>
      <c r="M3" s="15"/>
      <c r="N3" s="15"/>
      <c r="O3" s="15"/>
      <c r="P3" s="15"/>
      <c r="Q3" s="15"/>
      <c r="R3" s="15"/>
    </row>
    <row r="4" spans="1:21" ht="6" customHeight="1" thickTop="1" x14ac:dyDescent="0.2">
      <c r="C4" s="4"/>
      <c r="D4" s="3"/>
      <c r="E4" s="3"/>
      <c r="H4" s="5"/>
      <c r="I4"/>
    </row>
    <row r="5" spans="1:21" ht="19" x14ac:dyDescent="0.25">
      <c r="C5" s="22" t="s">
        <v>31</v>
      </c>
      <c r="D5" s="23"/>
      <c r="E5" s="23"/>
      <c r="F5" s="23"/>
      <c r="G5" s="23"/>
      <c r="H5" s="5"/>
      <c r="I5"/>
      <c r="J5" s="27" t="s">
        <v>32</v>
      </c>
      <c r="K5" s="27"/>
      <c r="L5" s="27"/>
      <c r="M5" s="27"/>
      <c r="N5" s="27"/>
      <c r="O5" s="27"/>
      <c r="P5" s="27"/>
      <c r="Q5" s="27"/>
      <c r="R5" s="27"/>
    </row>
    <row r="6" spans="1:21" ht="6" customHeight="1" x14ac:dyDescent="0.2">
      <c r="C6" s="24"/>
      <c r="D6" s="25"/>
      <c r="E6" s="26"/>
      <c r="F6" s="13"/>
      <c r="G6" s="13"/>
      <c r="H6" s="5"/>
      <c r="I6"/>
      <c r="J6" s="13"/>
      <c r="K6" s="13"/>
      <c r="L6" s="13"/>
      <c r="M6" s="13"/>
      <c r="N6" s="13"/>
      <c r="O6" s="13"/>
      <c r="P6" s="13"/>
      <c r="Q6" s="13"/>
      <c r="R6" s="13"/>
    </row>
    <row r="7" spans="1:21" ht="6" customHeight="1" x14ac:dyDescent="0.2">
      <c r="C7" s="4"/>
      <c r="D7" s="3"/>
      <c r="E7" s="2"/>
      <c r="H7" s="5"/>
      <c r="I7"/>
    </row>
    <row r="8" spans="1:21" ht="51" customHeight="1" x14ac:dyDescent="0.2">
      <c r="A8" s="39" t="s">
        <v>34</v>
      </c>
      <c r="B8" s="39"/>
      <c r="C8" s="7" t="s">
        <v>1</v>
      </c>
      <c r="D8" s="7" t="s">
        <v>3</v>
      </c>
      <c r="E8" s="7" t="s">
        <v>4</v>
      </c>
      <c r="F8" s="7" t="s">
        <v>5</v>
      </c>
      <c r="G8" s="7" t="s">
        <v>6</v>
      </c>
      <c r="I8"/>
      <c r="J8" s="7" t="s">
        <v>9</v>
      </c>
      <c r="K8" s="7" t="s">
        <v>10</v>
      </c>
      <c r="L8" s="7" t="s">
        <v>11</v>
      </c>
      <c r="M8" s="7" t="s">
        <v>12</v>
      </c>
      <c r="N8" s="7" t="s">
        <v>13</v>
      </c>
      <c r="O8" s="7" t="s">
        <v>14</v>
      </c>
      <c r="P8" s="7" t="s">
        <v>15</v>
      </c>
      <c r="Q8" s="7" t="s">
        <v>16</v>
      </c>
      <c r="R8" s="7" t="s">
        <v>17</v>
      </c>
    </row>
    <row r="9" spans="1:21" ht="30" x14ac:dyDescent="0.2">
      <c r="A9" s="14">
        <f>F11*10+1</f>
        <v>3001</v>
      </c>
      <c r="C9" s="6" t="s">
        <v>2</v>
      </c>
      <c r="D9" s="6" t="s">
        <v>7</v>
      </c>
      <c r="E9" s="6" t="s">
        <v>8</v>
      </c>
      <c r="F9" s="6" t="s">
        <v>19</v>
      </c>
      <c r="G9" s="6" t="s">
        <v>20</v>
      </c>
      <c r="I9"/>
      <c r="J9" s="6" t="s">
        <v>18</v>
      </c>
      <c r="K9" s="6" t="s">
        <v>18</v>
      </c>
      <c r="L9" s="6" t="s">
        <v>19</v>
      </c>
      <c r="M9" s="6" t="s">
        <v>19</v>
      </c>
      <c r="N9" s="6" t="s">
        <v>19</v>
      </c>
      <c r="O9" s="6" t="s">
        <v>20</v>
      </c>
      <c r="P9" s="6" t="s">
        <v>20</v>
      </c>
      <c r="Q9" s="6" t="s">
        <v>21</v>
      </c>
    </row>
    <row r="10" spans="1:21" x14ac:dyDescent="0.2">
      <c r="C10" s="4"/>
      <c r="D10" s="3"/>
      <c r="E10" s="2"/>
      <c r="H10" s="5"/>
      <c r="I10"/>
      <c r="T10" t="s">
        <v>47</v>
      </c>
      <c r="U10" t="s">
        <v>48</v>
      </c>
    </row>
    <row r="11" spans="1:21" ht="19" x14ac:dyDescent="0.25">
      <c r="C11" s="34">
        <v>500</v>
      </c>
      <c r="D11" s="34">
        <v>2.5</v>
      </c>
      <c r="E11" s="34">
        <v>9</v>
      </c>
      <c r="F11" s="34">
        <v>300</v>
      </c>
      <c r="G11" s="34">
        <v>0.6</v>
      </c>
      <c r="H11" s="5"/>
      <c r="I11"/>
      <c r="J11" s="36">
        <f>60*M11/$Q$11</f>
        <v>83.307250912888094</v>
      </c>
      <c r="K11" s="36">
        <f>60*L11/$Q$11</f>
        <v>89.09428794992732</v>
      </c>
      <c r="L11" s="36">
        <f>SUMPRODUCT(D23:D2023,H23:H2023)</f>
        <v>320.73943661972527</v>
      </c>
      <c r="M11" s="36">
        <f>SUMPRODUCT(I23:I2023,H23:H2023)</f>
        <v>299.90610328638491</v>
      </c>
      <c r="N11" s="36">
        <f>SUMPRODUCT(J23:J2023,H23:H2023)</f>
        <v>11.833333333340228</v>
      </c>
      <c r="O11" s="36">
        <f>SUM(K23:K2023)</f>
        <v>2.0888034586118137E-111</v>
      </c>
      <c r="P11" s="36">
        <f>SUMPRODUCT(H23:H2023,M23:M2023)</f>
        <v>0.9466666666666953</v>
      </c>
      <c r="Q11" s="36">
        <f>SUMPRODUCT(H23:H2023,L23:L2023)</f>
        <v>215.99999999999119</v>
      </c>
      <c r="R11" s="37" t="str">
        <f>IFERROR(IF(Q11&gt;=E11*60/D11, "System is Unstable", "System is Stable"),"System is Unstable")</f>
        <v>System is Stable</v>
      </c>
      <c r="T11">
        <f>60/D11*E11</f>
        <v>216</v>
      </c>
      <c r="U11">
        <f>CalcInput*(1-G11)</f>
        <v>200</v>
      </c>
    </row>
    <row r="12" spans="1:21" ht="6" customHeight="1" thickBot="1" x14ac:dyDescent="0.25">
      <c r="C12" s="32"/>
      <c r="D12" s="31"/>
      <c r="E12" s="32"/>
      <c r="F12" s="35"/>
      <c r="G12" s="15"/>
      <c r="J12" s="15"/>
      <c r="K12" s="15"/>
      <c r="L12" s="15"/>
      <c r="M12" s="15"/>
      <c r="N12" s="15"/>
      <c r="O12" s="15"/>
      <c r="P12" s="15"/>
      <c r="Q12" s="15"/>
      <c r="R12" s="15"/>
    </row>
    <row r="13" spans="1:21" ht="6" customHeight="1" thickTop="1" x14ac:dyDescent="0.2">
      <c r="C13" s="3"/>
      <c r="D13" s="4"/>
      <c r="E13" s="3"/>
      <c r="F13" s="2"/>
    </row>
    <row r="14" spans="1:21" x14ac:dyDescent="0.2">
      <c r="A14" s="14" t="s">
        <v>35</v>
      </c>
      <c r="C14" s="3"/>
      <c r="D14" s="4"/>
      <c r="E14" s="3"/>
      <c r="F14" s="2"/>
    </row>
    <row r="15" spans="1:21" ht="21" x14ac:dyDescent="0.25">
      <c r="A15" s="40">
        <f>E11+F11</f>
        <v>309</v>
      </c>
      <c r="C15" s="48" t="s">
        <v>45</v>
      </c>
      <c r="D15" s="52"/>
      <c r="E15" s="49"/>
      <c r="F15" s="48"/>
      <c r="G15" s="48"/>
      <c r="H15" s="16"/>
      <c r="I15" s="16"/>
      <c r="J15" s="50"/>
      <c r="K15" s="16"/>
      <c r="L15" s="16"/>
    </row>
    <row r="16" spans="1:21" ht="6" customHeight="1" thickBot="1" x14ac:dyDescent="0.25">
      <c r="C16" s="15"/>
      <c r="D16" s="32"/>
      <c r="E16" s="31"/>
      <c r="F16" s="31"/>
      <c r="G16" s="15"/>
      <c r="H16" s="15"/>
      <c r="I16" s="15"/>
      <c r="J16" s="15"/>
      <c r="K16" s="33"/>
      <c r="L16" s="15"/>
      <c r="M16" s="15"/>
    </row>
    <row r="17" spans="1:13" ht="6" customHeight="1" thickTop="1" x14ac:dyDescent="0.2">
      <c r="D17" s="41"/>
      <c r="E17" s="42"/>
      <c r="F17" s="42"/>
      <c r="G17" s="21"/>
      <c r="H17" s="21"/>
      <c r="I17" s="21"/>
      <c r="J17" s="21"/>
      <c r="K17" s="38"/>
      <c r="L17" s="21"/>
      <c r="M17" s="21"/>
    </row>
    <row r="18" spans="1:13" ht="75" x14ac:dyDescent="0.2">
      <c r="D18" s="43" t="s">
        <v>36</v>
      </c>
      <c r="E18" s="44" t="s">
        <v>38</v>
      </c>
      <c r="F18" s="44" t="s">
        <v>38</v>
      </c>
      <c r="G18" s="43" t="s">
        <v>39</v>
      </c>
      <c r="H18" s="43" t="s">
        <v>37</v>
      </c>
      <c r="I18" s="43" t="s">
        <v>40</v>
      </c>
      <c r="J18" s="43" t="s">
        <v>41</v>
      </c>
      <c r="K18" s="45" t="s">
        <v>42</v>
      </c>
      <c r="L18" s="43" t="s">
        <v>43</v>
      </c>
      <c r="M18" s="43" t="s">
        <v>44</v>
      </c>
    </row>
    <row r="19" spans="1:13" ht="6" customHeight="1" x14ac:dyDescent="0.2">
      <c r="C19" s="13"/>
      <c r="D19" s="13"/>
      <c r="E19" s="46"/>
      <c r="F19" s="46"/>
      <c r="G19" s="13"/>
      <c r="H19" s="13"/>
      <c r="I19" s="13"/>
      <c r="J19" s="13"/>
      <c r="K19" s="47"/>
      <c r="L19" s="13"/>
      <c r="M19" s="13"/>
    </row>
    <row r="20" spans="1:13" ht="6" customHeight="1" x14ac:dyDescent="0.2">
      <c r="D20"/>
      <c r="E20" s="1"/>
      <c r="F20" s="1"/>
      <c r="I20"/>
      <c r="K20" s="5"/>
    </row>
    <row r="21" spans="1:13" s="12" customFormat="1" x14ac:dyDescent="0.2">
      <c r="A21" s="40"/>
      <c r="B21" s="40"/>
      <c r="C21" s="12" t="s">
        <v>46</v>
      </c>
      <c r="E21" s="53">
        <f>MAX(E23:E2023)</f>
        <v>266.32606815399487</v>
      </c>
      <c r="F21" s="53"/>
      <c r="G21" s="54">
        <f>SUM(G23:G2023)</f>
        <v>14.260563380288577</v>
      </c>
      <c r="H21" s="54">
        <f>SUM(H23:H2023)</f>
        <v>1</v>
      </c>
      <c r="I21" s="53"/>
      <c r="J21" s="53"/>
      <c r="K21" s="53"/>
      <c r="L21" s="53"/>
      <c r="M21" s="53"/>
    </row>
    <row r="22" spans="1:13" ht="6" customHeight="1" x14ac:dyDescent="0.2">
      <c r="D22"/>
      <c r="E22" s="1"/>
      <c r="F22" s="1"/>
      <c r="I22"/>
      <c r="K22" s="5"/>
    </row>
    <row r="23" spans="1:13" x14ac:dyDescent="0.2">
      <c r="D23">
        <v>0</v>
      </c>
      <c r="E23" s="1">
        <f>0</f>
        <v>0</v>
      </c>
      <c r="F23" s="1">
        <f>E23-$E$21</f>
        <v>-266.32606815399487</v>
      </c>
      <c r="G23" s="1">
        <f>EXP(F23)</f>
        <v>2.1679946878363931E-116</v>
      </c>
      <c r="H23" s="1">
        <f>G23/$G$21</f>
        <v>1.5202728181363909E-117</v>
      </c>
      <c r="I23">
        <f>IF($E$11&lt;=D23, IF(D23&lt;=$A$15,D23-$E$11,$F$11),0)</f>
        <v>0</v>
      </c>
      <c r="J23">
        <f>IF(D23&lt;=$A$15,0,D23-$A$15)</f>
        <v>0</v>
      </c>
      <c r="K23" s="5">
        <f>IF(D23&lt;$E$11,H23,0)</f>
        <v>1.5202728181363909E-117</v>
      </c>
      <c r="L23">
        <f>IF(D23&lt;$A$15,$C$11,$C$11*(1-$G$11))</f>
        <v>500</v>
      </c>
      <c r="M23">
        <f>IF(D23&lt;$A$15,0,1)</f>
        <v>0</v>
      </c>
    </row>
    <row r="24" spans="1:13" x14ac:dyDescent="0.2">
      <c r="D24">
        <f>1+D23</f>
        <v>1</v>
      </c>
      <c r="E24" s="1">
        <f>IF($G$11=1,IF(D24&lt;=$A$15, E23+LN($C$11)-LN(60/$D$11)-LN(MIN(D24,$E$11)), E23-LN(60/$D$11)-LN(MIN(D24,$E$11))), IF(D24&lt;=$A$15, E23+LN($C$11)-LN(60/$D$11)-LN(MIN(D24,$E$11)), E23+LN($C$11)+LN(1-$G$11)-LN(60/$D$11)-LN(MIN(D24,$E$11))))</f>
        <v>3.0365542680742457</v>
      </c>
      <c r="F24" s="1">
        <f>E24-$E$21</f>
        <v>-263.2895138859206</v>
      </c>
      <c r="G24" s="1">
        <f t="shared" ref="G24:G87" si="0">EXP(F24)</f>
        <v>4.516655599659256E-115</v>
      </c>
      <c r="H24" s="1">
        <f>G24/$G$21</f>
        <v>3.1672350377842203E-116</v>
      </c>
      <c r="I24">
        <f>IF($E$11&lt;=D24, IF(D24&lt;=$A$15,D24-$E$11,$F$11),0)</f>
        <v>0</v>
      </c>
      <c r="J24">
        <f>IF(D24&lt;=$A$15,0,D24-$A$15)</f>
        <v>0</v>
      </c>
      <c r="K24" s="5">
        <f>IF(D24&lt;$E$11,H24,0)</f>
        <v>3.1672350377842203E-116</v>
      </c>
      <c r="L24">
        <f>IF(D24&lt;$A$15,$C$11,$C$11*(1-$G$11))</f>
        <v>500</v>
      </c>
      <c r="M24">
        <f>IF(D24&lt;$A$15,0,1)</f>
        <v>0</v>
      </c>
    </row>
    <row r="25" spans="1:13" x14ac:dyDescent="0.2">
      <c r="D25">
        <f t="shared" ref="D25:D88" si="1">1+D24</f>
        <v>2</v>
      </c>
      <c r="E25" s="1">
        <f>IF($G$11=1,IF(D25&lt;=$A$15, E24+LN($C$11)-LN(60/$D$11)-LN(MIN(D25,$E$11)), E24-LN(60/$D$11)-LN(MIN(D25,$E$11))), IF(D25&lt;=$A$15, E24+LN($C$11)-LN(60/$D$11)-LN(MIN(D25,$E$11)), E24+LN($C$11)+LN(1-$G$11)-LN(60/$D$11)-LN(MIN(D25,$E$11))))</f>
        <v>5.3799613555885468</v>
      </c>
      <c r="F25" s="1">
        <f t="shared" ref="F25:F88" si="2">E25-$E$21</f>
        <v>-260.94610679840633</v>
      </c>
      <c r="G25" s="1">
        <f t="shared" si="0"/>
        <v>4.7048495829782241E-114</v>
      </c>
      <c r="H25" s="1">
        <f>G25/$G$21</f>
        <v>3.2992031643584453E-115</v>
      </c>
      <c r="I25">
        <f>IF($E$11&lt;=D25, IF(D25&lt;=$A$15,D25-$E$11,$F$11),0)</f>
        <v>0</v>
      </c>
      <c r="J25">
        <f>IF(D25&lt;=$A$15,0,D25-$A$15)</f>
        <v>0</v>
      </c>
      <c r="K25" s="5">
        <f>IF(D25&lt;$E$11,H25,0)</f>
        <v>3.2992031643584453E-115</v>
      </c>
      <c r="L25">
        <f>IF(D25&lt;$A$15,$C$11,$C$11*(1-$G$11))</f>
        <v>500</v>
      </c>
      <c r="M25">
        <f>IF(D25&lt;$A$15,0,1)</f>
        <v>0</v>
      </c>
    </row>
    <row r="26" spans="1:13" x14ac:dyDescent="0.2">
      <c r="D26">
        <f t="shared" si="1"/>
        <v>3</v>
      </c>
      <c r="E26" s="1">
        <f>IF($G$11=1,IF(D26&lt;=$A$15, E25+LN($C$11)-LN(60/$D$11)-LN(MIN(D26,$E$11)), E25-LN(60/$D$11)-LN(MIN(D26,$E$11))), IF(D26&lt;=$A$15, E25+LN($C$11)-LN(60/$D$11)-LN(MIN(D26,$E$11)), E25+LN($C$11)+LN(1-$G$11)-LN(60/$D$11)-LN(MIN(D26,$E$11))))</f>
        <v>7.3179033349946829</v>
      </c>
      <c r="F26" s="1">
        <f t="shared" si="2"/>
        <v>-259.00816481900017</v>
      </c>
      <c r="G26" s="1">
        <f t="shared" si="0"/>
        <v>3.2672566548460723E-113</v>
      </c>
      <c r="H26" s="1">
        <f>G26/$G$21</f>
        <v>2.2911133085823123E-114</v>
      </c>
      <c r="I26">
        <f>IF($E$11&lt;=D26, IF(D26&lt;=$A$15,D26-$E$11,$F$11),0)</f>
        <v>0</v>
      </c>
      <c r="J26">
        <f>IF(D26&lt;=$A$15,0,D26-$A$15)</f>
        <v>0</v>
      </c>
      <c r="K26" s="5">
        <f>IF(D26&lt;$E$11,H26,0)</f>
        <v>2.2911133085823123E-114</v>
      </c>
      <c r="L26">
        <f>IF(D26&lt;$A$15,$C$11,$C$11*(1-$G$11))</f>
        <v>500</v>
      </c>
      <c r="M26">
        <f>IF(D26&lt;$A$15,0,1)</f>
        <v>0</v>
      </c>
    </row>
    <row r="27" spans="1:13" x14ac:dyDescent="0.2">
      <c r="D27">
        <f t="shared" si="1"/>
        <v>4</v>
      </c>
      <c r="E27" s="1">
        <f>IF($G$11=1,IF(D27&lt;=$A$15, E26+LN($C$11)-LN(60/$D$11)-LN(MIN(D27,$E$11)), E26-LN(60/$D$11)-LN(MIN(D27,$E$11))), IF(D27&lt;=$A$15, E26+LN($C$11)-LN(60/$D$11)-LN(MIN(D27,$E$11)), E26+LN($C$11)+LN(1-$G$11)-LN(60/$D$11)-LN(MIN(D27,$E$11))))</f>
        <v>8.9681632419490391</v>
      </c>
      <c r="F27" s="1">
        <f t="shared" si="2"/>
        <v>-257.35790491204585</v>
      </c>
      <c r="G27" s="1">
        <f t="shared" si="0"/>
        <v>1.7016961743989321E-112</v>
      </c>
      <c r="H27" s="1">
        <f>G27/$G$21</f>
        <v>1.1932881815532428E-113</v>
      </c>
      <c r="I27">
        <f>IF($E$11&lt;=D27, IF(D27&lt;=$A$15,D27-$E$11,$F$11),0)</f>
        <v>0</v>
      </c>
      <c r="J27">
        <f>IF(D27&lt;=$A$15,0,D27-$A$15)</f>
        <v>0</v>
      </c>
      <c r="K27" s="5">
        <f>IF(D27&lt;$E$11,H27,0)</f>
        <v>1.1932881815532428E-113</v>
      </c>
      <c r="L27">
        <f>IF(D27&lt;$A$15,$C$11,$C$11*(1-$G$11))</f>
        <v>500</v>
      </c>
      <c r="M27">
        <f>IF(D27&lt;$A$15,0,1)</f>
        <v>0</v>
      </c>
    </row>
    <row r="28" spans="1:13" x14ac:dyDescent="0.2">
      <c r="D28">
        <f t="shared" si="1"/>
        <v>5</v>
      </c>
      <c r="E28" s="1">
        <f>IF($G$11=1,IF(D28&lt;=$A$15, E27+LN($C$11)-LN(60/$D$11)-LN(MIN(D28,$E$11)), E27-LN(60/$D$11)-LN(MIN(D28,$E$11))), IF(D28&lt;=$A$15, E27+LN($C$11)-LN(60/$D$11)-LN(MIN(D28,$E$11)), E27+LN($C$11)+LN(1-$G$11)-LN(60/$D$11)-LN(MIN(D28,$E$11))))</f>
        <v>10.395279597589186</v>
      </c>
      <c r="F28" s="1">
        <f t="shared" si="2"/>
        <v>-255.93078855640567</v>
      </c>
      <c r="G28" s="1">
        <f t="shared" si="0"/>
        <v>7.0904007266624621E-112</v>
      </c>
      <c r="H28" s="1">
        <f>G28/$G$21</f>
        <v>4.97203408980535E-113</v>
      </c>
      <c r="I28">
        <f>IF($E$11&lt;=D28, IF(D28&lt;=$A$15,D28-$E$11,$F$11),0)</f>
        <v>0</v>
      </c>
      <c r="J28">
        <f>IF(D28&lt;=$A$15,0,D28-$A$15)</f>
        <v>0</v>
      </c>
      <c r="K28" s="5">
        <f>IF(D28&lt;$E$11,H28,0)</f>
        <v>4.97203408980535E-113</v>
      </c>
      <c r="L28">
        <f>IF(D28&lt;$A$15,$C$11,$C$11*(1-$G$11))</f>
        <v>500</v>
      </c>
      <c r="M28">
        <f>IF(D28&lt;$A$15,0,1)</f>
        <v>0</v>
      </c>
    </row>
    <row r="29" spans="1:13" x14ac:dyDescent="0.2">
      <c r="D29">
        <f t="shared" si="1"/>
        <v>6</v>
      </c>
      <c r="E29" s="1">
        <f>IF($G$11=1,IF(D29&lt;=$A$15, E28+LN($C$11)-LN(60/$D$11)-LN(MIN(D29,$E$11)), E28-LN(60/$D$11)-LN(MIN(D29,$E$11))), IF(D29&lt;=$A$15, E28+LN($C$11)-LN(60/$D$11)-LN(MIN(D29,$E$11)), E28+LN($C$11)+LN(1-$G$11)-LN(60/$D$11)-LN(MIN(D29,$E$11))))</f>
        <v>11.640074396435377</v>
      </c>
      <c r="F29" s="1">
        <f t="shared" si="2"/>
        <v>-254.68599375755949</v>
      </c>
      <c r="G29" s="1">
        <f t="shared" si="0"/>
        <v>2.4619446967577873E-111</v>
      </c>
      <c r="H29" s="1">
        <f>G29/$G$21</f>
        <v>1.7264007256268493E-112</v>
      </c>
      <c r="I29">
        <f>IF($E$11&lt;=D29, IF(D29&lt;=$A$15,D29-$E$11,$F$11),0)</f>
        <v>0</v>
      </c>
      <c r="J29">
        <f>IF(D29&lt;=$A$15,0,D29-$A$15)</f>
        <v>0</v>
      </c>
      <c r="K29" s="5">
        <f>IF(D29&lt;$E$11,H29,0)</f>
        <v>1.7264007256268493E-112</v>
      </c>
      <c r="L29">
        <f>IF(D29&lt;$A$15,$C$11,$C$11*(1-$G$11))</f>
        <v>500</v>
      </c>
      <c r="M29">
        <f>IF(D29&lt;$A$15,0,1)</f>
        <v>0</v>
      </c>
    </row>
    <row r="30" spans="1:13" x14ac:dyDescent="0.2">
      <c r="D30">
        <f t="shared" si="1"/>
        <v>7</v>
      </c>
      <c r="E30" s="1">
        <f>IF($G$11=1,IF(D30&lt;=$A$15, E29+LN($C$11)-LN(60/$D$11)-LN(MIN(D30,$E$11)), E29-LN(60/$D$11)-LN(MIN(D30,$E$11))), IF(D30&lt;=$A$15, E29+LN($C$11)-LN(60/$D$11)-LN(MIN(D30,$E$11)), E29+LN($C$11)+LN(1-$G$11)-LN(60/$D$11)-LN(MIN(D30,$E$11))))</f>
        <v>12.730718515454312</v>
      </c>
      <c r="F30" s="1">
        <f t="shared" si="2"/>
        <v>-253.59534963854057</v>
      </c>
      <c r="G30" s="1">
        <f t="shared" si="0"/>
        <v>7.3272163593980713E-111</v>
      </c>
      <c r="H30" s="1">
        <f>G30/$G$21</f>
        <v>5.1380973976988821E-112</v>
      </c>
      <c r="I30">
        <f>IF($E$11&lt;=D30, IF(D30&lt;=$A$15,D30-$E$11,$F$11),0)</f>
        <v>0</v>
      </c>
      <c r="J30">
        <f>IF(D30&lt;=$A$15,0,D30-$A$15)</f>
        <v>0</v>
      </c>
      <c r="K30" s="5">
        <f>IF(D30&lt;$E$11,H30,0)</f>
        <v>5.1380973976988821E-112</v>
      </c>
      <c r="L30">
        <f>IF(D30&lt;$A$15,$C$11,$C$11*(1-$G$11))</f>
        <v>500</v>
      </c>
      <c r="M30">
        <f>IF(D30&lt;$A$15,0,1)</f>
        <v>0</v>
      </c>
    </row>
    <row r="31" spans="1:13" x14ac:dyDescent="0.2">
      <c r="D31">
        <f t="shared" si="1"/>
        <v>8</v>
      </c>
      <c r="E31" s="1">
        <f>IF($G$11=1,IF(D31&lt;=$A$15, E30+LN($C$11)-LN(60/$D$11)-LN(MIN(D31,$E$11)), E30-LN(60/$D$11)-LN(MIN(D31,$E$11))), IF(D31&lt;=$A$15, E30+LN($C$11)-LN(60/$D$11)-LN(MIN(D31,$E$11)), E30+LN($C$11)+LN(1-$G$11)-LN(60/$D$11)-LN(MIN(D31,$E$11))))</f>
        <v>13.687831241848722</v>
      </c>
      <c r="F31" s="1">
        <f t="shared" si="2"/>
        <v>-252.63823691214614</v>
      </c>
      <c r="G31" s="1">
        <f t="shared" si="0"/>
        <v>1.9081292602599477E-110</v>
      </c>
      <c r="H31" s="1">
        <f>G31/$G$21</f>
        <v>1.3380461973174406E-111</v>
      </c>
      <c r="I31">
        <f>IF($E$11&lt;=D31, IF(D31&lt;=$A$15,D31-$E$11,$F$11),0)</f>
        <v>0</v>
      </c>
      <c r="J31">
        <f>IF(D31&lt;=$A$15,0,D31-$A$15)</f>
        <v>0</v>
      </c>
      <c r="K31" s="5">
        <f>IF(D31&lt;$E$11,H31,0)</f>
        <v>1.3380461973174406E-111</v>
      </c>
      <c r="L31">
        <f>IF(D31&lt;$A$15,$C$11,$C$11*(1-$G$11))</f>
        <v>500</v>
      </c>
      <c r="M31">
        <f>IF(D31&lt;$A$15,0,1)</f>
        <v>0</v>
      </c>
    </row>
    <row r="32" spans="1:13" x14ac:dyDescent="0.2">
      <c r="D32">
        <f t="shared" si="1"/>
        <v>9</v>
      </c>
      <c r="E32" s="1">
        <f>IF($G$11=1,IF(D32&lt;=$A$15, E31+LN($C$11)-LN(60/$D$11)-LN(MIN(D32,$E$11)), E31-LN(60/$D$11)-LN(MIN(D32,$E$11))), IF(D32&lt;=$A$15, E31+LN($C$11)-LN(60/$D$11)-LN(MIN(D32,$E$11)), E31+LN($C$11)+LN(1-$G$11)-LN(60/$D$11)-LN(MIN(D32,$E$11))))</f>
        <v>14.527160932586748</v>
      </c>
      <c r="F32" s="1">
        <f t="shared" si="2"/>
        <v>-251.79890722140811</v>
      </c>
      <c r="G32" s="1">
        <f t="shared" si="0"/>
        <v>4.4169658802313576E-110</v>
      </c>
      <c r="H32" s="1">
        <f>G32/$G$21</f>
        <v>3.0973291604570365E-111</v>
      </c>
      <c r="I32">
        <f>IF($E$11&lt;=D32, IF(D32&lt;=$A$15,D32-$E$11,$F$11),0)</f>
        <v>0</v>
      </c>
      <c r="J32">
        <f>IF(D32&lt;=$A$15,0,D32-$A$15)</f>
        <v>0</v>
      </c>
      <c r="K32" s="5">
        <f>IF(D32&lt;$E$11,H32,0)</f>
        <v>0</v>
      </c>
      <c r="L32">
        <f>IF(D32&lt;$A$15,$C$11,$C$11*(1-$G$11))</f>
        <v>500</v>
      </c>
      <c r="M32">
        <f>IF(D32&lt;$A$15,0,1)</f>
        <v>0</v>
      </c>
    </row>
    <row r="33" spans="4:13" x14ac:dyDescent="0.2">
      <c r="D33">
        <f t="shared" si="1"/>
        <v>10</v>
      </c>
      <c r="E33" s="1">
        <f>IF($G$11=1,IF(D33&lt;=$A$15, E32+LN($C$11)-LN(60/$D$11)-LN(MIN(D33,$E$11)), E32-LN(60/$D$11)-LN(MIN(D33,$E$11))), IF(D33&lt;=$A$15, E32+LN($C$11)-LN(60/$D$11)-LN(MIN(D33,$E$11)), E32+LN($C$11)+LN(1-$G$11)-LN(60/$D$11)-LN(MIN(D33,$E$11))))</f>
        <v>15.366490623324774</v>
      </c>
      <c r="F33" s="1">
        <f t="shared" si="2"/>
        <v>-250.95957753067009</v>
      </c>
      <c r="G33" s="1">
        <f t="shared" si="0"/>
        <v>1.02244580560911E-109</v>
      </c>
      <c r="H33" s="1">
        <f>G33/$G$21</f>
        <v>7.1697434269838769E-111</v>
      </c>
      <c r="I33">
        <f>IF($E$11&lt;=D33, IF(D33&lt;=$A$15,D33-$E$11,$F$11),0)</f>
        <v>1</v>
      </c>
      <c r="J33">
        <f>IF(D33&lt;=$A$15,0,D33-$A$15)</f>
        <v>0</v>
      </c>
      <c r="K33" s="5">
        <f>IF(D33&lt;$E$11,H33,0)</f>
        <v>0</v>
      </c>
      <c r="L33">
        <f>IF(D33&lt;$A$15,$C$11,$C$11*(1-$G$11))</f>
        <v>500</v>
      </c>
      <c r="M33">
        <f>IF(D33&lt;$A$15,0,1)</f>
        <v>0</v>
      </c>
    </row>
    <row r="34" spans="4:13" x14ac:dyDescent="0.2">
      <c r="D34">
        <f t="shared" si="1"/>
        <v>11</v>
      </c>
      <c r="E34" s="1">
        <f>IF($G$11=1,IF(D34&lt;=$A$15, E33+LN($C$11)-LN(60/$D$11)-LN(MIN(D34,$E$11)), E33-LN(60/$D$11)-LN(MIN(D34,$E$11))), IF(D34&lt;=$A$15, E33+LN($C$11)-LN(60/$D$11)-LN(MIN(D34,$E$11)), E33+LN($C$11)+LN(1-$G$11)-LN(60/$D$11)-LN(MIN(D34,$E$11))))</f>
        <v>16.205820314062802</v>
      </c>
      <c r="F34" s="1">
        <f t="shared" si="2"/>
        <v>-250.12024783993206</v>
      </c>
      <c r="G34" s="1">
        <f t="shared" si="0"/>
        <v>2.3667726981692347E-109</v>
      </c>
      <c r="H34" s="1">
        <f>G34/$G$21</f>
        <v>1.6596628303203409E-110</v>
      </c>
      <c r="I34">
        <f>IF($E$11&lt;=D34, IF(D34&lt;=$A$15,D34-$E$11,$F$11),0)</f>
        <v>2</v>
      </c>
      <c r="J34">
        <f>IF(D34&lt;=$A$15,0,D34-$A$15)</f>
        <v>0</v>
      </c>
      <c r="K34" s="5">
        <f>IF(D34&lt;$E$11,H34,0)</f>
        <v>0</v>
      </c>
      <c r="L34">
        <f>IF(D34&lt;$A$15,$C$11,$C$11*(1-$G$11))</f>
        <v>500</v>
      </c>
      <c r="M34">
        <f>IF(D34&lt;$A$15,0,1)</f>
        <v>0</v>
      </c>
    </row>
    <row r="35" spans="4:13" x14ac:dyDescent="0.2">
      <c r="D35">
        <f t="shared" si="1"/>
        <v>12</v>
      </c>
      <c r="E35" s="1">
        <f>IF($G$11=1,IF(D35&lt;=$A$15, E34+LN($C$11)-LN(60/$D$11)-LN(MIN(D35,$E$11)), E34-LN(60/$D$11)-LN(MIN(D35,$E$11))), IF(D35&lt;=$A$15, E34+LN($C$11)-LN(60/$D$11)-LN(MIN(D35,$E$11)), E34+LN($C$11)+LN(1-$G$11)-LN(60/$D$11)-LN(MIN(D35,$E$11))))</f>
        <v>17.045150004800831</v>
      </c>
      <c r="F35" s="1">
        <f t="shared" si="2"/>
        <v>-249.28091814919404</v>
      </c>
      <c r="G35" s="1">
        <f t="shared" si="0"/>
        <v>5.4786405050213731E-109</v>
      </c>
      <c r="H35" s="1">
        <f>G35/$G$21</f>
        <v>3.8418121072230088E-110</v>
      </c>
      <c r="I35">
        <f>IF($E$11&lt;=D35, IF(D35&lt;=$A$15,D35-$E$11,$F$11),0)</f>
        <v>3</v>
      </c>
      <c r="J35">
        <f>IF(D35&lt;=$A$15,0,D35-$A$15)</f>
        <v>0</v>
      </c>
      <c r="K35" s="5">
        <f>IF(D35&lt;$E$11,H35,0)</f>
        <v>0</v>
      </c>
      <c r="L35">
        <f>IF(D35&lt;$A$15,$C$11,$C$11*(1-$G$11))</f>
        <v>500</v>
      </c>
      <c r="M35">
        <f>IF(D35&lt;$A$15,0,1)</f>
        <v>0</v>
      </c>
    </row>
    <row r="36" spans="4:13" x14ac:dyDescent="0.2">
      <c r="D36">
        <f t="shared" si="1"/>
        <v>13</v>
      </c>
      <c r="E36" s="1">
        <f>IF($G$11=1,IF(D36&lt;=$A$15, E35+LN($C$11)-LN(60/$D$11)-LN(MIN(D36,$E$11)), E35-LN(60/$D$11)-LN(MIN(D36,$E$11))), IF(D36&lt;=$A$15, E35+LN($C$11)-LN(60/$D$11)-LN(MIN(D36,$E$11)), E35+LN($C$11)+LN(1-$G$11)-LN(60/$D$11)-LN(MIN(D36,$E$11))))</f>
        <v>17.884479695538857</v>
      </c>
      <c r="F36" s="1">
        <f t="shared" si="2"/>
        <v>-248.44158845845601</v>
      </c>
      <c r="G36" s="1">
        <f t="shared" si="0"/>
        <v>1.2682038206067984E-108</v>
      </c>
      <c r="H36" s="1">
        <f>G36/$G$21</f>
        <v>8.8930835815347356E-110</v>
      </c>
      <c r="I36">
        <f>IF($E$11&lt;=D36, IF(D36&lt;=$A$15,D36-$E$11,$F$11),0)</f>
        <v>4</v>
      </c>
      <c r="J36">
        <f>IF(D36&lt;=$A$15,0,D36-$A$15)</f>
        <v>0</v>
      </c>
      <c r="K36" s="5">
        <f>IF(D36&lt;$E$11,H36,0)</f>
        <v>0</v>
      </c>
      <c r="L36">
        <f>IF(D36&lt;$A$15,$C$11,$C$11*(1-$G$11))</f>
        <v>500</v>
      </c>
      <c r="M36">
        <f>IF(D36&lt;$A$15,0,1)</f>
        <v>0</v>
      </c>
    </row>
    <row r="37" spans="4:13" x14ac:dyDescent="0.2">
      <c r="D37">
        <f t="shared" si="1"/>
        <v>14</v>
      </c>
      <c r="E37" s="1">
        <f>IF($G$11=1,IF(D37&lt;=$A$15, E36+LN($C$11)-LN(60/$D$11)-LN(MIN(D37,$E$11)), E36-LN(60/$D$11)-LN(MIN(D37,$E$11))), IF(D37&lt;=$A$15, E36+LN($C$11)-LN(60/$D$11)-LN(MIN(D37,$E$11)), E36+LN($C$11)+LN(1-$G$11)-LN(60/$D$11)-LN(MIN(D37,$E$11))))</f>
        <v>18.723809386276884</v>
      </c>
      <c r="F37" s="1">
        <f t="shared" si="2"/>
        <v>-247.60225876771798</v>
      </c>
      <c r="G37" s="1">
        <f t="shared" si="0"/>
        <v>2.9356569921453646E-108</v>
      </c>
      <c r="H37" s="1">
        <f>G37/$G$21</f>
        <v>2.0585841623922987E-109</v>
      </c>
      <c r="I37">
        <f>IF($E$11&lt;=D37, IF(D37&lt;=$A$15,D37-$E$11,$F$11),0)</f>
        <v>5</v>
      </c>
      <c r="J37">
        <f>IF(D37&lt;=$A$15,0,D37-$A$15)</f>
        <v>0</v>
      </c>
      <c r="K37" s="5">
        <f>IF(D37&lt;$E$11,H37,0)</f>
        <v>0</v>
      </c>
      <c r="L37">
        <f>IF(D37&lt;$A$15,$C$11,$C$11*(1-$G$11))</f>
        <v>500</v>
      </c>
      <c r="M37">
        <f>IF(D37&lt;$A$15,0,1)</f>
        <v>0</v>
      </c>
    </row>
    <row r="38" spans="4:13" x14ac:dyDescent="0.2">
      <c r="D38">
        <f t="shared" si="1"/>
        <v>15</v>
      </c>
      <c r="E38" s="1">
        <f>IF($G$11=1,IF(D38&lt;=$A$15, E37+LN($C$11)-LN(60/$D$11)-LN(MIN(D38,$E$11)), E37-LN(60/$D$11)-LN(MIN(D38,$E$11))), IF(D38&lt;=$A$15, E37+LN($C$11)-LN(60/$D$11)-LN(MIN(D38,$E$11)), E37+LN($C$11)+LN(1-$G$11)-LN(60/$D$11)-LN(MIN(D38,$E$11))))</f>
        <v>19.56313907701491</v>
      </c>
      <c r="F38" s="1">
        <f t="shared" si="2"/>
        <v>-246.76292907697996</v>
      </c>
      <c r="G38" s="1">
        <f t="shared" si="0"/>
        <v>6.7955022966327842E-108</v>
      </c>
      <c r="H38" s="1">
        <f>G38/$G$21</f>
        <v>4.7652411166488363E-109</v>
      </c>
      <c r="I38">
        <f>IF($E$11&lt;=D38, IF(D38&lt;=$A$15,D38-$E$11,$F$11),0)</f>
        <v>6</v>
      </c>
      <c r="J38">
        <f>IF(D38&lt;=$A$15,0,D38-$A$15)</f>
        <v>0</v>
      </c>
      <c r="K38" s="5">
        <f>IF(D38&lt;$E$11,H38,0)</f>
        <v>0</v>
      </c>
      <c r="L38">
        <f>IF(D38&lt;$A$15,$C$11,$C$11*(1-$G$11))</f>
        <v>500</v>
      </c>
      <c r="M38">
        <f>IF(D38&lt;$A$15,0,1)</f>
        <v>0</v>
      </c>
    </row>
    <row r="39" spans="4:13" x14ac:dyDescent="0.2">
      <c r="D39">
        <f t="shared" si="1"/>
        <v>16</v>
      </c>
      <c r="E39" s="1">
        <f>IF($G$11=1,IF(D39&lt;=$A$15, E38+LN($C$11)-LN(60/$D$11)-LN(MIN(D39,$E$11)), E38-LN(60/$D$11)-LN(MIN(D39,$E$11))), IF(D39&lt;=$A$15, E38+LN($C$11)-LN(60/$D$11)-LN(MIN(D39,$E$11)), E38+LN($C$11)+LN(1-$G$11)-LN(60/$D$11)-LN(MIN(D39,$E$11))))</f>
        <v>20.402468767752936</v>
      </c>
      <c r="F39" s="1">
        <f t="shared" si="2"/>
        <v>-245.92359938624193</v>
      </c>
      <c r="G39" s="1">
        <f t="shared" si="0"/>
        <v>1.5730329390353658E-107</v>
      </c>
      <c r="H39" s="1">
        <f>G39/$G$21</f>
        <v>1.1030650732983412E-108</v>
      </c>
      <c r="I39">
        <f>IF($E$11&lt;=D39, IF(D39&lt;=$A$15,D39-$E$11,$F$11),0)</f>
        <v>7</v>
      </c>
      <c r="J39">
        <f>IF(D39&lt;=$A$15,0,D39-$A$15)</f>
        <v>0</v>
      </c>
      <c r="K39" s="5">
        <f>IF(D39&lt;$E$11,H39,0)</f>
        <v>0</v>
      </c>
      <c r="L39">
        <f>IF(D39&lt;$A$15,$C$11,$C$11*(1-$G$11))</f>
        <v>500</v>
      </c>
      <c r="M39">
        <f>IF(D39&lt;$A$15,0,1)</f>
        <v>0</v>
      </c>
    </row>
    <row r="40" spans="4:13" x14ac:dyDescent="0.2">
      <c r="D40">
        <f t="shared" si="1"/>
        <v>17</v>
      </c>
      <c r="E40" s="1">
        <f>IF($G$11=1,IF(D40&lt;=$A$15, E39+LN($C$11)-LN(60/$D$11)-LN(MIN(D40,$E$11)), E39-LN(60/$D$11)-LN(MIN(D40,$E$11))), IF(D40&lt;=$A$15, E39+LN($C$11)-LN(60/$D$11)-LN(MIN(D40,$E$11)), E39+LN($C$11)+LN(1-$G$11)-LN(60/$D$11)-LN(MIN(D40,$E$11))))</f>
        <v>21.241798458490962</v>
      </c>
      <c r="F40" s="1">
        <f t="shared" si="2"/>
        <v>-245.08426969550391</v>
      </c>
      <c r="G40" s="1">
        <f t="shared" si="0"/>
        <v>3.6412799514707517E-107</v>
      </c>
      <c r="H40" s="1">
        <f>G40/$G$21</f>
        <v>2.5533913733757877E-108</v>
      </c>
      <c r="I40">
        <f>IF($E$11&lt;=D40, IF(D40&lt;=$A$15,D40-$E$11,$F$11),0)</f>
        <v>8</v>
      </c>
      <c r="J40">
        <f>IF(D40&lt;=$A$15,0,D40-$A$15)</f>
        <v>0</v>
      </c>
      <c r="K40" s="5">
        <f>IF(D40&lt;$E$11,H40,0)</f>
        <v>0</v>
      </c>
      <c r="L40">
        <f>IF(D40&lt;$A$15,$C$11,$C$11*(1-$G$11))</f>
        <v>500</v>
      </c>
      <c r="M40">
        <f>IF(D40&lt;$A$15,0,1)</f>
        <v>0</v>
      </c>
    </row>
    <row r="41" spans="4:13" x14ac:dyDescent="0.2">
      <c r="D41">
        <f t="shared" si="1"/>
        <v>18</v>
      </c>
      <c r="E41" s="1">
        <f>IF($G$11=1,IF(D41&lt;=$A$15, E40+LN($C$11)-LN(60/$D$11)-LN(MIN(D41,$E$11)), E40-LN(60/$D$11)-LN(MIN(D41,$E$11))), IF(D41&lt;=$A$15, E40+LN($C$11)-LN(60/$D$11)-LN(MIN(D41,$E$11)), E40+LN($C$11)+LN(1-$G$11)-LN(60/$D$11)-LN(MIN(D41,$E$11))))</f>
        <v>22.081128149228988</v>
      </c>
      <c r="F41" s="1">
        <f t="shared" si="2"/>
        <v>-244.24494000476588</v>
      </c>
      <c r="G41" s="1">
        <f t="shared" si="0"/>
        <v>8.4288887765526614E-107</v>
      </c>
      <c r="H41" s="1">
        <f>G41/$G$21</f>
        <v>5.9106281791106171E-108</v>
      </c>
      <c r="I41">
        <f>IF($E$11&lt;=D41, IF(D41&lt;=$A$15,D41-$E$11,$F$11),0)</f>
        <v>9</v>
      </c>
      <c r="J41">
        <f>IF(D41&lt;=$A$15,0,D41-$A$15)</f>
        <v>0</v>
      </c>
      <c r="K41" s="5">
        <f>IF(D41&lt;$E$11,H41,0)</f>
        <v>0</v>
      </c>
      <c r="L41">
        <f>IF(D41&lt;$A$15,$C$11,$C$11*(1-$G$11))</f>
        <v>500</v>
      </c>
      <c r="M41">
        <f>IF(D41&lt;$A$15,0,1)</f>
        <v>0</v>
      </c>
    </row>
    <row r="42" spans="4:13" x14ac:dyDescent="0.2">
      <c r="D42">
        <f t="shared" si="1"/>
        <v>19</v>
      </c>
      <c r="E42" s="1">
        <f>IF($G$11=1,IF(D42&lt;=$A$15, E41+LN($C$11)-LN(60/$D$11)-LN(MIN(D42,$E$11)), E41-LN(60/$D$11)-LN(MIN(D42,$E$11))), IF(D42&lt;=$A$15, E41+LN($C$11)-LN(60/$D$11)-LN(MIN(D42,$E$11)), E41+LN($C$11)+LN(1-$G$11)-LN(60/$D$11)-LN(MIN(D42,$E$11))))</f>
        <v>22.920457839967014</v>
      </c>
      <c r="F42" s="1">
        <f t="shared" si="2"/>
        <v>-243.40561031402785</v>
      </c>
      <c r="G42" s="1">
        <f t="shared" si="0"/>
        <v>1.9511316612390406E-106</v>
      </c>
      <c r="H42" s="1">
        <f>G42/$G$21</f>
        <v>1.3682009673867159E-107</v>
      </c>
      <c r="I42">
        <f>IF($E$11&lt;=D42, IF(D42&lt;=$A$15,D42-$E$11,$F$11),0)</f>
        <v>10</v>
      </c>
      <c r="J42">
        <f>IF(D42&lt;=$A$15,0,D42-$A$15)</f>
        <v>0</v>
      </c>
      <c r="K42" s="5">
        <f>IF(D42&lt;$E$11,H42,0)</f>
        <v>0</v>
      </c>
      <c r="L42">
        <f>IF(D42&lt;$A$15,$C$11,$C$11*(1-$G$11))</f>
        <v>500</v>
      </c>
      <c r="M42">
        <f>IF(D42&lt;$A$15,0,1)</f>
        <v>0</v>
      </c>
    </row>
    <row r="43" spans="4:13" x14ac:dyDescent="0.2">
      <c r="D43">
        <f t="shared" si="1"/>
        <v>20</v>
      </c>
      <c r="E43" s="1">
        <f>IF($G$11=1,IF(D43&lt;=$A$15, E42+LN($C$11)-LN(60/$D$11)-LN(MIN(D43,$E$11)), E42-LN(60/$D$11)-LN(MIN(D43,$E$11))), IF(D43&lt;=$A$15, E42+LN($C$11)-LN(60/$D$11)-LN(MIN(D43,$E$11)), E42+LN($C$11)+LN(1-$G$11)-LN(60/$D$11)-LN(MIN(D43,$E$11))))</f>
        <v>23.75978753070504</v>
      </c>
      <c r="F43" s="1">
        <f t="shared" si="2"/>
        <v>-242.56628062328983</v>
      </c>
      <c r="G43" s="1">
        <f t="shared" si="0"/>
        <v>4.5165084750903691E-106</v>
      </c>
      <c r="H43" s="1">
        <f>G43/$G$21</f>
        <v>3.1671318689507296E-107</v>
      </c>
      <c r="I43">
        <f>IF($E$11&lt;=D43, IF(D43&lt;=$A$15,D43-$E$11,$F$11),0)</f>
        <v>11</v>
      </c>
      <c r="J43">
        <f>IF(D43&lt;=$A$15,0,D43-$A$15)</f>
        <v>0</v>
      </c>
      <c r="K43" s="5">
        <f>IF(D43&lt;$E$11,H43,0)</f>
        <v>0</v>
      </c>
      <c r="L43">
        <f>IF(D43&lt;$A$15,$C$11,$C$11*(1-$G$11))</f>
        <v>500</v>
      </c>
      <c r="M43">
        <f>IF(D43&lt;$A$15,0,1)</f>
        <v>0</v>
      </c>
    </row>
    <row r="44" spans="4:13" x14ac:dyDescent="0.2">
      <c r="D44">
        <f t="shared" si="1"/>
        <v>21</v>
      </c>
      <c r="E44" s="1">
        <f>IF($G$11=1,IF(D44&lt;=$A$15, E43+LN($C$11)-LN(60/$D$11)-LN(MIN(D44,$E$11)), E43-LN(60/$D$11)-LN(MIN(D44,$E$11))), IF(D44&lt;=$A$15, E43+LN($C$11)-LN(60/$D$11)-LN(MIN(D44,$E$11)), E43+LN($C$11)+LN(1-$G$11)-LN(60/$D$11)-LN(MIN(D44,$E$11))))</f>
        <v>24.599117221443066</v>
      </c>
      <c r="F44" s="1">
        <f t="shared" si="2"/>
        <v>-241.7269509325518</v>
      </c>
      <c r="G44" s="1">
        <f t="shared" si="0"/>
        <v>1.0454880729375847E-105</v>
      </c>
      <c r="H44" s="1">
        <f>G44/$G$21</f>
        <v>7.3313237707192751E-107</v>
      </c>
      <c r="I44">
        <f>IF($E$11&lt;=D44, IF(D44&lt;=$A$15,D44-$E$11,$F$11),0)</f>
        <v>12</v>
      </c>
      <c r="J44">
        <f>IF(D44&lt;=$A$15,0,D44-$A$15)</f>
        <v>0</v>
      </c>
      <c r="K44" s="5">
        <f>IF(D44&lt;$E$11,H44,0)</f>
        <v>0</v>
      </c>
      <c r="L44">
        <f>IF(D44&lt;$A$15,$C$11,$C$11*(1-$G$11))</f>
        <v>500</v>
      </c>
      <c r="M44">
        <f>IF(D44&lt;$A$15,0,1)</f>
        <v>0</v>
      </c>
    </row>
    <row r="45" spans="4:13" x14ac:dyDescent="0.2">
      <c r="D45">
        <f t="shared" si="1"/>
        <v>22</v>
      </c>
      <c r="E45" s="1">
        <f>IF($G$11=1,IF(D45&lt;=$A$15, E44+LN($C$11)-LN(60/$D$11)-LN(MIN(D45,$E$11)), E44-LN(60/$D$11)-LN(MIN(D45,$E$11))), IF(D45&lt;=$A$15, E44+LN($C$11)-LN(60/$D$11)-LN(MIN(D45,$E$11)), E44+LN($C$11)+LN(1-$G$11)-LN(60/$D$11)-LN(MIN(D45,$E$11))))</f>
        <v>25.438446912181092</v>
      </c>
      <c r="F45" s="1">
        <f t="shared" si="2"/>
        <v>-240.88762124181378</v>
      </c>
      <c r="G45" s="1">
        <f t="shared" si="0"/>
        <v>2.4201112799481114E-105</v>
      </c>
      <c r="H45" s="1">
        <f>G45/$G$21</f>
        <v>1.6970656876664982E-106</v>
      </c>
      <c r="I45">
        <f>IF($E$11&lt;=D45, IF(D45&lt;=$A$15,D45-$E$11,$F$11),0)</f>
        <v>13</v>
      </c>
      <c r="J45">
        <f>IF(D45&lt;=$A$15,0,D45-$A$15)</f>
        <v>0</v>
      </c>
      <c r="K45" s="5">
        <f>IF(D45&lt;$E$11,H45,0)</f>
        <v>0</v>
      </c>
      <c r="L45">
        <f>IF(D45&lt;$A$15,$C$11,$C$11*(1-$G$11))</f>
        <v>500</v>
      </c>
      <c r="M45">
        <f>IF(D45&lt;$A$15,0,1)</f>
        <v>0</v>
      </c>
    </row>
    <row r="46" spans="4:13" x14ac:dyDescent="0.2">
      <c r="D46">
        <f t="shared" si="1"/>
        <v>23</v>
      </c>
      <c r="E46" s="1">
        <f>IF($G$11=1,IF(D46&lt;=$A$15, E45+LN($C$11)-LN(60/$D$11)-LN(MIN(D46,$E$11)), E45-LN(60/$D$11)-LN(MIN(D46,$E$11))), IF(D46&lt;=$A$15, E45+LN($C$11)-LN(60/$D$11)-LN(MIN(D46,$E$11)), E45+LN($C$11)+LN(1-$G$11)-LN(60/$D$11)-LN(MIN(D46,$E$11))))</f>
        <v>26.277776602919118</v>
      </c>
      <c r="F46" s="1">
        <f t="shared" si="2"/>
        <v>-240.04829155107575</v>
      </c>
      <c r="G46" s="1">
        <f t="shared" si="0"/>
        <v>5.6021094443243283E-105</v>
      </c>
      <c r="H46" s="1">
        <f>G46/$G$21</f>
        <v>3.9283927955242986E-106</v>
      </c>
      <c r="I46">
        <f>IF($E$11&lt;=D46, IF(D46&lt;=$A$15,D46-$E$11,$F$11),0)</f>
        <v>14</v>
      </c>
      <c r="J46">
        <f>IF(D46&lt;=$A$15,0,D46-$A$15)</f>
        <v>0</v>
      </c>
      <c r="K46" s="5">
        <f>IF(D46&lt;$E$11,H46,0)</f>
        <v>0</v>
      </c>
      <c r="L46">
        <f>IF(D46&lt;$A$15,$C$11,$C$11*(1-$G$11))</f>
        <v>500</v>
      </c>
      <c r="M46">
        <f>IF(D46&lt;$A$15,0,1)</f>
        <v>0</v>
      </c>
    </row>
    <row r="47" spans="4:13" x14ac:dyDescent="0.2">
      <c r="D47">
        <f t="shared" si="1"/>
        <v>24</v>
      </c>
      <c r="E47" s="1">
        <f>IF($G$11=1,IF(D47&lt;=$A$15, E46+LN($C$11)-LN(60/$D$11)-LN(MIN(D47,$E$11)), E46-LN(60/$D$11)-LN(MIN(D47,$E$11))), IF(D47&lt;=$A$15, E46+LN($C$11)-LN(60/$D$11)-LN(MIN(D47,$E$11)), E46+LN($C$11)+LN(1-$G$11)-LN(60/$D$11)-LN(MIN(D47,$E$11))))</f>
        <v>27.117106293657145</v>
      </c>
      <c r="F47" s="1">
        <f t="shared" si="2"/>
        <v>-239.20896186033772</v>
      </c>
      <c r="G47" s="1">
        <f t="shared" si="0"/>
        <v>1.2967845935935936E-104</v>
      </c>
      <c r="H47" s="1">
        <f>G47/$G$21</f>
        <v>9.0935018414914246E-106</v>
      </c>
      <c r="I47">
        <f>IF($E$11&lt;=D47, IF(D47&lt;=$A$15,D47-$E$11,$F$11),0)</f>
        <v>15</v>
      </c>
      <c r="J47">
        <f>IF(D47&lt;=$A$15,0,D47-$A$15)</f>
        <v>0</v>
      </c>
      <c r="K47" s="5">
        <f>IF(D47&lt;$E$11,H47,0)</f>
        <v>0</v>
      </c>
      <c r="L47">
        <f>IF(D47&lt;$A$15,$C$11,$C$11*(1-$G$11))</f>
        <v>500</v>
      </c>
      <c r="M47">
        <f>IF(D47&lt;$A$15,0,1)</f>
        <v>0</v>
      </c>
    </row>
    <row r="48" spans="4:13" x14ac:dyDescent="0.2">
      <c r="D48">
        <f t="shared" si="1"/>
        <v>25</v>
      </c>
      <c r="E48" s="1">
        <f>IF($G$11=1,IF(D48&lt;=$A$15, E47+LN($C$11)-LN(60/$D$11)-LN(MIN(D48,$E$11)), E47-LN(60/$D$11)-LN(MIN(D48,$E$11))), IF(D48&lt;=$A$15, E47+LN($C$11)-LN(60/$D$11)-LN(MIN(D48,$E$11)), E47+LN($C$11)+LN(1-$G$11)-LN(60/$D$11)-LN(MIN(D48,$E$11))))</f>
        <v>27.956435984395171</v>
      </c>
      <c r="F48" s="1">
        <f t="shared" si="2"/>
        <v>-238.3696321695997</v>
      </c>
      <c r="G48" s="1">
        <f t="shared" si="0"/>
        <v>3.0018161888740577E-104</v>
      </c>
      <c r="H48" s="1">
        <f>G48/$G$21</f>
        <v>2.1049772781230142E-105</v>
      </c>
      <c r="I48">
        <f>IF($E$11&lt;=D48, IF(D48&lt;=$A$15,D48-$E$11,$F$11),0)</f>
        <v>16</v>
      </c>
      <c r="J48">
        <f>IF(D48&lt;=$A$15,0,D48-$A$15)</f>
        <v>0</v>
      </c>
      <c r="K48" s="5">
        <f>IF(D48&lt;$E$11,H48,0)</f>
        <v>0</v>
      </c>
      <c r="L48">
        <f>IF(D48&lt;$A$15,$C$11,$C$11*(1-$G$11))</f>
        <v>500</v>
      </c>
      <c r="M48">
        <f>IF(D48&lt;$A$15,0,1)</f>
        <v>0</v>
      </c>
    </row>
    <row r="49" spans="4:13" x14ac:dyDescent="0.2">
      <c r="D49">
        <f t="shared" si="1"/>
        <v>26</v>
      </c>
      <c r="E49" s="1">
        <f>IF($G$11=1,IF(D49&lt;=$A$15, E48+LN($C$11)-LN(60/$D$11)-LN(MIN(D49,$E$11)), E48-LN(60/$D$11)-LN(MIN(D49,$E$11))), IF(D49&lt;=$A$15, E48+LN($C$11)-LN(60/$D$11)-LN(MIN(D49,$E$11)), E48+LN($C$11)+LN(1-$G$11)-LN(60/$D$11)-LN(MIN(D49,$E$11))))</f>
        <v>28.795765675133197</v>
      </c>
      <c r="F49" s="1">
        <f t="shared" si="2"/>
        <v>-237.53030247886167</v>
      </c>
      <c r="G49" s="1">
        <f t="shared" si="0"/>
        <v>6.9486485853566097E-104</v>
      </c>
      <c r="H49" s="1">
        <f>G49/$G$21</f>
        <v>4.8726325882477143E-105</v>
      </c>
      <c r="I49">
        <f>IF($E$11&lt;=D49, IF(D49&lt;=$A$15,D49-$E$11,$F$11),0)</f>
        <v>17</v>
      </c>
      <c r="J49">
        <f>IF(D49&lt;=$A$15,0,D49-$A$15)</f>
        <v>0</v>
      </c>
      <c r="K49" s="5">
        <f>IF(D49&lt;$E$11,H49,0)</f>
        <v>0</v>
      </c>
      <c r="L49">
        <f>IF(D49&lt;$A$15,$C$11,$C$11*(1-$G$11))</f>
        <v>500</v>
      </c>
      <c r="M49">
        <f>IF(D49&lt;$A$15,0,1)</f>
        <v>0</v>
      </c>
    </row>
    <row r="50" spans="4:13" x14ac:dyDescent="0.2">
      <c r="D50">
        <f t="shared" si="1"/>
        <v>27</v>
      </c>
      <c r="E50" s="1">
        <f>IF($G$11=1,IF(D50&lt;=$A$15, E49+LN($C$11)-LN(60/$D$11)-LN(MIN(D50,$E$11)), E49-LN(60/$D$11)-LN(MIN(D50,$E$11))), IF(D50&lt;=$A$15, E49+LN($C$11)-LN(60/$D$11)-LN(MIN(D50,$E$11)), E49+LN($C$11)+LN(1-$G$11)-LN(60/$D$11)-LN(MIN(D50,$E$11))))</f>
        <v>29.635095365871223</v>
      </c>
      <c r="F50" s="1">
        <f t="shared" si="2"/>
        <v>-236.69097278812364</v>
      </c>
      <c r="G50" s="1">
        <f t="shared" si="0"/>
        <v>1.6084834688325476E-103</v>
      </c>
      <c r="H50" s="1">
        <f>G50/$G$21</f>
        <v>1.1279242102425256E-104</v>
      </c>
      <c r="I50">
        <f>IF($E$11&lt;=D50, IF(D50&lt;=$A$15,D50-$E$11,$F$11),0)</f>
        <v>18</v>
      </c>
      <c r="J50">
        <f>IF(D50&lt;=$A$15,0,D50-$A$15)</f>
        <v>0</v>
      </c>
      <c r="K50" s="5">
        <f>IF(D50&lt;$E$11,H50,0)</f>
        <v>0</v>
      </c>
      <c r="L50">
        <f>IF(D50&lt;$A$15,$C$11,$C$11*(1-$G$11))</f>
        <v>500</v>
      </c>
      <c r="M50">
        <f>IF(D50&lt;$A$15,0,1)</f>
        <v>0</v>
      </c>
    </row>
    <row r="51" spans="4:13" x14ac:dyDescent="0.2">
      <c r="D51">
        <f t="shared" si="1"/>
        <v>28</v>
      </c>
      <c r="E51" s="1">
        <f>IF($G$11=1,IF(D51&lt;=$A$15, E50+LN($C$11)-LN(60/$D$11)-LN(MIN(D51,$E$11)), E50-LN(60/$D$11)-LN(MIN(D51,$E$11))), IF(D51&lt;=$A$15, E50+LN($C$11)-LN(60/$D$11)-LN(MIN(D51,$E$11)), E50+LN($C$11)+LN(1-$G$11)-LN(60/$D$11)-LN(MIN(D51,$E$11))))</f>
        <v>30.474425056609245</v>
      </c>
      <c r="F51" s="1">
        <f t="shared" si="2"/>
        <v>-235.85164309738562</v>
      </c>
      <c r="G51" s="1">
        <f t="shared" si="0"/>
        <v>3.7233413630383022E-103</v>
      </c>
      <c r="H51" s="1">
        <f>G51/$G$21</f>
        <v>2.6109356718576968E-104</v>
      </c>
      <c r="I51">
        <f>IF($E$11&lt;=D51, IF(D51&lt;=$A$15,D51-$E$11,$F$11),0)</f>
        <v>19</v>
      </c>
      <c r="J51">
        <f>IF(D51&lt;=$A$15,0,D51-$A$15)</f>
        <v>0</v>
      </c>
      <c r="K51" s="5">
        <f>IF(D51&lt;$E$11,H51,0)</f>
        <v>0</v>
      </c>
      <c r="L51">
        <f>IF(D51&lt;$A$15,$C$11,$C$11*(1-$G$11))</f>
        <v>500</v>
      </c>
      <c r="M51">
        <f>IF(D51&lt;$A$15,0,1)</f>
        <v>0</v>
      </c>
    </row>
    <row r="52" spans="4:13" x14ac:dyDescent="0.2">
      <c r="D52">
        <f t="shared" si="1"/>
        <v>29</v>
      </c>
      <c r="E52" s="1">
        <f>IF($G$11=1,IF(D52&lt;=$A$15, E51+LN($C$11)-LN(60/$D$11)-LN(MIN(D52,$E$11)), E51-LN(60/$D$11)-LN(MIN(D52,$E$11))), IF(D52&lt;=$A$15, E51+LN($C$11)-LN(60/$D$11)-LN(MIN(D52,$E$11)), E51+LN($C$11)+LN(1-$G$11)-LN(60/$D$11)-LN(MIN(D52,$E$11))))</f>
        <v>31.313754747347271</v>
      </c>
      <c r="F52" s="1">
        <f t="shared" si="2"/>
        <v>-235.01231340664759</v>
      </c>
      <c r="G52" s="1">
        <f t="shared" si="0"/>
        <v>8.6188457477738418E-103</v>
      </c>
      <c r="H52" s="1">
        <f>G52/$G$21</f>
        <v>6.0438325737446643E-104</v>
      </c>
      <c r="I52">
        <f>IF($E$11&lt;=D52, IF(D52&lt;=$A$15,D52-$E$11,$F$11),0)</f>
        <v>20</v>
      </c>
      <c r="J52">
        <f>IF(D52&lt;=$A$15,0,D52-$A$15)</f>
        <v>0</v>
      </c>
      <c r="K52" s="5">
        <f>IF(D52&lt;$E$11,H52,0)</f>
        <v>0</v>
      </c>
      <c r="L52">
        <f>IF(D52&lt;$A$15,$C$11,$C$11*(1-$G$11))</f>
        <v>500</v>
      </c>
      <c r="M52">
        <f>IF(D52&lt;$A$15,0,1)</f>
        <v>0</v>
      </c>
    </row>
    <row r="53" spans="4:13" x14ac:dyDescent="0.2">
      <c r="D53">
        <f t="shared" si="1"/>
        <v>30</v>
      </c>
      <c r="E53" s="1">
        <f>IF($G$11=1,IF(D53&lt;=$A$15, E52+LN($C$11)-LN(60/$D$11)-LN(MIN(D53,$E$11)), E52-LN(60/$D$11)-LN(MIN(D53,$E$11))), IF(D53&lt;=$A$15, E52+LN($C$11)-LN(60/$D$11)-LN(MIN(D53,$E$11)), E52+LN($C$11)+LN(1-$G$11)-LN(60/$D$11)-LN(MIN(D53,$E$11))))</f>
        <v>32.153084438085294</v>
      </c>
      <c r="F53" s="1">
        <f t="shared" si="2"/>
        <v>-234.17298371590957</v>
      </c>
      <c r="G53" s="1">
        <f t="shared" si="0"/>
        <v>1.9951031823550549E-102</v>
      </c>
      <c r="H53" s="1">
        <f>G53/$G$21</f>
        <v>1.3990353179964494E-103</v>
      </c>
      <c r="I53">
        <f>IF($E$11&lt;=D53, IF(D53&lt;=$A$15,D53-$E$11,$F$11),0)</f>
        <v>21</v>
      </c>
      <c r="J53">
        <f>IF(D53&lt;=$A$15,0,D53-$A$15)</f>
        <v>0</v>
      </c>
      <c r="K53" s="5">
        <f>IF(D53&lt;$E$11,H53,0)</f>
        <v>0</v>
      </c>
      <c r="L53">
        <f>IF(D53&lt;$A$15,$C$11,$C$11*(1-$G$11))</f>
        <v>500</v>
      </c>
      <c r="M53">
        <f>IF(D53&lt;$A$15,0,1)</f>
        <v>0</v>
      </c>
    </row>
    <row r="54" spans="4:13" x14ac:dyDescent="0.2">
      <c r="D54">
        <f t="shared" si="1"/>
        <v>31</v>
      </c>
      <c r="E54" s="1">
        <f>IF($G$11=1,IF(D54&lt;=$A$15, E53+LN($C$11)-LN(60/$D$11)-LN(MIN(D54,$E$11)), E53-LN(60/$D$11)-LN(MIN(D54,$E$11))), IF(D54&lt;=$A$15, E53+LN($C$11)-LN(60/$D$11)-LN(MIN(D54,$E$11)), E53+LN($C$11)+LN(1-$G$11)-LN(60/$D$11)-LN(MIN(D54,$E$11))))</f>
        <v>32.992414128823313</v>
      </c>
      <c r="F54" s="1">
        <f t="shared" si="2"/>
        <v>-233.33365402517154</v>
      </c>
      <c r="G54" s="1">
        <f t="shared" si="0"/>
        <v>4.6182944035996608E-102</v>
      </c>
      <c r="H54" s="1">
        <f>G54/$G$21</f>
        <v>3.238507680547334E-103</v>
      </c>
      <c r="I54">
        <f>IF($E$11&lt;=D54, IF(D54&lt;=$A$15,D54-$E$11,$F$11),0)</f>
        <v>22</v>
      </c>
      <c r="J54">
        <f>IF(D54&lt;=$A$15,0,D54-$A$15)</f>
        <v>0</v>
      </c>
      <c r="K54" s="5">
        <f>IF(D54&lt;$E$11,H54,0)</f>
        <v>0</v>
      </c>
      <c r="L54">
        <f>IF(D54&lt;$A$15,$C$11,$C$11*(1-$G$11))</f>
        <v>500</v>
      </c>
      <c r="M54">
        <f>IF(D54&lt;$A$15,0,1)</f>
        <v>0</v>
      </c>
    </row>
    <row r="55" spans="4:13" x14ac:dyDescent="0.2">
      <c r="D55">
        <f t="shared" si="1"/>
        <v>32</v>
      </c>
      <c r="E55" s="1">
        <f>IF($G$11=1,IF(D55&lt;=$A$15, E54+LN($C$11)-LN(60/$D$11)-LN(MIN(D55,$E$11)), E54-LN(60/$D$11)-LN(MIN(D55,$E$11))), IF(D55&lt;=$A$15, E54+LN($C$11)-LN(60/$D$11)-LN(MIN(D55,$E$11)), E54+LN($C$11)+LN(1-$G$11)-LN(60/$D$11)-LN(MIN(D55,$E$11))))</f>
        <v>33.831743819561332</v>
      </c>
      <c r="F55" s="1">
        <f t="shared" si="2"/>
        <v>-232.49432433443354</v>
      </c>
      <c r="G55" s="1">
        <f t="shared" si="0"/>
        <v>1.0690496304628533E-101</v>
      </c>
      <c r="H55" s="1">
        <f>G55/$G$21</f>
        <v>7.4965455568223143E-103</v>
      </c>
      <c r="I55">
        <f>IF($E$11&lt;=D55, IF(D55&lt;=$A$15,D55-$E$11,$F$11),0)</f>
        <v>23</v>
      </c>
      <c r="J55">
        <f>IF(D55&lt;=$A$15,0,D55-$A$15)</f>
        <v>0</v>
      </c>
      <c r="K55" s="5">
        <f>IF(D55&lt;$E$11,H55,0)</f>
        <v>0</v>
      </c>
      <c r="L55">
        <f>IF(D55&lt;$A$15,$C$11,$C$11*(1-$G$11))</f>
        <v>500</v>
      </c>
      <c r="M55">
        <f>IF(D55&lt;$A$15,0,1)</f>
        <v>0</v>
      </c>
    </row>
    <row r="56" spans="4:13" x14ac:dyDescent="0.2">
      <c r="D56">
        <f t="shared" si="1"/>
        <v>33</v>
      </c>
      <c r="E56" s="1">
        <f>IF($G$11=1,IF(D56&lt;=$A$15, E55+LN($C$11)-LN(60/$D$11)-LN(MIN(D56,$E$11)), E55-LN(60/$D$11)-LN(MIN(D56,$E$11))), IF(D56&lt;=$A$15, E55+LN($C$11)-LN(60/$D$11)-LN(MIN(D56,$E$11)), E55+LN($C$11)+LN(1-$G$11)-LN(60/$D$11)-LN(MIN(D56,$E$11))))</f>
        <v>34.671073510299351</v>
      </c>
      <c r="F56" s="1">
        <f t="shared" si="2"/>
        <v>-231.65499464369552</v>
      </c>
      <c r="G56" s="1">
        <f t="shared" si="0"/>
        <v>2.4746519223677146E-101</v>
      </c>
      <c r="H56" s="1">
        <f>G56/$G$21</f>
        <v>1.7353114714866459E-102</v>
      </c>
      <c r="I56">
        <f>IF($E$11&lt;=D56, IF(D56&lt;=$A$15,D56-$E$11,$F$11),0)</f>
        <v>24</v>
      </c>
      <c r="J56">
        <f>IF(D56&lt;=$A$15,0,D56-$A$15)</f>
        <v>0</v>
      </c>
      <c r="K56" s="5">
        <f>IF(D56&lt;$E$11,H56,0)</f>
        <v>0</v>
      </c>
      <c r="L56">
        <f>IF(D56&lt;$A$15,$C$11,$C$11*(1-$G$11))</f>
        <v>500</v>
      </c>
      <c r="M56">
        <f>IF(D56&lt;$A$15,0,1)</f>
        <v>0</v>
      </c>
    </row>
    <row r="57" spans="4:13" x14ac:dyDescent="0.2">
      <c r="D57">
        <f t="shared" si="1"/>
        <v>34</v>
      </c>
      <c r="E57" s="1">
        <f>IF($G$11=1,IF(D57&lt;=$A$15, E56+LN($C$11)-LN(60/$D$11)-LN(MIN(D57,$E$11)), E56-LN(60/$D$11)-LN(MIN(D57,$E$11))), IF(D57&lt;=$A$15, E56+LN($C$11)-LN(60/$D$11)-LN(MIN(D57,$E$11)), E56+LN($C$11)+LN(1-$G$11)-LN(60/$D$11)-LN(MIN(D57,$E$11))))</f>
        <v>35.51040320103737</v>
      </c>
      <c r="F57" s="1">
        <f t="shared" si="2"/>
        <v>-230.81566495295749</v>
      </c>
      <c r="G57" s="1">
        <f t="shared" si="0"/>
        <v>5.7283609314067433E-101</v>
      </c>
      <c r="H57" s="1">
        <f>G57/$G$21</f>
        <v>4.016924702515381E-102</v>
      </c>
      <c r="I57">
        <f>IF($E$11&lt;=D57, IF(D57&lt;=$A$15,D57-$E$11,$F$11),0)</f>
        <v>25</v>
      </c>
      <c r="J57">
        <f>IF(D57&lt;=$A$15,0,D57-$A$15)</f>
        <v>0</v>
      </c>
      <c r="K57" s="5">
        <f>IF(D57&lt;$E$11,H57,0)</f>
        <v>0</v>
      </c>
      <c r="L57">
        <f>IF(D57&lt;$A$15,$C$11,$C$11*(1-$G$11))</f>
        <v>500</v>
      </c>
      <c r="M57">
        <f>IF(D57&lt;$A$15,0,1)</f>
        <v>0</v>
      </c>
    </row>
    <row r="58" spans="4:13" x14ac:dyDescent="0.2">
      <c r="D58">
        <f t="shared" si="1"/>
        <v>35</v>
      </c>
      <c r="E58" s="1">
        <f>IF($G$11=1,IF(D58&lt;=$A$15, E57+LN($C$11)-LN(60/$D$11)-LN(MIN(D58,$E$11)), E57-LN(60/$D$11)-LN(MIN(D58,$E$11))), IF(D58&lt;=$A$15, E57+LN($C$11)-LN(60/$D$11)-LN(MIN(D58,$E$11)), E57+LN($C$11)+LN(1-$G$11)-LN(60/$D$11)-LN(MIN(D58,$E$11))))</f>
        <v>36.349732891775389</v>
      </c>
      <c r="F58" s="1">
        <f t="shared" si="2"/>
        <v>-229.97633526221949</v>
      </c>
      <c r="G58" s="1">
        <f t="shared" si="0"/>
        <v>1.3260094748626334E-100</v>
      </c>
      <c r="H58" s="1">
        <f>G58/$G$21</f>
        <v>9.298436811377926E-102</v>
      </c>
      <c r="I58">
        <f>IF($E$11&lt;=D58, IF(D58&lt;=$A$15,D58-$E$11,$F$11),0)</f>
        <v>26</v>
      </c>
      <c r="J58">
        <f>IF(D58&lt;=$A$15,0,D58-$A$15)</f>
        <v>0</v>
      </c>
      <c r="K58" s="5">
        <f>IF(D58&lt;$E$11,H58,0)</f>
        <v>0</v>
      </c>
      <c r="L58">
        <f>IF(D58&lt;$A$15,$C$11,$C$11*(1-$G$11))</f>
        <v>500</v>
      </c>
      <c r="M58">
        <f>IF(D58&lt;$A$15,0,1)</f>
        <v>0</v>
      </c>
    </row>
    <row r="59" spans="4:13" x14ac:dyDescent="0.2">
      <c r="D59">
        <f t="shared" si="1"/>
        <v>36</v>
      </c>
      <c r="E59" s="1">
        <f>IF($G$11=1,IF(D59&lt;=$A$15, E58+LN($C$11)-LN(60/$D$11)-LN(MIN(D59,$E$11)), E58-LN(60/$D$11)-LN(MIN(D59,$E$11))), IF(D59&lt;=$A$15, E58+LN($C$11)-LN(60/$D$11)-LN(MIN(D59,$E$11)), E58+LN($C$11)+LN(1-$G$11)-LN(60/$D$11)-LN(MIN(D59,$E$11))))</f>
        <v>37.189062582513408</v>
      </c>
      <c r="F59" s="1">
        <f t="shared" si="2"/>
        <v>-229.13700557148147</v>
      </c>
      <c r="G59" s="1">
        <f t="shared" si="0"/>
        <v>3.0694663769968349E-100</v>
      </c>
      <c r="H59" s="1">
        <f>G59/$G$21</f>
        <v>2.1524159285597041E-101</v>
      </c>
      <c r="I59">
        <f>IF($E$11&lt;=D59, IF(D59&lt;=$A$15,D59-$E$11,$F$11),0)</f>
        <v>27</v>
      </c>
      <c r="J59">
        <f>IF(D59&lt;=$A$15,0,D59-$A$15)</f>
        <v>0</v>
      </c>
      <c r="K59" s="5">
        <f>IF(D59&lt;$E$11,H59,0)</f>
        <v>0</v>
      </c>
      <c r="L59">
        <f>IF(D59&lt;$A$15,$C$11,$C$11*(1-$G$11))</f>
        <v>500</v>
      </c>
      <c r="M59">
        <f>IF(D59&lt;$A$15,0,1)</f>
        <v>0</v>
      </c>
    </row>
    <row r="60" spans="4:13" x14ac:dyDescent="0.2">
      <c r="D60">
        <f t="shared" si="1"/>
        <v>37</v>
      </c>
      <c r="E60" s="1">
        <f>IF($G$11=1,IF(D60&lt;=$A$15, E59+LN($C$11)-LN(60/$D$11)-LN(MIN(D60,$E$11)), E59-LN(60/$D$11)-LN(MIN(D60,$E$11))), IF(D60&lt;=$A$15, E59+LN($C$11)-LN(60/$D$11)-LN(MIN(D60,$E$11)), E59+LN($C$11)+LN(1-$G$11)-LN(60/$D$11)-LN(MIN(D60,$E$11))))</f>
        <v>38.028392273251427</v>
      </c>
      <c r="F60" s="1">
        <f t="shared" si="2"/>
        <v>-228.29767588074344</v>
      </c>
      <c r="G60" s="1">
        <f t="shared" si="0"/>
        <v>7.1052462430482241E-100</v>
      </c>
      <c r="H60" s="1">
        <f>G60/$G$21</f>
        <v>4.9824442790733853E-101</v>
      </c>
      <c r="I60">
        <f>IF($E$11&lt;=D60, IF(D60&lt;=$A$15,D60-$E$11,$F$11),0)</f>
        <v>28</v>
      </c>
      <c r="J60">
        <f>IF(D60&lt;=$A$15,0,D60-$A$15)</f>
        <v>0</v>
      </c>
      <c r="K60" s="5">
        <f>IF(D60&lt;$E$11,H60,0)</f>
        <v>0</v>
      </c>
      <c r="L60">
        <f>IF(D60&lt;$A$15,$C$11,$C$11*(1-$G$11))</f>
        <v>500</v>
      </c>
      <c r="M60">
        <f>IF(D60&lt;$A$15,0,1)</f>
        <v>0</v>
      </c>
    </row>
    <row r="61" spans="4:13" x14ac:dyDescent="0.2">
      <c r="D61">
        <f t="shared" si="1"/>
        <v>38</v>
      </c>
      <c r="E61" s="1">
        <f>IF($G$11=1,IF(D61&lt;=$A$15, E60+LN($C$11)-LN(60/$D$11)-LN(MIN(D61,$E$11)), E60-LN(60/$D$11)-LN(MIN(D61,$E$11))), IF(D61&lt;=$A$15, E60+LN($C$11)-LN(60/$D$11)-LN(MIN(D61,$E$11)), E60+LN($C$11)+LN(1-$G$11)-LN(60/$D$11)-LN(MIN(D61,$E$11))))</f>
        <v>38.867721963989446</v>
      </c>
      <c r="F61" s="1">
        <f t="shared" si="2"/>
        <v>-227.45834619000541</v>
      </c>
      <c r="G61" s="1">
        <f t="shared" si="0"/>
        <v>1.6447329266315323E-99</v>
      </c>
      <c r="H61" s="1">
        <f>G61/$G$21</f>
        <v>1.1533435831188386E-100</v>
      </c>
      <c r="I61">
        <f>IF($E$11&lt;=D61, IF(D61&lt;=$A$15,D61-$E$11,$F$11),0)</f>
        <v>29</v>
      </c>
      <c r="J61">
        <f>IF(D61&lt;=$A$15,0,D61-$A$15)</f>
        <v>0</v>
      </c>
      <c r="K61" s="5">
        <f>IF(D61&lt;$E$11,H61,0)</f>
        <v>0</v>
      </c>
      <c r="L61">
        <f>IF(D61&lt;$A$15,$C$11,$C$11*(1-$G$11))</f>
        <v>500</v>
      </c>
      <c r="M61">
        <f>IF(D61&lt;$A$15,0,1)</f>
        <v>0</v>
      </c>
    </row>
    <row r="62" spans="4:13" x14ac:dyDescent="0.2">
      <c r="D62">
        <f t="shared" si="1"/>
        <v>39</v>
      </c>
      <c r="E62" s="1">
        <f>IF($G$11=1,IF(D62&lt;=$A$15, E61+LN($C$11)-LN(60/$D$11)-LN(MIN(D62,$E$11)), E61-LN(60/$D$11)-LN(MIN(D62,$E$11))), IF(D62&lt;=$A$15, E61+LN($C$11)-LN(60/$D$11)-LN(MIN(D62,$E$11)), E61+LN($C$11)+LN(1-$G$11)-LN(60/$D$11)-LN(MIN(D62,$E$11))))</f>
        <v>39.707051654727465</v>
      </c>
      <c r="F62" s="1">
        <f t="shared" si="2"/>
        <v>-226.61901649926739</v>
      </c>
      <c r="G62" s="1">
        <f t="shared" si="0"/>
        <v>3.8072521449803966E-99</v>
      </c>
      <c r="H62" s="1">
        <f>G62/$G$21</f>
        <v>2.6697768127750875E-100</v>
      </c>
      <c r="I62">
        <f>IF($E$11&lt;=D62, IF(D62&lt;=$A$15,D62-$E$11,$F$11),0)</f>
        <v>30</v>
      </c>
      <c r="J62">
        <f>IF(D62&lt;=$A$15,0,D62-$A$15)</f>
        <v>0</v>
      </c>
      <c r="K62" s="5">
        <f>IF(D62&lt;$E$11,H62,0)</f>
        <v>0</v>
      </c>
      <c r="L62">
        <f>IF(D62&lt;$A$15,$C$11,$C$11*(1-$G$11))</f>
        <v>500</v>
      </c>
      <c r="M62">
        <f>IF(D62&lt;$A$15,0,1)</f>
        <v>0</v>
      </c>
    </row>
    <row r="63" spans="4:13" x14ac:dyDescent="0.2">
      <c r="D63">
        <f t="shared" si="1"/>
        <v>40</v>
      </c>
      <c r="E63" s="1">
        <f>IF($G$11=1,IF(D63&lt;=$A$15, E62+LN($C$11)-LN(60/$D$11)-LN(MIN(D63,$E$11)), E62-LN(60/$D$11)-LN(MIN(D63,$E$11))), IF(D63&lt;=$A$15, E62+LN($C$11)-LN(60/$D$11)-LN(MIN(D63,$E$11)), E62+LN($C$11)+LN(1-$G$11)-LN(60/$D$11)-LN(MIN(D63,$E$11))))</f>
        <v>40.546381345465484</v>
      </c>
      <c r="F63" s="1">
        <f t="shared" si="2"/>
        <v>-225.77968680852939</v>
      </c>
      <c r="G63" s="1">
        <f t="shared" si="0"/>
        <v>8.8130836689358465E-99</v>
      </c>
      <c r="H63" s="1">
        <f>G63/$G$21</f>
        <v>6.1800389184606711E-100</v>
      </c>
      <c r="I63">
        <f>IF($E$11&lt;=D63, IF(D63&lt;=$A$15,D63-$E$11,$F$11),0)</f>
        <v>31</v>
      </c>
      <c r="J63">
        <f>IF(D63&lt;=$A$15,0,D63-$A$15)</f>
        <v>0</v>
      </c>
      <c r="K63" s="5">
        <f>IF(D63&lt;$E$11,H63,0)</f>
        <v>0</v>
      </c>
      <c r="L63">
        <f>IF(D63&lt;$A$15,$C$11,$C$11*(1-$G$11))</f>
        <v>500</v>
      </c>
      <c r="M63">
        <f>IF(D63&lt;$A$15,0,1)</f>
        <v>0</v>
      </c>
    </row>
    <row r="64" spans="4:13" x14ac:dyDescent="0.2">
      <c r="D64">
        <f t="shared" si="1"/>
        <v>41</v>
      </c>
      <c r="E64" s="1">
        <f>IF($G$11=1,IF(D64&lt;=$A$15, E63+LN($C$11)-LN(60/$D$11)-LN(MIN(D64,$E$11)), E63-LN(60/$D$11)-LN(MIN(D64,$E$11))), IF(D64&lt;=$A$15, E63+LN($C$11)-LN(60/$D$11)-LN(MIN(D64,$E$11)), E63+LN($C$11)+LN(1-$G$11)-LN(60/$D$11)-LN(MIN(D64,$E$11))))</f>
        <v>41.385711036203503</v>
      </c>
      <c r="F64" s="1">
        <f t="shared" si="2"/>
        <v>-224.94035711779136</v>
      </c>
      <c r="G64" s="1">
        <f t="shared" si="0"/>
        <v>2.0400656641055187E-98</v>
      </c>
      <c r="H64" s="1">
        <f>G64/$G$21</f>
        <v>1.4305645644584878E-99</v>
      </c>
      <c r="I64">
        <f>IF($E$11&lt;=D64, IF(D64&lt;=$A$15,D64-$E$11,$F$11),0)</f>
        <v>32</v>
      </c>
      <c r="J64">
        <f>IF(D64&lt;=$A$15,0,D64-$A$15)</f>
        <v>0</v>
      </c>
      <c r="K64" s="5">
        <f>IF(D64&lt;$E$11,H64,0)</f>
        <v>0</v>
      </c>
      <c r="L64">
        <f>IF(D64&lt;$A$15,$C$11,$C$11*(1-$G$11))</f>
        <v>500</v>
      </c>
      <c r="M64">
        <f>IF(D64&lt;$A$15,0,1)</f>
        <v>0</v>
      </c>
    </row>
    <row r="65" spans="4:13" x14ac:dyDescent="0.2">
      <c r="D65">
        <f t="shared" si="1"/>
        <v>42</v>
      </c>
      <c r="E65" s="1">
        <f>IF($G$11=1,IF(D65&lt;=$A$15, E64+LN($C$11)-LN(60/$D$11)-LN(MIN(D65,$E$11)), E64-LN(60/$D$11)-LN(MIN(D65,$E$11))), IF(D65&lt;=$A$15, E64+LN($C$11)-LN(60/$D$11)-LN(MIN(D65,$E$11)), E64+LN($C$11)+LN(1-$G$11)-LN(60/$D$11)-LN(MIN(D65,$E$11))))</f>
        <v>42.225040726941522</v>
      </c>
      <c r="F65" s="1">
        <f t="shared" si="2"/>
        <v>-224.10102742705334</v>
      </c>
      <c r="G65" s="1">
        <f t="shared" si="0"/>
        <v>4.7223742224664756E-98</v>
      </c>
      <c r="H65" s="1">
        <f>G65/$G$21</f>
        <v>3.3114920473576082E-99</v>
      </c>
      <c r="I65">
        <f>IF($E$11&lt;=D65, IF(D65&lt;=$A$15,D65-$E$11,$F$11),0)</f>
        <v>33</v>
      </c>
      <c r="J65">
        <f>IF(D65&lt;=$A$15,0,D65-$A$15)</f>
        <v>0</v>
      </c>
      <c r="K65" s="5">
        <f>IF(D65&lt;$E$11,H65,0)</f>
        <v>0</v>
      </c>
      <c r="L65">
        <f>IF(D65&lt;$A$15,$C$11,$C$11*(1-$G$11))</f>
        <v>500</v>
      </c>
      <c r="M65">
        <f>IF(D65&lt;$A$15,0,1)</f>
        <v>0</v>
      </c>
    </row>
    <row r="66" spans="4:13" x14ac:dyDescent="0.2">
      <c r="D66">
        <f t="shared" si="1"/>
        <v>43</v>
      </c>
      <c r="E66" s="1">
        <f>IF($G$11=1,IF(D66&lt;=$A$15, E65+LN($C$11)-LN(60/$D$11)-LN(MIN(D66,$E$11)), E65-LN(60/$D$11)-LN(MIN(D66,$E$11))), IF(D66&lt;=$A$15, E65+LN($C$11)-LN(60/$D$11)-LN(MIN(D66,$E$11)), E65+LN($C$11)+LN(1-$G$11)-LN(60/$D$11)-LN(MIN(D66,$E$11))))</f>
        <v>43.064370417679541</v>
      </c>
      <c r="F66" s="1">
        <f t="shared" si="2"/>
        <v>-223.26169773631534</v>
      </c>
      <c r="G66" s="1">
        <f t="shared" si="0"/>
        <v>1.0931421811264673E-97</v>
      </c>
      <c r="H66" s="1">
        <f>G66/$G$21</f>
        <v>7.6654908503646117E-99</v>
      </c>
      <c r="I66">
        <f>IF($E$11&lt;=D66, IF(D66&lt;=$A$15,D66-$E$11,$F$11),0)</f>
        <v>34</v>
      </c>
      <c r="J66">
        <f>IF(D66&lt;=$A$15,0,D66-$A$15)</f>
        <v>0</v>
      </c>
      <c r="K66" s="5">
        <f>IF(D66&lt;$E$11,H66,0)</f>
        <v>0</v>
      </c>
      <c r="L66">
        <f>IF(D66&lt;$A$15,$C$11,$C$11*(1-$G$11))</f>
        <v>500</v>
      </c>
      <c r="M66">
        <f>IF(D66&lt;$A$15,0,1)</f>
        <v>0</v>
      </c>
    </row>
    <row r="67" spans="4:13" x14ac:dyDescent="0.2">
      <c r="D67">
        <f t="shared" si="1"/>
        <v>44</v>
      </c>
      <c r="E67" s="1">
        <f>IF($G$11=1,IF(D67&lt;=$A$15, E66+LN($C$11)-LN(60/$D$11)-LN(MIN(D67,$E$11)), E66-LN(60/$D$11)-LN(MIN(D67,$E$11))), IF(D67&lt;=$A$15, E66+LN($C$11)-LN(60/$D$11)-LN(MIN(D67,$E$11)), E66+LN($C$11)+LN(1-$G$11)-LN(60/$D$11)-LN(MIN(D67,$E$11))))</f>
        <v>43.90370010841756</v>
      </c>
      <c r="F67" s="1">
        <f t="shared" si="2"/>
        <v>-222.42236804557731</v>
      </c>
      <c r="G67" s="1">
        <f t="shared" si="0"/>
        <v>2.5304217155705243E-97</v>
      </c>
      <c r="H67" s="1">
        <f>G67/$G$21</f>
        <v>1.7744191783251404E-98</v>
      </c>
      <c r="I67">
        <f>IF($E$11&lt;=D67, IF(D67&lt;=$A$15,D67-$E$11,$F$11),0)</f>
        <v>35</v>
      </c>
      <c r="J67">
        <f>IF(D67&lt;=$A$15,0,D67-$A$15)</f>
        <v>0</v>
      </c>
      <c r="K67" s="5">
        <f>IF(D67&lt;$E$11,H67,0)</f>
        <v>0</v>
      </c>
      <c r="L67">
        <f>IF(D67&lt;$A$15,$C$11,$C$11*(1-$G$11))</f>
        <v>500</v>
      </c>
      <c r="M67">
        <f>IF(D67&lt;$A$15,0,1)</f>
        <v>0</v>
      </c>
    </row>
    <row r="68" spans="4:13" x14ac:dyDescent="0.2">
      <c r="D68">
        <f t="shared" si="1"/>
        <v>45</v>
      </c>
      <c r="E68" s="1">
        <f>IF($G$11=1,IF(D68&lt;=$A$15, E67+LN($C$11)-LN(60/$D$11)-LN(MIN(D68,$E$11)), E67-LN(60/$D$11)-LN(MIN(D68,$E$11))), IF(D68&lt;=$A$15, E67+LN($C$11)-LN(60/$D$11)-LN(MIN(D68,$E$11)), E67+LN($C$11)+LN(1-$G$11)-LN(60/$D$11)-LN(MIN(D68,$E$11))))</f>
        <v>44.743029799155579</v>
      </c>
      <c r="F68" s="1">
        <f t="shared" si="2"/>
        <v>-221.58303835483929</v>
      </c>
      <c r="G68" s="1">
        <f t="shared" si="0"/>
        <v>5.8574576749317657E-97</v>
      </c>
      <c r="H68" s="1">
        <f>G68/$G$21</f>
        <v>4.1074518016785633E-98</v>
      </c>
      <c r="I68">
        <f>IF($E$11&lt;=D68, IF(D68&lt;=$A$15,D68-$E$11,$F$11),0)</f>
        <v>36</v>
      </c>
      <c r="J68">
        <f>IF(D68&lt;=$A$15,0,D68-$A$15)</f>
        <v>0</v>
      </c>
      <c r="K68" s="5">
        <f>IF(D68&lt;$E$11,H68,0)</f>
        <v>0</v>
      </c>
      <c r="L68">
        <f>IF(D68&lt;$A$15,$C$11,$C$11*(1-$G$11))</f>
        <v>500</v>
      </c>
      <c r="M68">
        <f>IF(D68&lt;$A$15,0,1)</f>
        <v>0</v>
      </c>
    </row>
    <row r="69" spans="4:13" x14ac:dyDescent="0.2">
      <c r="D69">
        <f t="shared" si="1"/>
        <v>46</v>
      </c>
      <c r="E69" s="1">
        <f>IF($G$11=1,IF(D69&lt;=$A$15, E68+LN($C$11)-LN(60/$D$11)-LN(MIN(D69,$E$11)), E68-LN(60/$D$11)-LN(MIN(D69,$E$11))), IF(D69&lt;=$A$15, E68+LN($C$11)-LN(60/$D$11)-LN(MIN(D69,$E$11)), E68+LN($C$11)+LN(1-$G$11)-LN(60/$D$11)-LN(MIN(D69,$E$11))))</f>
        <v>45.582359489893598</v>
      </c>
      <c r="F69" s="1">
        <f t="shared" si="2"/>
        <v>-220.74370866410126</v>
      </c>
      <c r="G69" s="1">
        <f t="shared" si="0"/>
        <v>1.3558929803082782E-96</v>
      </c>
      <c r="H69" s="1">
        <f>G69/$G$21</f>
        <v>9.5079902816633336E-98</v>
      </c>
      <c r="I69">
        <f>IF($E$11&lt;=D69, IF(D69&lt;=$A$15,D69-$E$11,$F$11),0)</f>
        <v>37</v>
      </c>
      <c r="J69">
        <f>IF(D69&lt;=$A$15,0,D69-$A$15)</f>
        <v>0</v>
      </c>
      <c r="K69" s="5">
        <f>IF(D69&lt;$E$11,H69,0)</f>
        <v>0</v>
      </c>
      <c r="L69">
        <f>IF(D69&lt;$A$15,$C$11,$C$11*(1-$G$11))</f>
        <v>500</v>
      </c>
      <c r="M69">
        <f>IF(D69&lt;$A$15,0,1)</f>
        <v>0</v>
      </c>
    </row>
    <row r="70" spans="4:13" x14ac:dyDescent="0.2">
      <c r="D70">
        <f t="shared" si="1"/>
        <v>47</v>
      </c>
      <c r="E70" s="1">
        <f>IF($G$11=1,IF(D70&lt;=$A$15, E69+LN($C$11)-LN(60/$D$11)-LN(MIN(D70,$E$11)), E69-LN(60/$D$11)-LN(MIN(D70,$E$11))), IF(D70&lt;=$A$15, E69+LN($C$11)-LN(60/$D$11)-LN(MIN(D70,$E$11)), E69+LN($C$11)+LN(1-$G$11)-LN(60/$D$11)-LN(MIN(D70,$E$11))))</f>
        <v>46.421689180631617</v>
      </c>
      <c r="F70" s="1">
        <f t="shared" si="2"/>
        <v>-219.90437897336324</v>
      </c>
      <c r="G70" s="1">
        <f t="shared" si="0"/>
        <v>3.1386411581210123E-96</v>
      </c>
      <c r="H70" s="1">
        <f>G70/$G$21</f>
        <v>2.2009236763109556E-97</v>
      </c>
      <c r="I70">
        <f>IF($E$11&lt;=D70, IF(D70&lt;=$A$15,D70-$E$11,$F$11),0)</f>
        <v>38</v>
      </c>
      <c r="J70">
        <f>IF(D70&lt;=$A$15,0,D70-$A$15)</f>
        <v>0</v>
      </c>
      <c r="K70" s="5">
        <f>IF(D70&lt;$E$11,H70,0)</f>
        <v>0</v>
      </c>
      <c r="L70">
        <f>IF(D70&lt;$A$15,$C$11,$C$11*(1-$G$11))</f>
        <v>500</v>
      </c>
      <c r="M70">
        <f>IF(D70&lt;$A$15,0,1)</f>
        <v>0</v>
      </c>
    </row>
    <row r="71" spans="4:13" x14ac:dyDescent="0.2">
      <c r="D71">
        <f t="shared" si="1"/>
        <v>48</v>
      </c>
      <c r="E71" s="1">
        <f>IF($G$11=1,IF(D71&lt;=$A$15, E70+LN($C$11)-LN(60/$D$11)-LN(MIN(D71,$E$11)), E70-LN(60/$D$11)-LN(MIN(D71,$E$11))), IF(D71&lt;=$A$15, E70+LN($C$11)-LN(60/$D$11)-LN(MIN(D71,$E$11)), E70+LN($C$11)+LN(1-$G$11)-LN(60/$D$11)-LN(MIN(D71,$E$11))))</f>
        <v>47.261018871369636</v>
      </c>
      <c r="F71" s="1">
        <f t="shared" si="2"/>
        <v>-219.06504928262524</v>
      </c>
      <c r="G71" s="1">
        <f t="shared" si="0"/>
        <v>7.265373051205836E-96</v>
      </c>
      <c r="H71" s="1">
        <f>G71/$G$21</f>
        <v>5.0947307322011383E-97</v>
      </c>
      <c r="I71">
        <f>IF($E$11&lt;=D71, IF(D71&lt;=$A$15,D71-$E$11,$F$11),0)</f>
        <v>39</v>
      </c>
      <c r="J71">
        <f>IF(D71&lt;=$A$15,0,D71-$A$15)</f>
        <v>0</v>
      </c>
      <c r="K71" s="5">
        <f>IF(D71&lt;$E$11,H71,0)</f>
        <v>0</v>
      </c>
      <c r="L71">
        <f>IF(D71&lt;$A$15,$C$11,$C$11*(1-$G$11))</f>
        <v>500</v>
      </c>
      <c r="M71">
        <f>IF(D71&lt;$A$15,0,1)</f>
        <v>0</v>
      </c>
    </row>
    <row r="72" spans="4:13" x14ac:dyDescent="0.2">
      <c r="D72">
        <f t="shared" si="1"/>
        <v>49</v>
      </c>
      <c r="E72" s="1">
        <f>IF($G$11=1,IF(D72&lt;=$A$15, E71+LN($C$11)-LN(60/$D$11)-LN(MIN(D72,$E$11)), E71-LN(60/$D$11)-LN(MIN(D72,$E$11))), IF(D72&lt;=$A$15, E71+LN($C$11)-LN(60/$D$11)-LN(MIN(D72,$E$11)), E71+LN($C$11)+LN(1-$G$11)-LN(60/$D$11)-LN(MIN(D72,$E$11))))</f>
        <v>48.100348562107655</v>
      </c>
      <c r="F72" s="1">
        <f t="shared" si="2"/>
        <v>-218.22571959188721</v>
      </c>
      <c r="G72" s="1">
        <f t="shared" si="0"/>
        <v>1.6817993174087574E-95</v>
      </c>
      <c r="H72" s="1">
        <f>G72/$G$21</f>
        <v>1.1793358176391518E-96</v>
      </c>
      <c r="I72">
        <f>IF($E$11&lt;=D72, IF(D72&lt;=$A$15,D72-$E$11,$F$11),0)</f>
        <v>40</v>
      </c>
      <c r="J72">
        <f>IF(D72&lt;=$A$15,0,D72-$A$15)</f>
        <v>0</v>
      </c>
      <c r="K72" s="5">
        <f>IF(D72&lt;$E$11,H72,0)</f>
        <v>0</v>
      </c>
      <c r="L72">
        <f>IF(D72&lt;$A$15,$C$11,$C$11*(1-$G$11))</f>
        <v>500</v>
      </c>
      <c r="M72">
        <f>IF(D72&lt;$A$15,0,1)</f>
        <v>0</v>
      </c>
    </row>
    <row r="73" spans="4:13" x14ac:dyDescent="0.2">
      <c r="D73">
        <f t="shared" si="1"/>
        <v>50</v>
      </c>
      <c r="E73" s="1">
        <f>IF($G$11=1,IF(D73&lt;=$A$15, E72+LN($C$11)-LN(60/$D$11)-LN(MIN(D73,$E$11)), E72-LN(60/$D$11)-LN(MIN(D73,$E$11))), IF(D73&lt;=$A$15, E72+LN($C$11)-LN(60/$D$11)-LN(MIN(D73,$E$11)), E72+LN($C$11)+LN(1-$G$11)-LN(60/$D$11)-LN(MIN(D73,$E$11))))</f>
        <v>48.939678252845674</v>
      </c>
      <c r="F73" s="1">
        <f t="shared" si="2"/>
        <v>-217.38638990114919</v>
      </c>
      <c r="G73" s="1">
        <f t="shared" si="0"/>
        <v>3.8930539754832323E-95</v>
      </c>
      <c r="H73" s="1">
        <f>G73/$G$21</f>
        <v>2.7299440223128494E-96</v>
      </c>
      <c r="I73">
        <f>IF($E$11&lt;=D73, IF(D73&lt;=$A$15,D73-$E$11,$F$11),0)</f>
        <v>41</v>
      </c>
      <c r="J73">
        <f>IF(D73&lt;=$A$15,0,D73-$A$15)</f>
        <v>0</v>
      </c>
      <c r="K73" s="5">
        <f>IF(D73&lt;$E$11,H73,0)</f>
        <v>0</v>
      </c>
      <c r="L73">
        <f>IF(D73&lt;$A$15,$C$11,$C$11*(1-$G$11))</f>
        <v>500</v>
      </c>
      <c r="M73">
        <f>IF(D73&lt;$A$15,0,1)</f>
        <v>0</v>
      </c>
    </row>
    <row r="74" spans="4:13" x14ac:dyDescent="0.2">
      <c r="D74">
        <f t="shared" si="1"/>
        <v>51</v>
      </c>
      <c r="E74" s="1">
        <f>IF($G$11=1,IF(D74&lt;=$A$15, E73+LN($C$11)-LN(60/$D$11)-LN(MIN(D74,$E$11)), E73-LN(60/$D$11)-LN(MIN(D74,$E$11))), IF(D74&lt;=$A$15, E73+LN($C$11)-LN(60/$D$11)-LN(MIN(D74,$E$11)), E73+LN($C$11)+LN(1-$G$11)-LN(60/$D$11)-LN(MIN(D74,$E$11))))</f>
        <v>49.779007943583693</v>
      </c>
      <c r="F74" s="1">
        <f t="shared" si="2"/>
        <v>-216.54706021041119</v>
      </c>
      <c r="G74" s="1">
        <f t="shared" si="0"/>
        <v>9.0116990173220347E-95</v>
      </c>
      <c r="H74" s="1">
        <f>G74/$G$21</f>
        <v>6.319314866464745E-96</v>
      </c>
      <c r="I74">
        <f>IF($E$11&lt;=D74, IF(D74&lt;=$A$15,D74-$E$11,$F$11),0)</f>
        <v>42</v>
      </c>
      <c r="J74">
        <f>IF(D74&lt;=$A$15,0,D74-$A$15)</f>
        <v>0</v>
      </c>
      <c r="K74" s="5">
        <f>IF(D74&lt;$E$11,H74,0)</f>
        <v>0</v>
      </c>
      <c r="L74">
        <f>IF(D74&lt;$A$15,$C$11,$C$11*(1-$G$11))</f>
        <v>500</v>
      </c>
      <c r="M74">
        <f>IF(D74&lt;$A$15,0,1)</f>
        <v>0</v>
      </c>
    </row>
    <row r="75" spans="4:13" x14ac:dyDescent="0.2">
      <c r="D75">
        <f t="shared" si="1"/>
        <v>52</v>
      </c>
      <c r="E75" s="1">
        <f>IF($G$11=1,IF(D75&lt;=$A$15, E74+LN($C$11)-LN(60/$D$11)-LN(MIN(D75,$E$11)), E74-LN(60/$D$11)-LN(MIN(D75,$E$11))), IF(D75&lt;=$A$15, E74+LN($C$11)-LN(60/$D$11)-LN(MIN(D75,$E$11)), E74+LN($C$11)+LN(1-$G$11)-LN(60/$D$11)-LN(MIN(D75,$E$11))))</f>
        <v>50.618337634321712</v>
      </c>
      <c r="F75" s="1">
        <f t="shared" si="2"/>
        <v>-215.70773051967316</v>
      </c>
      <c r="G75" s="1">
        <f t="shared" si="0"/>
        <v>2.086041439194914E-94</v>
      </c>
      <c r="H75" s="1">
        <f>G75/$G$21</f>
        <v>1.4628043672372086E-95</v>
      </c>
      <c r="I75">
        <f>IF($E$11&lt;=D75, IF(D75&lt;=$A$15,D75-$E$11,$F$11),0)</f>
        <v>43</v>
      </c>
      <c r="J75">
        <f>IF(D75&lt;=$A$15,0,D75-$A$15)</f>
        <v>0</v>
      </c>
      <c r="K75" s="5">
        <f>IF(D75&lt;$E$11,H75,0)</f>
        <v>0</v>
      </c>
      <c r="L75">
        <f>IF(D75&lt;$A$15,$C$11,$C$11*(1-$G$11))</f>
        <v>500</v>
      </c>
      <c r="M75">
        <f>IF(D75&lt;$A$15,0,1)</f>
        <v>0</v>
      </c>
    </row>
    <row r="76" spans="4:13" x14ac:dyDescent="0.2">
      <c r="D76">
        <f t="shared" si="1"/>
        <v>53</v>
      </c>
      <c r="E76" s="1">
        <f>IF($G$11=1,IF(D76&lt;=$A$15, E75+LN($C$11)-LN(60/$D$11)-LN(MIN(D76,$E$11)), E75-LN(60/$D$11)-LN(MIN(D76,$E$11))), IF(D76&lt;=$A$15, E75+LN($C$11)-LN(60/$D$11)-LN(MIN(D76,$E$11)), E75+LN($C$11)+LN(1-$G$11)-LN(60/$D$11)-LN(MIN(D76,$E$11))))</f>
        <v>51.457667325059731</v>
      </c>
      <c r="F76" s="1">
        <f t="shared" si="2"/>
        <v>-214.86840082893514</v>
      </c>
      <c r="G76" s="1">
        <f t="shared" si="0"/>
        <v>4.8287996277660016E-94</v>
      </c>
      <c r="H76" s="1">
        <f>G76/$G$21</f>
        <v>3.3861212204564991E-95</v>
      </c>
      <c r="I76">
        <f>IF($E$11&lt;=D76, IF(D76&lt;=$A$15,D76-$E$11,$F$11),0)</f>
        <v>44</v>
      </c>
      <c r="J76">
        <f>IF(D76&lt;=$A$15,0,D76-$A$15)</f>
        <v>0</v>
      </c>
      <c r="K76" s="5">
        <f>IF(D76&lt;$E$11,H76,0)</f>
        <v>0</v>
      </c>
      <c r="L76">
        <f>IF(D76&lt;$A$15,$C$11,$C$11*(1-$G$11))</f>
        <v>500</v>
      </c>
      <c r="M76">
        <f>IF(D76&lt;$A$15,0,1)</f>
        <v>0</v>
      </c>
    </row>
    <row r="77" spans="4:13" x14ac:dyDescent="0.2">
      <c r="D77">
        <f t="shared" si="1"/>
        <v>54</v>
      </c>
      <c r="E77" s="1">
        <f>IF($G$11=1,IF(D77&lt;=$A$15, E76+LN($C$11)-LN(60/$D$11)-LN(MIN(D77,$E$11)), E76-LN(60/$D$11)-LN(MIN(D77,$E$11))), IF(D77&lt;=$A$15, E76+LN($C$11)-LN(60/$D$11)-LN(MIN(D77,$E$11)), E76+LN($C$11)+LN(1-$G$11)-LN(60/$D$11)-LN(MIN(D77,$E$11))))</f>
        <v>52.29699701579775</v>
      </c>
      <c r="F77" s="1">
        <f t="shared" si="2"/>
        <v>-214.02907113819711</v>
      </c>
      <c r="G77" s="1">
        <f t="shared" si="0"/>
        <v>1.1177776916124996E-93</v>
      </c>
      <c r="H77" s="1">
        <f>G77/$G$21</f>
        <v>7.8382435658715205E-95</v>
      </c>
      <c r="I77">
        <f>IF($E$11&lt;=D77, IF(D77&lt;=$A$15,D77-$E$11,$F$11),0)</f>
        <v>45</v>
      </c>
      <c r="J77">
        <f>IF(D77&lt;=$A$15,0,D77-$A$15)</f>
        <v>0</v>
      </c>
      <c r="K77" s="5">
        <f>IF(D77&lt;$E$11,H77,0)</f>
        <v>0</v>
      </c>
      <c r="L77">
        <f>IF(D77&lt;$A$15,$C$11,$C$11*(1-$G$11))</f>
        <v>500</v>
      </c>
      <c r="M77">
        <f>IF(D77&lt;$A$15,0,1)</f>
        <v>0</v>
      </c>
    </row>
    <row r="78" spans="4:13" x14ac:dyDescent="0.2">
      <c r="D78">
        <f t="shared" si="1"/>
        <v>55</v>
      </c>
      <c r="E78" s="1">
        <f>IF($G$11=1,IF(D78&lt;=$A$15, E77+LN($C$11)-LN(60/$D$11)-LN(MIN(D78,$E$11)), E77-LN(60/$D$11)-LN(MIN(D78,$E$11))), IF(D78&lt;=$A$15, E77+LN($C$11)-LN(60/$D$11)-LN(MIN(D78,$E$11)), E77+LN($C$11)+LN(1-$G$11)-LN(60/$D$11)-LN(MIN(D78,$E$11))))</f>
        <v>53.136326706535769</v>
      </c>
      <c r="F78" s="1">
        <f t="shared" si="2"/>
        <v>-213.18974144745908</v>
      </c>
      <c r="G78" s="1">
        <f t="shared" si="0"/>
        <v>2.5874483602141179E-93</v>
      </c>
      <c r="H78" s="1">
        <f>G78/$G$21</f>
        <v>1.8144082328406288E-94</v>
      </c>
      <c r="I78">
        <f>IF($E$11&lt;=D78, IF(D78&lt;=$A$15,D78-$E$11,$F$11),0)</f>
        <v>46</v>
      </c>
      <c r="J78">
        <f>IF(D78&lt;=$A$15,0,D78-$A$15)</f>
        <v>0</v>
      </c>
      <c r="K78" s="5">
        <f>IF(D78&lt;$E$11,H78,0)</f>
        <v>0</v>
      </c>
      <c r="L78">
        <f>IF(D78&lt;$A$15,$C$11,$C$11*(1-$G$11))</f>
        <v>500</v>
      </c>
      <c r="M78">
        <f>IF(D78&lt;$A$15,0,1)</f>
        <v>0</v>
      </c>
    </row>
    <row r="79" spans="4:13" x14ac:dyDescent="0.2">
      <c r="D79">
        <f t="shared" si="1"/>
        <v>56</v>
      </c>
      <c r="E79" s="1">
        <f>IF($G$11=1,IF(D79&lt;=$A$15, E78+LN($C$11)-LN(60/$D$11)-LN(MIN(D79,$E$11)), E78-LN(60/$D$11)-LN(MIN(D79,$E$11))), IF(D79&lt;=$A$15, E78+LN($C$11)-LN(60/$D$11)-LN(MIN(D79,$E$11)), E78+LN($C$11)+LN(1-$G$11)-LN(60/$D$11)-LN(MIN(D79,$E$11))))</f>
        <v>53.975656397273788</v>
      </c>
      <c r="F79" s="1">
        <f t="shared" si="2"/>
        <v>-212.35041175672109</v>
      </c>
      <c r="G79" s="1">
        <f t="shared" si="0"/>
        <v>5.9894637967917653E-93</v>
      </c>
      <c r="H79" s="1">
        <f>G79/$G$21</f>
        <v>4.2000190575013329E-94</v>
      </c>
      <c r="I79">
        <f>IF($E$11&lt;=D79, IF(D79&lt;=$A$15,D79-$E$11,$F$11),0)</f>
        <v>47</v>
      </c>
      <c r="J79">
        <f>IF(D79&lt;=$A$15,0,D79-$A$15)</f>
        <v>0</v>
      </c>
      <c r="K79" s="5">
        <f>IF(D79&lt;$E$11,H79,0)</f>
        <v>0</v>
      </c>
      <c r="L79">
        <f>IF(D79&lt;$A$15,$C$11,$C$11*(1-$G$11))</f>
        <v>500</v>
      </c>
      <c r="M79">
        <f>IF(D79&lt;$A$15,0,1)</f>
        <v>0</v>
      </c>
    </row>
    <row r="80" spans="4:13" x14ac:dyDescent="0.2">
      <c r="D80">
        <f t="shared" si="1"/>
        <v>57</v>
      </c>
      <c r="E80" s="1">
        <f>IF($G$11=1,IF(D80&lt;=$A$15, E79+LN($C$11)-LN(60/$D$11)-LN(MIN(D80,$E$11)), E79-LN(60/$D$11)-LN(MIN(D80,$E$11))), IF(D80&lt;=$A$15, E79+LN($C$11)-LN(60/$D$11)-LN(MIN(D80,$E$11)), E79+LN($C$11)+LN(1-$G$11)-LN(60/$D$11)-LN(MIN(D80,$E$11))))</f>
        <v>54.814986088011807</v>
      </c>
      <c r="F80" s="1">
        <f t="shared" si="2"/>
        <v>-211.51108206598306</v>
      </c>
      <c r="G80" s="1">
        <f t="shared" si="0"/>
        <v>1.386449952961056E-92</v>
      </c>
      <c r="H80" s="1">
        <f>G80/$G$21</f>
        <v>9.7222663368086367E-94</v>
      </c>
      <c r="I80">
        <f>IF($E$11&lt;=D80, IF(D80&lt;=$A$15,D80-$E$11,$F$11),0)</f>
        <v>48</v>
      </c>
      <c r="J80">
        <f>IF(D80&lt;=$A$15,0,D80-$A$15)</f>
        <v>0</v>
      </c>
      <c r="K80" s="5">
        <f>IF(D80&lt;$E$11,H80,0)</f>
        <v>0</v>
      </c>
      <c r="L80">
        <f>IF(D80&lt;$A$15,$C$11,$C$11*(1-$G$11))</f>
        <v>500</v>
      </c>
      <c r="M80">
        <f>IF(D80&lt;$A$15,0,1)</f>
        <v>0</v>
      </c>
    </row>
    <row r="81" spans="4:13" x14ac:dyDescent="0.2">
      <c r="D81">
        <f t="shared" si="1"/>
        <v>58</v>
      </c>
      <c r="E81" s="1">
        <f>IF($G$11=1,IF(D81&lt;=$A$15, E80+LN($C$11)-LN(60/$D$11)-LN(MIN(D81,$E$11)), E80-LN(60/$D$11)-LN(MIN(D81,$E$11))), IF(D81&lt;=$A$15, E80+LN($C$11)-LN(60/$D$11)-LN(MIN(D81,$E$11)), E80+LN($C$11)+LN(1-$G$11)-LN(60/$D$11)-LN(MIN(D81,$E$11))))</f>
        <v>55.654315778749826</v>
      </c>
      <c r="F81" s="1">
        <f t="shared" si="2"/>
        <v>-210.67175237524503</v>
      </c>
      <c r="G81" s="1">
        <f t="shared" si="0"/>
        <v>3.2093748911135537E-92</v>
      </c>
      <c r="H81" s="1">
        <f>G81/$G$21</f>
        <v>2.2505246150019976E-93</v>
      </c>
      <c r="I81">
        <f>IF($E$11&lt;=D81, IF(D81&lt;=$A$15,D81-$E$11,$F$11),0)</f>
        <v>49</v>
      </c>
      <c r="J81">
        <f>IF(D81&lt;=$A$15,0,D81-$A$15)</f>
        <v>0</v>
      </c>
      <c r="K81" s="5">
        <f>IF(D81&lt;$E$11,H81,0)</f>
        <v>0</v>
      </c>
      <c r="L81">
        <f>IF(D81&lt;$A$15,$C$11,$C$11*(1-$G$11))</f>
        <v>500</v>
      </c>
      <c r="M81">
        <f>IF(D81&lt;$A$15,0,1)</f>
        <v>0</v>
      </c>
    </row>
    <row r="82" spans="4:13" x14ac:dyDescent="0.2">
      <c r="D82">
        <f t="shared" si="1"/>
        <v>59</v>
      </c>
      <c r="E82" s="1">
        <f>IF($G$11=1,IF(D82&lt;=$A$15, E81+LN($C$11)-LN(60/$D$11)-LN(MIN(D82,$E$11)), E81-LN(60/$D$11)-LN(MIN(D82,$E$11))), IF(D82&lt;=$A$15, E81+LN($C$11)-LN(60/$D$11)-LN(MIN(D82,$E$11)), E81+LN($C$11)+LN(1-$G$11)-LN(60/$D$11)-LN(MIN(D82,$E$11))))</f>
        <v>56.493645469487845</v>
      </c>
      <c r="F82" s="1">
        <f t="shared" si="2"/>
        <v>-209.83242268450704</v>
      </c>
      <c r="G82" s="1">
        <f t="shared" si="0"/>
        <v>7.4291085442441209E-92</v>
      </c>
      <c r="H82" s="1">
        <f>G82/$G$21</f>
        <v>5.2095477199118797E-93</v>
      </c>
      <c r="I82">
        <f>IF($E$11&lt;=D82, IF(D82&lt;=$A$15,D82-$E$11,$F$11),0)</f>
        <v>50</v>
      </c>
      <c r="J82">
        <f>IF(D82&lt;=$A$15,0,D82-$A$15)</f>
        <v>0</v>
      </c>
      <c r="K82" s="5">
        <f>IF(D82&lt;$E$11,H82,0)</f>
        <v>0</v>
      </c>
      <c r="L82">
        <f>IF(D82&lt;$A$15,$C$11,$C$11*(1-$G$11))</f>
        <v>500</v>
      </c>
      <c r="M82">
        <f>IF(D82&lt;$A$15,0,1)</f>
        <v>0</v>
      </c>
    </row>
    <row r="83" spans="4:13" x14ac:dyDescent="0.2">
      <c r="D83">
        <f t="shared" si="1"/>
        <v>60</v>
      </c>
      <c r="E83" s="1">
        <f>IF($G$11=1,IF(D83&lt;=$A$15, E82+LN($C$11)-LN(60/$D$11)-LN(MIN(D83,$E$11)), E82-LN(60/$D$11)-LN(MIN(D83,$E$11))), IF(D83&lt;=$A$15, E82+LN($C$11)-LN(60/$D$11)-LN(MIN(D83,$E$11)), E82+LN($C$11)+LN(1-$G$11)-LN(60/$D$11)-LN(MIN(D83,$E$11))))</f>
        <v>57.332975160225864</v>
      </c>
      <c r="F83" s="1">
        <f t="shared" si="2"/>
        <v>-208.99309299376901</v>
      </c>
      <c r="G83" s="1">
        <f t="shared" si="0"/>
        <v>1.7197010519083603E-91</v>
      </c>
      <c r="H83" s="1">
        <f>G83/$G$21</f>
        <v>1.2059138240536753E-92</v>
      </c>
      <c r="I83">
        <f>IF($E$11&lt;=D83, IF(D83&lt;=$A$15,D83-$E$11,$F$11),0)</f>
        <v>51</v>
      </c>
      <c r="J83">
        <f>IF(D83&lt;=$A$15,0,D83-$A$15)</f>
        <v>0</v>
      </c>
      <c r="K83" s="5">
        <f>IF(D83&lt;$E$11,H83,0)</f>
        <v>0</v>
      </c>
      <c r="L83">
        <f>IF(D83&lt;$A$15,$C$11,$C$11*(1-$G$11))</f>
        <v>500</v>
      </c>
      <c r="M83">
        <f>IF(D83&lt;$A$15,0,1)</f>
        <v>0</v>
      </c>
    </row>
    <row r="84" spans="4:13" x14ac:dyDescent="0.2">
      <c r="D84">
        <f t="shared" si="1"/>
        <v>61</v>
      </c>
      <c r="E84" s="1">
        <f>IF($G$11=1,IF(D84&lt;=$A$15, E83+LN($C$11)-LN(60/$D$11)-LN(MIN(D84,$E$11)), E83-LN(60/$D$11)-LN(MIN(D84,$E$11))), IF(D84&lt;=$A$15, E83+LN($C$11)-LN(60/$D$11)-LN(MIN(D84,$E$11)), E83+LN($C$11)+LN(1-$G$11)-LN(60/$D$11)-LN(MIN(D84,$E$11))))</f>
        <v>58.172304850963883</v>
      </c>
      <c r="F84" s="1">
        <f t="shared" si="2"/>
        <v>-208.15376330303098</v>
      </c>
      <c r="G84" s="1">
        <f t="shared" si="0"/>
        <v>3.9807894720100905E-91</v>
      </c>
      <c r="H84" s="1">
        <f>G84/$G$21</f>
        <v>2.7914671853094313E-92</v>
      </c>
      <c r="I84">
        <f>IF($E$11&lt;=D84, IF(D84&lt;=$A$15,D84-$E$11,$F$11),0)</f>
        <v>52</v>
      </c>
      <c r="J84">
        <f>IF(D84&lt;=$A$15,0,D84-$A$15)</f>
        <v>0</v>
      </c>
      <c r="K84" s="5">
        <f>IF(D84&lt;$E$11,H84,0)</f>
        <v>0</v>
      </c>
      <c r="L84">
        <f>IF(D84&lt;$A$15,$C$11,$C$11*(1-$G$11))</f>
        <v>500</v>
      </c>
      <c r="M84">
        <f>IF(D84&lt;$A$15,0,1)</f>
        <v>0</v>
      </c>
    </row>
    <row r="85" spans="4:13" x14ac:dyDescent="0.2">
      <c r="D85">
        <f t="shared" si="1"/>
        <v>62</v>
      </c>
      <c r="E85" s="1">
        <f>IF($G$11=1,IF(D85&lt;=$A$15, E84+LN($C$11)-LN(60/$D$11)-LN(MIN(D85,$E$11)), E84-LN(60/$D$11)-LN(MIN(D85,$E$11))), IF(D85&lt;=$A$15, E84+LN($C$11)-LN(60/$D$11)-LN(MIN(D85,$E$11)), E84+LN($C$11)+LN(1-$G$11)-LN(60/$D$11)-LN(MIN(D85,$E$11))))</f>
        <v>59.011634541701902</v>
      </c>
      <c r="F85" s="1">
        <f t="shared" si="2"/>
        <v>-207.31443361229296</v>
      </c>
      <c r="G85" s="1">
        <f t="shared" si="0"/>
        <v>9.2147904444677966E-91</v>
      </c>
      <c r="H85" s="1">
        <f>G85/$G$21</f>
        <v>6.4617295956236797E-92</v>
      </c>
      <c r="I85">
        <f>IF($E$11&lt;=D85, IF(D85&lt;=$A$15,D85-$E$11,$F$11),0)</f>
        <v>53</v>
      </c>
      <c r="J85">
        <f>IF(D85&lt;=$A$15,0,D85-$A$15)</f>
        <v>0</v>
      </c>
      <c r="K85" s="5">
        <f>IF(D85&lt;$E$11,H85,0)</f>
        <v>0</v>
      </c>
      <c r="L85">
        <f>IF(D85&lt;$A$15,$C$11,$C$11*(1-$G$11))</f>
        <v>500</v>
      </c>
      <c r="M85">
        <f>IF(D85&lt;$A$15,0,1)</f>
        <v>0</v>
      </c>
    </row>
    <row r="86" spans="4:13" x14ac:dyDescent="0.2">
      <c r="D86">
        <f t="shared" si="1"/>
        <v>63</v>
      </c>
      <c r="E86" s="1">
        <f>IF($G$11=1,IF(D86&lt;=$A$15, E85+LN($C$11)-LN(60/$D$11)-LN(MIN(D86,$E$11)), E85-LN(60/$D$11)-LN(MIN(D86,$E$11))), IF(D86&lt;=$A$15, E85+LN($C$11)-LN(60/$D$11)-LN(MIN(D86,$E$11)), E85+LN($C$11)+LN(1-$G$11)-LN(60/$D$11)-LN(MIN(D86,$E$11))))</f>
        <v>59.850964232439928</v>
      </c>
      <c r="F86" s="1">
        <f t="shared" si="2"/>
        <v>-206.47510392155493</v>
      </c>
      <c r="G86" s="1">
        <f t="shared" si="0"/>
        <v>2.1330533436268034E-90</v>
      </c>
      <c r="H86" s="1">
        <f>G86/$G$21</f>
        <v>1.4957707397277028E-91</v>
      </c>
      <c r="I86">
        <f>IF($E$11&lt;=D86, IF(D86&lt;=$A$15,D86-$E$11,$F$11),0)</f>
        <v>54</v>
      </c>
      <c r="J86">
        <f>IF(D86&lt;=$A$15,0,D86-$A$15)</f>
        <v>0</v>
      </c>
      <c r="K86" s="5">
        <f>IF(D86&lt;$E$11,H86,0)</f>
        <v>0</v>
      </c>
      <c r="L86">
        <f>IF(D86&lt;$A$15,$C$11,$C$11*(1-$G$11))</f>
        <v>500</v>
      </c>
      <c r="M86">
        <f>IF(D86&lt;$A$15,0,1)</f>
        <v>0</v>
      </c>
    </row>
    <row r="87" spans="4:13" x14ac:dyDescent="0.2">
      <c r="D87">
        <f t="shared" si="1"/>
        <v>64</v>
      </c>
      <c r="E87" s="1">
        <f>IF($G$11=1,IF(D87&lt;=$A$15, E86+LN($C$11)-LN(60/$D$11)-LN(MIN(D87,$E$11)), E86-LN(60/$D$11)-LN(MIN(D87,$E$11))), IF(D87&lt;=$A$15, E86+LN($C$11)-LN(60/$D$11)-LN(MIN(D87,$E$11)), E86+LN($C$11)+LN(1-$G$11)-LN(60/$D$11)-LN(MIN(D87,$E$11))))</f>
        <v>60.690293923177954</v>
      </c>
      <c r="F87" s="1">
        <f t="shared" si="2"/>
        <v>-205.63577423081691</v>
      </c>
      <c r="G87" s="1">
        <f t="shared" si="0"/>
        <v>4.9376234806175968E-90</v>
      </c>
      <c r="H87" s="1">
        <f>G87/$G$21</f>
        <v>3.4624322678881984E-91</v>
      </c>
      <c r="I87">
        <f>IF($E$11&lt;=D87, IF(D87&lt;=$A$15,D87-$E$11,$F$11),0)</f>
        <v>55</v>
      </c>
      <c r="J87">
        <f>IF(D87&lt;=$A$15,0,D87-$A$15)</f>
        <v>0</v>
      </c>
      <c r="K87" s="5">
        <f>IF(D87&lt;$E$11,H87,0)</f>
        <v>0</v>
      </c>
      <c r="L87">
        <f>IF(D87&lt;$A$15,$C$11,$C$11*(1-$G$11))</f>
        <v>500</v>
      </c>
      <c r="M87">
        <f>IF(D87&lt;$A$15,0,1)</f>
        <v>0</v>
      </c>
    </row>
    <row r="88" spans="4:13" x14ac:dyDescent="0.2">
      <c r="D88">
        <f t="shared" si="1"/>
        <v>65</v>
      </c>
      <c r="E88" s="1">
        <f>IF($G$11=1,IF(D88&lt;=$A$15, E87+LN($C$11)-LN(60/$D$11)-LN(MIN(D88,$E$11)), E87-LN(60/$D$11)-LN(MIN(D88,$E$11))), IF(D88&lt;=$A$15, E87+LN($C$11)-LN(60/$D$11)-LN(MIN(D88,$E$11)), E87+LN($C$11)+LN(1-$G$11)-LN(60/$D$11)-LN(MIN(D88,$E$11))))</f>
        <v>61.52962361391598</v>
      </c>
      <c r="F88" s="1">
        <f t="shared" si="2"/>
        <v>-204.79644454007888</v>
      </c>
      <c r="G88" s="1">
        <f t="shared" ref="G88:G151" si="3">EXP(F88)</f>
        <v>1.1429683982911097E-89</v>
      </c>
      <c r="H88" s="1">
        <f>G88/$G$21</f>
        <v>8.014889509000454E-91</v>
      </c>
      <c r="I88">
        <f>IF($E$11&lt;=D88, IF(D88&lt;=$A$15,D88-$E$11,$F$11),0)</f>
        <v>56</v>
      </c>
      <c r="J88">
        <f>IF(D88&lt;=$A$15,0,D88-$A$15)</f>
        <v>0</v>
      </c>
      <c r="K88" s="5">
        <f>IF(D88&lt;$E$11,H88,0)</f>
        <v>0</v>
      </c>
      <c r="L88">
        <f>IF(D88&lt;$A$15,$C$11,$C$11*(1-$G$11))</f>
        <v>500</v>
      </c>
      <c r="M88">
        <f>IF(D88&lt;$A$15,0,1)</f>
        <v>0</v>
      </c>
    </row>
    <row r="89" spans="4:13" x14ac:dyDescent="0.2">
      <c r="D89">
        <f t="shared" ref="D89:D152" si="4">1+D88</f>
        <v>66</v>
      </c>
      <c r="E89" s="1">
        <f>IF($G$11=1,IF(D89&lt;=$A$15, E88+LN($C$11)-LN(60/$D$11)-LN(MIN(D89,$E$11)), E88-LN(60/$D$11)-LN(MIN(D89,$E$11))), IF(D89&lt;=$A$15, E88+LN($C$11)-LN(60/$D$11)-LN(MIN(D89,$E$11)), E88+LN($C$11)+LN(1-$G$11)-LN(60/$D$11)-LN(MIN(D89,$E$11))))</f>
        <v>62.368953304654006</v>
      </c>
      <c r="F89" s="1">
        <f t="shared" ref="F89:F152" si="5">E89-$E$21</f>
        <v>-203.95711484934085</v>
      </c>
      <c r="G89" s="1">
        <f t="shared" si="3"/>
        <v>2.6457601812294192E-89</v>
      </c>
      <c r="H89" s="1">
        <f>G89/$G$21</f>
        <v>1.8552984974538078E-90</v>
      </c>
      <c r="I89">
        <f>IF($E$11&lt;=D89, IF(D89&lt;=$A$15,D89-$E$11,$F$11),0)</f>
        <v>57</v>
      </c>
      <c r="J89">
        <f>IF(D89&lt;=$A$15,0,D89-$A$15)</f>
        <v>0</v>
      </c>
      <c r="K89" s="5">
        <f>IF(D89&lt;$E$11,H89,0)</f>
        <v>0</v>
      </c>
      <c r="L89">
        <f>IF(D89&lt;$A$15,$C$11,$C$11*(1-$G$11))</f>
        <v>500</v>
      </c>
      <c r="M89">
        <f>IF(D89&lt;$A$15,0,1)</f>
        <v>0</v>
      </c>
    </row>
    <row r="90" spans="4:13" x14ac:dyDescent="0.2">
      <c r="D90">
        <f t="shared" si="4"/>
        <v>67</v>
      </c>
      <c r="E90" s="1">
        <f>IF($G$11=1,IF(D90&lt;=$A$15, E89+LN($C$11)-LN(60/$D$11)-LN(MIN(D90,$E$11)), E89-LN(60/$D$11)-LN(MIN(D90,$E$11))), IF(D90&lt;=$A$15, E89+LN($C$11)-LN(60/$D$11)-LN(MIN(D90,$E$11)), E89+LN($C$11)+LN(1-$G$11)-LN(60/$D$11)-LN(MIN(D90,$E$11))))</f>
        <v>63.208282995392032</v>
      </c>
      <c r="F90" s="1">
        <f t="shared" si="5"/>
        <v>-203.11778515860283</v>
      </c>
      <c r="G90" s="1">
        <f t="shared" si="3"/>
        <v>6.1244448639569841E-89</v>
      </c>
      <c r="H90" s="1">
        <f>G90/$G$21</f>
        <v>4.2946724478097368E-90</v>
      </c>
      <c r="I90">
        <f>IF($E$11&lt;=D90, IF(D90&lt;=$A$15,D90-$E$11,$F$11),0)</f>
        <v>58</v>
      </c>
      <c r="J90">
        <f>IF(D90&lt;=$A$15,0,D90-$A$15)</f>
        <v>0</v>
      </c>
      <c r="K90" s="5">
        <f>IF(D90&lt;$E$11,H90,0)</f>
        <v>0</v>
      </c>
      <c r="L90">
        <f>IF(D90&lt;$A$15,$C$11,$C$11*(1-$G$11))</f>
        <v>500</v>
      </c>
      <c r="M90">
        <f>IF(D90&lt;$A$15,0,1)</f>
        <v>0</v>
      </c>
    </row>
    <row r="91" spans="4:13" x14ac:dyDescent="0.2">
      <c r="D91">
        <f t="shared" si="4"/>
        <v>68</v>
      </c>
      <c r="E91" s="1">
        <f>IF($G$11=1,IF(D91&lt;=$A$15, E90+LN($C$11)-LN(60/$D$11)-LN(MIN(D91,$E$11)), E90-LN(60/$D$11)-LN(MIN(D91,$E$11))), IF(D91&lt;=$A$15, E90+LN($C$11)-LN(60/$D$11)-LN(MIN(D91,$E$11)), E90+LN($C$11)+LN(1-$G$11)-LN(60/$D$11)-LN(MIN(D91,$E$11))))</f>
        <v>64.047612686130066</v>
      </c>
      <c r="F91" s="1">
        <f t="shared" si="5"/>
        <v>-202.2784554678648</v>
      </c>
      <c r="G91" s="1">
        <f t="shared" si="3"/>
        <v>1.4176955703604121E-88</v>
      </c>
      <c r="H91" s="1">
        <f>G91/$G$21</f>
        <v>9.9413714069669771E-90</v>
      </c>
      <c r="I91">
        <f>IF($E$11&lt;=D91, IF(D91&lt;=$A$15,D91-$E$11,$F$11),0)</f>
        <v>59</v>
      </c>
      <c r="J91">
        <f>IF(D91&lt;=$A$15,0,D91-$A$15)</f>
        <v>0</v>
      </c>
      <c r="K91" s="5">
        <f>IF(D91&lt;$E$11,H91,0)</f>
        <v>0</v>
      </c>
      <c r="L91">
        <f>IF(D91&lt;$A$15,$C$11,$C$11*(1-$G$11))</f>
        <v>500</v>
      </c>
      <c r="M91">
        <f>IF(D91&lt;$A$15,0,1)</f>
        <v>0</v>
      </c>
    </row>
    <row r="92" spans="4:13" x14ac:dyDescent="0.2">
      <c r="D92">
        <f t="shared" si="4"/>
        <v>69</v>
      </c>
      <c r="E92" s="1">
        <f>IF($G$11=1,IF(D92&lt;=$A$15, E91+LN($C$11)-LN(60/$D$11)-LN(MIN(D92,$E$11)), E91-LN(60/$D$11)-LN(MIN(D92,$E$11))), IF(D92&lt;=$A$15, E91+LN($C$11)-LN(60/$D$11)-LN(MIN(D92,$E$11)), E91+LN($C$11)+LN(1-$G$11)-LN(60/$D$11)-LN(MIN(D92,$E$11))))</f>
        <v>64.886942376868092</v>
      </c>
      <c r="F92" s="1">
        <f t="shared" si="5"/>
        <v>-201.43912577712678</v>
      </c>
      <c r="G92" s="1">
        <f t="shared" si="3"/>
        <v>3.2817027091676188E-88</v>
      </c>
      <c r="H92" s="1">
        <f>G92/$G$21</f>
        <v>2.3012433812423546E-89</v>
      </c>
      <c r="I92">
        <f>IF($E$11&lt;=D92, IF(D92&lt;=$A$15,D92-$E$11,$F$11),0)</f>
        <v>60</v>
      </c>
      <c r="J92">
        <f>IF(D92&lt;=$A$15,0,D92-$A$15)</f>
        <v>0</v>
      </c>
      <c r="K92" s="5">
        <f>IF(D92&lt;$E$11,H92,0)</f>
        <v>0</v>
      </c>
      <c r="L92">
        <f>IF(D92&lt;$A$15,$C$11,$C$11*(1-$G$11))</f>
        <v>500</v>
      </c>
      <c r="M92">
        <f>IF(D92&lt;$A$15,0,1)</f>
        <v>0</v>
      </c>
    </row>
    <row r="93" spans="4:13" x14ac:dyDescent="0.2">
      <c r="D93">
        <f t="shared" si="4"/>
        <v>70</v>
      </c>
      <c r="E93" s="1">
        <f>IF($G$11=1,IF(D93&lt;=$A$15, E92+LN($C$11)-LN(60/$D$11)-LN(MIN(D93,$E$11)), E92-LN(60/$D$11)-LN(MIN(D93,$E$11))), IF(D93&lt;=$A$15, E92+LN($C$11)-LN(60/$D$11)-LN(MIN(D93,$E$11)), E92+LN($C$11)+LN(1-$G$11)-LN(60/$D$11)-LN(MIN(D93,$E$11))))</f>
        <v>65.726272067606118</v>
      </c>
      <c r="F93" s="1">
        <f t="shared" si="5"/>
        <v>-200.59979608638875</v>
      </c>
      <c r="G93" s="1">
        <f t="shared" si="3"/>
        <v>7.5965340489991121E-88</v>
      </c>
      <c r="H93" s="1">
        <f>G93/$G$21</f>
        <v>5.3269522713943357E-89</v>
      </c>
      <c r="I93">
        <f>IF($E$11&lt;=D93, IF(D93&lt;=$A$15,D93-$E$11,$F$11),0)</f>
        <v>61</v>
      </c>
      <c r="J93">
        <f>IF(D93&lt;=$A$15,0,D93-$A$15)</f>
        <v>0</v>
      </c>
      <c r="K93" s="5">
        <f>IF(D93&lt;$E$11,H93,0)</f>
        <v>0</v>
      </c>
      <c r="L93">
        <f>IF(D93&lt;$A$15,$C$11,$C$11*(1-$G$11))</f>
        <v>500</v>
      </c>
      <c r="M93">
        <f>IF(D93&lt;$A$15,0,1)</f>
        <v>0</v>
      </c>
    </row>
    <row r="94" spans="4:13" x14ac:dyDescent="0.2">
      <c r="D94">
        <f t="shared" si="4"/>
        <v>71</v>
      </c>
      <c r="E94" s="1">
        <f>IF($G$11=1,IF(D94&lt;=$A$15, E93+LN($C$11)-LN(60/$D$11)-LN(MIN(D94,$E$11)), E93-LN(60/$D$11)-LN(MIN(D94,$E$11))), IF(D94&lt;=$A$15, E93+LN($C$11)-LN(60/$D$11)-LN(MIN(D94,$E$11)), E93+LN($C$11)+LN(1-$G$11)-LN(60/$D$11)-LN(MIN(D94,$E$11))))</f>
        <v>66.565601758344144</v>
      </c>
      <c r="F94" s="1">
        <f t="shared" si="5"/>
        <v>-199.76046639565072</v>
      </c>
      <c r="G94" s="1">
        <f t="shared" si="3"/>
        <v>1.7584569557868304E-87</v>
      </c>
      <c r="H94" s="1">
        <f>G94/$G$21</f>
        <v>1.2330908035635028E-88</v>
      </c>
      <c r="I94">
        <f>IF($E$11&lt;=D94, IF(D94&lt;=$A$15,D94-$E$11,$F$11),0)</f>
        <v>62</v>
      </c>
      <c r="J94">
        <f>IF(D94&lt;=$A$15,0,D94-$A$15)</f>
        <v>0</v>
      </c>
      <c r="K94" s="5">
        <f>IF(D94&lt;$E$11,H94,0)</f>
        <v>0</v>
      </c>
      <c r="L94">
        <f>IF(D94&lt;$A$15,$C$11,$C$11*(1-$G$11))</f>
        <v>500</v>
      </c>
      <c r="M94">
        <f>IF(D94&lt;$A$15,0,1)</f>
        <v>0</v>
      </c>
    </row>
    <row r="95" spans="4:13" x14ac:dyDescent="0.2">
      <c r="D95">
        <f t="shared" si="4"/>
        <v>72</v>
      </c>
      <c r="E95" s="1">
        <f>IF($G$11=1,IF(D95&lt;=$A$15, E94+LN($C$11)-LN(60/$D$11)-LN(MIN(D95,$E$11)), E94-LN(60/$D$11)-LN(MIN(D95,$E$11))), IF(D95&lt;=$A$15, E94+LN($C$11)-LN(60/$D$11)-LN(MIN(D95,$E$11)), E94+LN($C$11)+LN(1-$G$11)-LN(60/$D$11)-LN(MIN(D95,$E$11))))</f>
        <v>67.40493144908217</v>
      </c>
      <c r="F95" s="1">
        <f t="shared" si="5"/>
        <v>-198.9211367049127</v>
      </c>
      <c r="G95" s="1">
        <f t="shared" si="3"/>
        <v>4.0705022124695125E-87</v>
      </c>
      <c r="H95" s="1">
        <f>G95/$G$21</f>
        <v>2.8543768601006994E-88</v>
      </c>
      <c r="I95">
        <f>IF($E$11&lt;=D95, IF(D95&lt;=$A$15,D95-$E$11,$F$11),0)</f>
        <v>63</v>
      </c>
      <c r="J95">
        <f>IF(D95&lt;=$A$15,0,D95-$A$15)</f>
        <v>0</v>
      </c>
      <c r="K95" s="5">
        <f>IF(D95&lt;$E$11,H95,0)</f>
        <v>0</v>
      </c>
      <c r="L95">
        <f>IF(D95&lt;$A$15,$C$11,$C$11*(1-$G$11))</f>
        <v>500</v>
      </c>
      <c r="M95">
        <f>IF(D95&lt;$A$15,0,1)</f>
        <v>0</v>
      </c>
    </row>
    <row r="96" spans="4:13" x14ac:dyDescent="0.2">
      <c r="D96">
        <f t="shared" si="4"/>
        <v>73</v>
      </c>
      <c r="E96" s="1">
        <f>IF($G$11=1,IF(D96&lt;=$A$15, E95+LN($C$11)-LN(60/$D$11)-LN(MIN(D96,$E$11)), E95-LN(60/$D$11)-LN(MIN(D96,$E$11))), IF(D96&lt;=$A$15, E95+LN($C$11)-LN(60/$D$11)-LN(MIN(D96,$E$11)), E95+LN($C$11)+LN(1-$G$11)-LN(60/$D$11)-LN(MIN(D96,$E$11))))</f>
        <v>68.244261139820196</v>
      </c>
      <c r="F96" s="1">
        <f t="shared" si="5"/>
        <v>-198.08180701417467</v>
      </c>
      <c r="G96" s="1">
        <f t="shared" si="3"/>
        <v>9.4224588251609018E-87</v>
      </c>
      <c r="H96" s="1">
        <f>G96/$G$21</f>
        <v>6.6073538428256882E-88</v>
      </c>
      <c r="I96">
        <f>IF($E$11&lt;=D96, IF(D96&lt;=$A$15,D96-$E$11,$F$11),0)</f>
        <v>64</v>
      </c>
      <c r="J96">
        <f>IF(D96&lt;=$A$15,0,D96-$A$15)</f>
        <v>0</v>
      </c>
      <c r="K96" s="5">
        <f>IF(D96&lt;$E$11,H96,0)</f>
        <v>0</v>
      </c>
      <c r="L96">
        <f>IF(D96&lt;$A$15,$C$11,$C$11*(1-$G$11))</f>
        <v>500</v>
      </c>
      <c r="M96">
        <f>IF(D96&lt;$A$15,0,1)</f>
        <v>0</v>
      </c>
    </row>
    <row r="97" spans="4:13" x14ac:dyDescent="0.2">
      <c r="D97">
        <f t="shared" si="4"/>
        <v>74</v>
      </c>
      <c r="E97" s="1">
        <f>IF($G$11=1,IF(D97&lt;=$A$15, E96+LN($C$11)-LN(60/$D$11)-LN(MIN(D97,$E$11)), E96-LN(60/$D$11)-LN(MIN(D97,$E$11))), IF(D97&lt;=$A$15, E96+LN($C$11)-LN(60/$D$11)-LN(MIN(D97,$E$11)), E96+LN($C$11)+LN(1-$G$11)-LN(60/$D$11)-LN(MIN(D97,$E$11))))</f>
        <v>69.083590830558222</v>
      </c>
      <c r="F97" s="1">
        <f t="shared" si="5"/>
        <v>-197.24247732343665</v>
      </c>
      <c r="G97" s="1">
        <f t="shared" si="3"/>
        <v>2.1811247280465036E-86</v>
      </c>
      <c r="H97" s="1">
        <f>G97/$G$21</f>
        <v>1.5294800562096491E-87</v>
      </c>
      <c r="I97">
        <f>IF($E$11&lt;=D97, IF(D97&lt;=$A$15,D97-$E$11,$F$11),0)</f>
        <v>65</v>
      </c>
      <c r="J97">
        <f>IF(D97&lt;=$A$15,0,D97-$A$15)</f>
        <v>0</v>
      </c>
      <c r="K97" s="5">
        <f>IF(D97&lt;$E$11,H97,0)</f>
        <v>0</v>
      </c>
      <c r="L97">
        <f>IF(D97&lt;$A$15,$C$11,$C$11*(1-$G$11))</f>
        <v>500</v>
      </c>
      <c r="M97">
        <f>IF(D97&lt;$A$15,0,1)</f>
        <v>0</v>
      </c>
    </row>
    <row r="98" spans="4:13" x14ac:dyDescent="0.2">
      <c r="D98">
        <f t="shared" si="4"/>
        <v>75</v>
      </c>
      <c r="E98" s="1">
        <f>IF($G$11=1,IF(D98&lt;=$A$15, E97+LN($C$11)-LN(60/$D$11)-LN(MIN(D98,$E$11)), E97-LN(60/$D$11)-LN(MIN(D98,$E$11))), IF(D98&lt;=$A$15, E97+LN($C$11)-LN(60/$D$11)-LN(MIN(D98,$E$11)), E97+LN($C$11)+LN(1-$G$11)-LN(60/$D$11)-LN(MIN(D98,$E$11))))</f>
        <v>69.922920521296248</v>
      </c>
      <c r="F98" s="1">
        <f t="shared" si="5"/>
        <v>-196.40314763269862</v>
      </c>
      <c r="G98" s="1">
        <f t="shared" si="3"/>
        <v>5.0488998334409775E-86</v>
      </c>
      <c r="H98" s="1">
        <f>G98/$G$21</f>
        <v>3.5404630930778891E-87</v>
      </c>
      <c r="I98">
        <f>IF($E$11&lt;=D98, IF(D98&lt;=$A$15,D98-$E$11,$F$11),0)</f>
        <v>66</v>
      </c>
      <c r="J98">
        <f>IF(D98&lt;=$A$15,0,D98-$A$15)</f>
        <v>0</v>
      </c>
      <c r="K98" s="5">
        <f>IF(D98&lt;$E$11,H98,0)</f>
        <v>0</v>
      </c>
      <c r="L98">
        <f>IF(D98&lt;$A$15,$C$11,$C$11*(1-$G$11))</f>
        <v>500</v>
      </c>
      <c r="M98">
        <f>IF(D98&lt;$A$15,0,1)</f>
        <v>0</v>
      </c>
    </row>
    <row r="99" spans="4:13" x14ac:dyDescent="0.2">
      <c r="D99">
        <f t="shared" si="4"/>
        <v>76</v>
      </c>
      <c r="E99" s="1">
        <f>IF($G$11=1,IF(D99&lt;=$A$15, E98+LN($C$11)-LN(60/$D$11)-LN(MIN(D99,$E$11)), E98-LN(60/$D$11)-LN(MIN(D99,$E$11))), IF(D99&lt;=$A$15, E98+LN($C$11)-LN(60/$D$11)-LN(MIN(D99,$E$11)), E98+LN($C$11)+LN(1-$G$11)-LN(60/$D$11)-LN(MIN(D99,$E$11))))</f>
        <v>70.762250212034274</v>
      </c>
      <c r="F99" s="1">
        <f t="shared" si="5"/>
        <v>-195.56381794196059</v>
      </c>
      <c r="G99" s="1">
        <f t="shared" si="3"/>
        <v>1.1687268132965218E-85</v>
      </c>
      <c r="H99" s="1">
        <f>G99/$G$21</f>
        <v>8.1955164191617755E-87</v>
      </c>
      <c r="I99">
        <f>IF($E$11&lt;=D99, IF(D99&lt;=$A$15,D99-$E$11,$F$11),0)</f>
        <v>67</v>
      </c>
      <c r="J99">
        <f>IF(D99&lt;=$A$15,0,D99-$A$15)</f>
        <v>0</v>
      </c>
      <c r="K99" s="5">
        <f>IF(D99&lt;$E$11,H99,0)</f>
        <v>0</v>
      </c>
      <c r="L99">
        <f>IF(D99&lt;$A$15,$C$11,$C$11*(1-$G$11))</f>
        <v>500</v>
      </c>
      <c r="M99">
        <f>IF(D99&lt;$A$15,0,1)</f>
        <v>0</v>
      </c>
    </row>
    <row r="100" spans="4:13" x14ac:dyDescent="0.2">
      <c r="D100">
        <f t="shared" si="4"/>
        <v>77</v>
      </c>
      <c r="E100" s="1">
        <f>IF($G$11=1,IF(D100&lt;=$A$15, E99+LN($C$11)-LN(60/$D$11)-LN(MIN(D100,$E$11)), E99-LN(60/$D$11)-LN(MIN(D100,$E$11))), IF(D100&lt;=$A$15, E99+LN($C$11)-LN(60/$D$11)-LN(MIN(D100,$E$11)), E99+LN($C$11)+LN(1-$G$11)-LN(60/$D$11)-LN(MIN(D100,$E$11))))</f>
        <v>71.601579902772301</v>
      </c>
      <c r="F100" s="1">
        <f t="shared" si="5"/>
        <v>-194.72448825122257</v>
      </c>
      <c r="G100" s="1">
        <f t="shared" si="3"/>
        <v>2.7053861418900954E-85</v>
      </c>
      <c r="H100" s="1">
        <f>G100/$G$21</f>
        <v>1.8971102822133728E-86</v>
      </c>
      <c r="I100">
        <f>IF($E$11&lt;=D100, IF(D100&lt;=$A$15,D100-$E$11,$F$11),0)</f>
        <v>68</v>
      </c>
      <c r="J100">
        <f>IF(D100&lt;=$A$15,0,D100-$A$15)</f>
        <v>0</v>
      </c>
      <c r="K100" s="5">
        <f>IF(D100&lt;$E$11,H100,0)</f>
        <v>0</v>
      </c>
      <c r="L100">
        <f>IF(D100&lt;$A$15,$C$11,$C$11*(1-$G$11))</f>
        <v>500</v>
      </c>
      <c r="M100">
        <f>IF(D100&lt;$A$15,0,1)</f>
        <v>0</v>
      </c>
    </row>
    <row r="101" spans="4:13" x14ac:dyDescent="0.2">
      <c r="D101">
        <f t="shared" si="4"/>
        <v>78</v>
      </c>
      <c r="E101" s="1">
        <f>IF($G$11=1,IF(D101&lt;=$A$15, E100+LN($C$11)-LN(60/$D$11)-LN(MIN(D101,$E$11)), E100-LN(60/$D$11)-LN(MIN(D101,$E$11))), IF(D101&lt;=$A$15, E100+LN($C$11)-LN(60/$D$11)-LN(MIN(D101,$E$11)), E100+LN($C$11)+LN(1-$G$11)-LN(60/$D$11)-LN(MIN(D101,$E$11))))</f>
        <v>72.440909593510327</v>
      </c>
      <c r="F101" s="1">
        <f t="shared" si="5"/>
        <v>-193.88515856048454</v>
      </c>
      <c r="G101" s="1">
        <f t="shared" si="3"/>
        <v>6.2624679210418828E-85</v>
      </c>
      <c r="H101" s="1">
        <f>G101/$G$21</f>
        <v>4.3914589866050267E-86</v>
      </c>
      <c r="I101">
        <f>IF($E$11&lt;=D101, IF(D101&lt;=$A$15,D101-$E$11,$F$11),0)</f>
        <v>69</v>
      </c>
      <c r="J101">
        <f>IF(D101&lt;=$A$15,0,D101-$A$15)</f>
        <v>0</v>
      </c>
      <c r="K101" s="5">
        <f>IF(D101&lt;$E$11,H101,0)</f>
        <v>0</v>
      </c>
      <c r="L101">
        <f>IF(D101&lt;$A$15,$C$11,$C$11*(1-$G$11))</f>
        <v>500</v>
      </c>
      <c r="M101">
        <f>IF(D101&lt;$A$15,0,1)</f>
        <v>0</v>
      </c>
    </row>
    <row r="102" spans="4:13" x14ac:dyDescent="0.2">
      <c r="D102">
        <f t="shared" si="4"/>
        <v>79</v>
      </c>
      <c r="E102" s="1">
        <f>IF($G$11=1,IF(D102&lt;=$A$15, E101+LN($C$11)-LN(60/$D$11)-LN(MIN(D102,$E$11)), E101-LN(60/$D$11)-LN(MIN(D102,$E$11))), IF(D102&lt;=$A$15, E101+LN($C$11)-LN(60/$D$11)-LN(MIN(D102,$E$11)), E101+LN($C$11)+LN(1-$G$11)-LN(60/$D$11)-LN(MIN(D102,$E$11))))</f>
        <v>73.280239284248353</v>
      </c>
      <c r="F102" s="1">
        <f t="shared" si="5"/>
        <v>-193.04582886974652</v>
      </c>
      <c r="G102" s="1">
        <f t="shared" si="3"/>
        <v>1.4496453520930275E-84</v>
      </c>
      <c r="H102" s="1">
        <f>G102/$G$21</f>
        <v>1.0165414320844962E-85</v>
      </c>
      <c r="I102">
        <f>IF($E$11&lt;=D102, IF(D102&lt;=$A$15,D102-$E$11,$F$11),0)</f>
        <v>70</v>
      </c>
      <c r="J102">
        <f>IF(D102&lt;=$A$15,0,D102-$A$15)</f>
        <v>0</v>
      </c>
      <c r="K102" s="5">
        <f>IF(D102&lt;$E$11,H102,0)</f>
        <v>0</v>
      </c>
      <c r="L102">
        <f>IF(D102&lt;$A$15,$C$11,$C$11*(1-$G$11))</f>
        <v>500</v>
      </c>
      <c r="M102">
        <f>IF(D102&lt;$A$15,0,1)</f>
        <v>0</v>
      </c>
    </row>
    <row r="103" spans="4:13" x14ac:dyDescent="0.2">
      <c r="D103">
        <f t="shared" si="4"/>
        <v>80</v>
      </c>
      <c r="E103" s="1">
        <f>IF($G$11=1,IF(D103&lt;=$A$15, E102+LN($C$11)-LN(60/$D$11)-LN(MIN(D103,$E$11)), E102-LN(60/$D$11)-LN(MIN(D103,$E$11))), IF(D103&lt;=$A$15, E102+LN($C$11)-LN(60/$D$11)-LN(MIN(D103,$E$11)), E102+LN($C$11)+LN(1-$G$11)-LN(60/$D$11)-LN(MIN(D103,$E$11))))</f>
        <v>74.119568974986379</v>
      </c>
      <c r="F103" s="1">
        <f t="shared" si="5"/>
        <v>-192.20649917900849</v>
      </c>
      <c r="G103" s="1">
        <f t="shared" si="3"/>
        <v>3.3556605372523766E-84</v>
      </c>
      <c r="H103" s="1">
        <f>G103/$G$21</f>
        <v>2.3531051668622587E-85</v>
      </c>
      <c r="I103">
        <f>IF($E$11&lt;=D103, IF(D103&lt;=$A$15,D103-$E$11,$F$11),0)</f>
        <v>71</v>
      </c>
      <c r="J103">
        <f>IF(D103&lt;=$A$15,0,D103-$A$15)</f>
        <v>0</v>
      </c>
      <c r="K103" s="5">
        <f>IF(D103&lt;$E$11,H103,0)</f>
        <v>0</v>
      </c>
      <c r="L103">
        <f>IF(D103&lt;$A$15,$C$11,$C$11*(1-$G$11))</f>
        <v>500</v>
      </c>
      <c r="M103">
        <f>IF(D103&lt;$A$15,0,1)</f>
        <v>0</v>
      </c>
    </row>
    <row r="104" spans="4:13" x14ac:dyDescent="0.2">
      <c r="D104">
        <f t="shared" si="4"/>
        <v>81</v>
      </c>
      <c r="E104" s="1">
        <f>IF($G$11=1,IF(D104&lt;=$A$15, E103+LN($C$11)-LN(60/$D$11)-LN(MIN(D104,$E$11)), E103-LN(60/$D$11)-LN(MIN(D104,$E$11))), IF(D104&lt;=$A$15, E103+LN($C$11)-LN(60/$D$11)-LN(MIN(D104,$E$11)), E103+LN($C$11)+LN(1-$G$11)-LN(60/$D$11)-LN(MIN(D104,$E$11))))</f>
        <v>74.958898665724405</v>
      </c>
      <c r="F104" s="1">
        <f t="shared" si="5"/>
        <v>-191.36716948827046</v>
      </c>
      <c r="G104" s="1">
        <f t="shared" si="3"/>
        <v>7.767732725121237E-84</v>
      </c>
      <c r="H104" s="1">
        <f>G104/$G$21</f>
        <v>5.4470027010700395E-85</v>
      </c>
      <c r="I104">
        <f>IF($E$11&lt;=D104, IF(D104&lt;=$A$15,D104-$E$11,$F$11),0)</f>
        <v>72</v>
      </c>
      <c r="J104">
        <f>IF(D104&lt;=$A$15,0,D104-$A$15)</f>
        <v>0</v>
      </c>
      <c r="K104" s="5">
        <f>IF(D104&lt;$E$11,H104,0)</f>
        <v>0</v>
      </c>
      <c r="L104">
        <f>IF(D104&lt;$A$15,$C$11,$C$11*(1-$G$11))</f>
        <v>500</v>
      </c>
      <c r="M104">
        <f>IF(D104&lt;$A$15,0,1)</f>
        <v>0</v>
      </c>
    </row>
    <row r="105" spans="4:13" x14ac:dyDescent="0.2">
      <c r="D105">
        <f t="shared" si="4"/>
        <v>82</v>
      </c>
      <c r="E105" s="1">
        <f>IF($G$11=1,IF(D105&lt;=$A$15, E104+LN($C$11)-LN(60/$D$11)-LN(MIN(D105,$E$11)), E104-LN(60/$D$11)-LN(MIN(D105,$E$11))), IF(D105&lt;=$A$15, E104+LN($C$11)-LN(60/$D$11)-LN(MIN(D105,$E$11)), E104+LN($C$11)+LN(1-$G$11)-LN(60/$D$11)-LN(MIN(D105,$E$11))))</f>
        <v>75.798228356462431</v>
      </c>
      <c r="F105" s="1">
        <f t="shared" si="5"/>
        <v>-190.52783979753244</v>
      </c>
      <c r="G105" s="1">
        <f t="shared" si="3"/>
        <v>1.7980862789632482E-83</v>
      </c>
      <c r="H105" s="1">
        <f>G105/$G$21</f>
        <v>1.2608802548773232E-84</v>
      </c>
      <c r="I105">
        <f>IF($E$11&lt;=D105, IF(D105&lt;=$A$15,D105-$E$11,$F$11),0)</f>
        <v>73</v>
      </c>
      <c r="J105">
        <f>IF(D105&lt;=$A$15,0,D105-$A$15)</f>
        <v>0</v>
      </c>
      <c r="K105" s="5">
        <f>IF(D105&lt;$E$11,H105,0)</f>
        <v>0</v>
      </c>
      <c r="L105">
        <f>IF(D105&lt;$A$15,$C$11,$C$11*(1-$G$11))</f>
        <v>500</v>
      </c>
      <c r="M105">
        <f>IF(D105&lt;$A$15,0,1)</f>
        <v>0</v>
      </c>
    </row>
    <row r="106" spans="4:13" x14ac:dyDescent="0.2">
      <c r="D106">
        <f t="shared" si="4"/>
        <v>83</v>
      </c>
      <c r="E106" s="1">
        <f>IF($G$11=1,IF(D106&lt;=$A$15, E105+LN($C$11)-LN(60/$D$11)-LN(MIN(D106,$E$11)), E105-LN(60/$D$11)-LN(MIN(D106,$E$11))), IF(D106&lt;=$A$15, E105+LN($C$11)-LN(60/$D$11)-LN(MIN(D106,$E$11)), E105+LN($C$11)+LN(1-$G$11)-LN(60/$D$11)-LN(MIN(D106,$E$11))))</f>
        <v>76.637558047200457</v>
      </c>
      <c r="F106" s="1">
        <f t="shared" si="5"/>
        <v>-189.68851010679441</v>
      </c>
      <c r="G106" s="1">
        <f t="shared" si="3"/>
        <v>4.162236756859368E-83</v>
      </c>
      <c r="H106" s="1">
        <f>G106/$G$21</f>
        <v>2.9187042936975051E-84</v>
      </c>
      <c r="I106">
        <f>IF($E$11&lt;=D106, IF(D106&lt;=$A$15,D106-$E$11,$F$11),0)</f>
        <v>74</v>
      </c>
      <c r="J106">
        <f>IF(D106&lt;=$A$15,0,D106-$A$15)</f>
        <v>0</v>
      </c>
      <c r="K106" s="5">
        <f>IF(D106&lt;$E$11,H106,0)</f>
        <v>0</v>
      </c>
      <c r="L106">
        <f>IF(D106&lt;$A$15,$C$11,$C$11*(1-$G$11))</f>
        <v>500</v>
      </c>
      <c r="M106">
        <f>IF(D106&lt;$A$15,0,1)</f>
        <v>0</v>
      </c>
    </row>
    <row r="107" spans="4:13" x14ac:dyDescent="0.2">
      <c r="D107">
        <f t="shared" si="4"/>
        <v>84</v>
      </c>
      <c r="E107" s="1">
        <f>IF($G$11=1,IF(D107&lt;=$A$15, E106+LN($C$11)-LN(60/$D$11)-LN(MIN(D107,$E$11)), E106-LN(60/$D$11)-LN(MIN(D107,$E$11))), IF(D107&lt;=$A$15, E106+LN($C$11)-LN(60/$D$11)-LN(MIN(D107,$E$11)), E106+LN($C$11)+LN(1-$G$11)-LN(60/$D$11)-LN(MIN(D107,$E$11))))</f>
        <v>77.476887737938483</v>
      </c>
      <c r="F107" s="1">
        <f t="shared" si="5"/>
        <v>-188.84918041605638</v>
      </c>
      <c r="G107" s="1">
        <f t="shared" si="3"/>
        <v>9.6348073075448273E-83</v>
      </c>
      <c r="H107" s="1">
        <f>G107/$G$21</f>
        <v>6.7562599391145914E-84</v>
      </c>
      <c r="I107">
        <f>IF($E$11&lt;=D107, IF(D107&lt;=$A$15,D107-$E$11,$F$11),0)</f>
        <v>75</v>
      </c>
      <c r="J107">
        <f>IF(D107&lt;=$A$15,0,D107-$A$15)</f>
        <v>0</v>
      </c>
      <c r="K107" s="5">
        <f>IF(D107&lt;$E$11,H107,0)</f>
        <v>0</v>
      </c>
      <c r="L107">
        <f>IF(D107&lt;$A$15,$C$11,$C$11*(1-$G$11))</f>
        <v>500</v>
      </c>
      <c r="M107">
        <f>IF(D107&lt;$A$15,0,1)</f>
        <v>0</v>
      </c>
    </row>
    <row r="108" spans="4:13" x14ac:dyDescent="0.2">
      <c r="D108">
        <f t="shared" si="4"/>
        <v>85</v>
      </c>
      <c r="E108" s="1">
        <f>IF($G$11=1,IF(D108&lt;=$A$15, E107+LN($C$11)-LN(60/$D$11)-LN(MIN(D108,$E$11)), E107-LN(60/$D$11)-LN(MIN(D108,$E$11))), IF(D108&lt;=$A$15, E107+LN($C$11)-LN(60/$D$11)-LN(MIN(D108,$E$11)), E107+LN($C$11)+LN(1-$G$11)-LN(60/$D$11)-LN(MIN(D108,$E$11))))</f>
        <v>78.316217428676509</v>
      </c>
      <c r="F108" s="1">
        <f t="shared" si="5"/>
        <v>-188.00985072531836</v>
      </c>
      <c r="G108" s="1">
        <f t="shared" si="3"/>
        <v>2.2302794693390789E-82</v>
      </c>
      <c r="H108" s="1">
        <f>G108/$G$21</f>
        <v>1.5639490599802284E-83</v>
      </c>
      <c r="I108">
        <f>IF($E$11&lt;=D108, IF(D108&lt;=$A$15,D108-$E$11,$F$11),0)</f>
        <v>76</v>
      </c>
      <c r="J108">
        <f>IF(D108&lt;=$A$15,0,D108-$A$15)</f>
        <v>0</v>
      </c>
      <c r="K108" s="5">
        <f>IF(D108&lt;$E$11,H108,0)</f>
        <v>0</v>
      </c>
      <c r="L108">
        <f>IF(D108&lt;$A$15,$C$11,$C$11*(1-$G$11))</f>
        <v>500</v>
      </c>
      <c r="M108">
        <f>IF(D108&lt;$A$15,0,1)</f>
        <v>0</v>
      </c>
    </row>
    <row r="109" spans="4:13" x14ac:dyDescent="0.2">
      <c r="D109">
        <f t="shared" si="4"/>
        <v>86</v>
      </c>
      <c r="E109" s="1">
        <f>IF($G$11=1,IF(D109&lt;=$A$15, E108+LN($C$11)-LN(60/$D$11)-LN(MIN(D109,$E$11)), E108-LN(60/$D$11)-LN(MIN(D109,$E$11))), IF(D109&lt;=$A$15, E108+LN($C$11)-LN(60/$D$11)-LN(MIN(D109,$E$11)), E108+LN($C$11)+LN(1-$G$11)-LN(60/$D$11)-LN(MIN(D109,$E$11))))</f>
        <v>79.155547119414535</v>
      </c>
      <c r="F109" s="1">
        <f t="shared" si="5"/>
        <v>-187.17052103458033</v>
      </c>
      <c r="G109" s="1">
        <f t="shared" si="3"/>
        <v>5.1626839568034204E-82</v>
      </c>
      <c r="H109" s="1">
        <f>G109/$G$21</f>
        <v>3.6202524536579341E-83</v>
      </c>
      <c r="I109">
        <f>IF($E$11&lt;=D109, IF(D109&lt;=$A$15,D109-$E$11,$F$11),0)</f>
        <v>77</v>
      </c>
      <c r="J109">
        <f>IF(D109&lt;=$A$15,0,D109-$A$15)</f>
        <v>0</v>
      </c>
      <c r="K109" s="5">
        <f>IF(D109&lt;$E$11,H109,0)</f>
        <v>0</v>
      </c>
      <c r="L109">
        <f>IF(D109&lt;$A$15,$C$11,$C$11*(1-$G$11))</f>
        <v>500</v>
      </c>
      <c r="M109">
        <f>IF(D109&lt;$A$15,0,1)</f>
        <v>0</v>
      </c>
    </row>
    <row r="110" spans="4:13" x14ac:dyDescent="0.2">
      <c r="D110">
        <f t="shared" si="4"/>
        <v>87</v>
      </c>
      <c r="E110" s="1">
        <f>IF($G$11=1,IF(D110&lt;=$A$15, E109+LN($C$11)-LN(60/$D$11)-LN(MIN(D110,$E$11)), E109-LN(60/$D$11)-LN(MIN(D110,$E$11))), IF(D110&lt;=$A$15, E109+LN($C$11)-LN(60/$D$11)-LN(MIN(D110,$E$11)), E109+LN($C$11)+LN(1-$G$11)-LN(60/$D$11)-LN(MIN(D110,$E$11))))</f>
        <v>79.994876810152562</v>
      </c>
      <c r="F110" s="1">
        <f t="shared" si="5"/>
        <v>-186.33119134384231</v>
      </c>
      <c r="G110" s="1">
        <f t="shared" si="3"/>
        <v>1.1950657307415316E-81</v>
      </c>
      <c r="H110" s="1">
        <f>G110/$G$21</f>
        <v>8.3802140130970637E-83</v>
      </c>
      <c r="I110">
        <f>IF($E$11&lt;=D110, IF(D110&lt;=$A$15,D110-$E$11,$F$11),0)</f>
        <v>78</v>
      </c>
      <c r="J110">
        <f>IF(D110&lt;=$A$15,0,D110-$A$15)</f>
        <v>0</v>
      </c>
      <c r="K110" s="5">
        <f>IF(D110&lt;$E$11,H110,0)</f>
        <v>0</v>
      </c>
      <c r="L110">
        <f>IF(D110&lt;$A$15,$C$11,$C$11*(1-$G$11))</f>
        <v>500</v>
      </c>
      <c r="M110">
        <f>IF(D110&lt;$A$15,0,1)</f>
        <v>0</v>
      </c>
    </row>
    <row r="111" spans="4:13" x14ac:dyDescent="0.2">
      <c r="D111">
        <f t="shared" si="4"/>
        <v>88</v>
      </c>
      <c r="E111" s="1">
        <f>IF($G$11=1,IF(D111&lt;=$A$15, E110+LN($C$11)-LN(60/$D$11)-LN(MIN(D111,$E$11)), E110-LN(60/$D$11)-LN(MIN(D111,$E$11))), IF(D111&lt;=$A$15, E110+LN($C$11)-LN(60/$D$11)-LN(MIN(D111,$E$11)), E110+LN($C$11)+LN(1-$G$11)-LN(60/$D$11)-LN(MIN(D111,$E$11))))</f>
        <v>80.834206500890588</v>
      </c>
      <c r="F111" s="1">
        <f t="shared" si="5"/>
        <v>-185.49186165310428</v>
      </c>
      <c r="G111" s="1">
        <f t="shared" si="3"/>
        <v>2.7663558581979881E-81</v>
      </c>
      <c r="H111" s="1">
        <f>G111/$G$21</f>
        <v>1.9398643548835781E-82</v>
      </c>
      <c r="I111">
        <f>IF($E$11&lt;=D111, IF(D111&lt;=$A$15,D111-$E$11,$F$11),0)</f>
        <v>79</v>
      </c>
      <c r="J111">
        <f>IF(D111&lt;=$A$15,0,D111-$A$15)</f>
        <v>0</v>
      </c>
      <c r="K111" s="5">
        <f>IF(D111&lt;$E$11,H111,0)</f>
        <v>0</v>
      </c>
      <c r="L111">
        <f>IF(D111&lt;$A$15,$C$11,$C$11*(1-$G$11))</f>
        <v>500</v>
      </c>
      <c r="M111">
        <f>IF(D111&lt;$A$15,0,1)</f>
        <v>0</v>
      </c>
    </row>
    <row r="112" spans="4:13" x14ac:dyDescent="0.2">
      <c r="D112">
        <f t="shared" si="4"/>
        <v>89</v>
      </c>
      <c r="E112" s="1">
        <f>IF($G$11=1,IF(D112&lt;=$A$15, E111+LN($C$11)-LN(60/$D$11)-LN(MIN(D112,$E$11)), E111-LN(60/$D$11)-LN(MIN(D112,$E$11))), IF(D112&lt;=$A$15, E111+LN($C$11)-LN(60/$D$11)-LN(MIN(D112,$E$11)), E111+LN($C$11)+LN(1-$G$11)-LN(60/$D$11)-LN(MIN(D112,$E$11))))</f>
        <v>81.673536191628614</v>
      </c>
      <c r="F112" s="1">
        <f t="shared" si="5"/>
        <v>-184.65253196236625</v>
      </c>
      <c r="G112" s="1">
        <f t="shared" si="3"/>
        <v>6.4036015236064505E-81</v>
      </c>
      <c r="H112" s="1">
        <f>G112/$G$21</f>
        <v>4.4904267474156881E-82</v>
      </c>
      <c r="I112">
        <f>IF($E$11&lt;=D112, IF(D112&lt;=$A$15,D112-$E$11,$F$11),0)</f>
        <v>80</v>
      </c>
      <c r="J112">
        <f>IF(D112&lt;=$A$15,0,D112-$A$15)</f>
        <v>0</v>
      </c>
      <c r="K112" s="5">
        <f>IF(D112&lt;$E$11,H112,0)</f>
        <v>0</v>
      </c>
      <c r="L112">
        <f>IF(D112&lt;$A$15,$C$11,$C$11*(1-$G$11))</f>
        <v>500</v>
      </c>
      <c r="M112">
        <f>IF(D112&lt;$A$15,0,1)</f>
        <v>0</v>
      </c>
    </row>
    <row r="113" spans="4:13" x14ac:dyDescent="0.2">
      <c r="D113">
        <f t="shared" si="4"/>
        <v>90</v>
      </c>
      <c r="E113" s="1">
        <f>IF($G$11=1,IF(D113&lt;=$A$15, E112+LN($C$11)-LN(60/$D$11)-LN(MIN(D113,$E$11)), E112-LN(60/$D$11)-LN(MIN(D113,$E$11))), IF(D113&lt;=$A$15, E112+LN($C$11)-LN(60/$D$11)-LN(MIN(D113,$E$11)), E112+LN($C$11)+LN(1-$G$11)-LN(60/$D$11)-LN(MIN(D113,$E$11))))</f>
        <v>82.51286588236664</v>
      </c>
      <c r="F113" s="1">
        <f t="shared" si="5"/>
        <v>-183.81320227162823</v>
      </c>
      <c r="G113" s="1">
        <f t="shared" si="3"/>
        <v>1.4823151675014922E-80</v>
      </c>
      <c r="H113" s="1">
        <f>G113/$G$21</f>
        <v>1.039450635975853E-81</v>
      </c>
      <c r="I113">
        <f>IF($E$11&lt;=D113, IF(D113&lt;=$A$15,D113-$E$11,$F$11),0)</f>
        <v>81</v>
      </c>
      <c r="J113">
        <f>IF(D113&lt;=$A$15,0,D113-$A$15)</f>
        <v>0</v>
      </c>
      <c r="K113" s="5">
        <f>IF(D113&lt;$E$11,H113,0)</f>
        <v>0</v>
      </c>
      <c r="L113">
        <f>IF(D113&lt;$A$15,$C$11,$C$11*(1-$G$11))</f>
        <v>500</v>
      </c>
      <c r="M113">
        <f>IF(D113&lt;$A$15,0,1)</f>
        <v>0</v>
      </c>
    </row>
    <row r="114" spans="4:13" x14ac:dyDescent="0.2">
      <c r="D114">
        <f t="shared" si="4"/>
        <v>91</v>
      </c>
      <c r="E114" s="1">
        <f>IF($G$11=1,IF(D114&lt;=$A$15, E113+LN($C$11)-LN(60/$D$11)-LN(MIN(D114,$E$11)), E113-LN(60/$D$11)-LN(MIN(D114,$E$11))), IF(D114&lt;=$A$15, E113+LN($C$11)-LN(60/$D$11)-LN(MIN(D114,$E$11)), E113+LN($C$11)+LN(1-$G$11)-LN(60/$D$11)-LN(MIN(D114,$E$11))))</f>
        <v>83.352195573104666</v>
      </c>
      <c r="F114" s="1">
        <f t="shared" si="5"/>
        <v>-182.9738725808902</v>
      </c>
      <c r="G114" s="1">
        <f t="shared" si="3"/>
        <v>3.4312851099571558E-80</v>
      </c>
      <c r="H114" s="1">
        <f>G114/$G$21</f>
        <v>2.4061357314255844E-81</v>
      </c>
      <c r="I114">
        <f>IF($E$11&lt;=D114, IF(D114&lt;=$A$15,D114-$E$11,$F$11),0)</f>
        <v>82</v>
      </c>
      <c r="J114">
        <f>IF(D114&lt;=$A$15,0,D114-$A$15)</f>
        <v>0</v>
      </c>
      <c r="K114" s="5">
        <f>IF(D114&lt;$E$11,H114,0)</f>
        <v>0</v>
      </c>
      <c r="L114">
        <f>IF(D114&lt;$A$15,$C$11,$C$11*(1-$G$11))</f>
        <v>500</v>
      </c>
      <c r="M114">
        <f>IF(D114&lt;$A$15,0,1)</f>
        <v>0</v>
      </c>
    </row>
    <row r="115" spans="4:13" x14ac:dyDescent="0.2">
      <c r="D115">
        <f t="shared" si="4"/>
        <v>92</v>
      </c>
      <c r="E115" s="1">
        <f>IF($G$11=1,IF(D115&lt;=$A$15, E114+LN($C$11)-LN(60/$D$11)-LN(MIN(D115,$E$11)), E114-LN(60/$D$11)-LN(MIN(D115,$E$11))), IF(D115&lt;=$A$15, E114+LN($C$11)-LN(60/$D$11)-LN(MIN(D115,$E$11)), E114+LN($C$11)+LN(1-$G$11)-LN(60/$D$11)-LN(MIN(D115,$E$11))))</f>
        <v>84.191525263842692</v>
      </c>
      <c r="F115" s="1">
        <f t="shared" si="5"/>
        <v>-182.13454289015218</v>
      </c>
      <c r="G115" s="1">
        <f t="shared" si="3"/>
        <v>7.9427896063822991E-80</v>
      </c>
      <c r="H115" s="1">
        <f>G115/$G$21</f>
        <v>5.5697586375592187E-81</v>
      </c>
      <c r="I115">
        <f>IF($E$11&lt;=D115, IF(D115&lt;=$A$15,D115-$E$11,$F$11),0)</f>
        <v>83</v>
      </c>
      <c r="J115">
        <f>IF(D115&lt;=$A$15,0,D115-$A$15)</f>
        <v>0</v>
      </c>
      <c r="K115" s="5">
        <f>IF(D115&lt;$E$11,H115,0)</f>
        <v>0</v>
      </c>
      <c r="L115">
        <f>IF(D115&lt;$A$15,$C$11,$C$11*(1-$G$11))</f>
        <v>500</v>
      </c>
      <c r="M115">
        <f>IF(D115&lt;$A$15,0,1)</f>
        <v>0</v>
      </c>
    </row>
    <row r="116" spans="4:13" x14ac:dyDescent="0.2">
      <c r="D116">
        <f t="shared" si="4"/>
        <v>93</v>
      </c>
      <c r="E116" s="1">
        <f>IF($G$11=1,IF(D116&lt;=$A$15, E115+LN($C$11)-LN(60/$D$11)-LN(MIN(D116,$E$11)), E115-LN(60/$D$11)-LN(MIN(D116,$E$11))), IF(D116&lt;=$A$15, E115+LN($C$11)-LN(60/$D$11)-LN(MIN(D116,$E$11)), E115+LN($C$11)+LN(1-$G$11)-LN(60/$D$11)-LN(MIN(D116,$E$11))))</f>
        <v>85.030854954580718</v>
      </c>
      <c r="F116" s="1">
        <f t="shared" si="5"/>
        <v>-181.29521319941415</v>
      </c>
      <c r="G116" s="1">
        <f t="shared" si="3"/>
        <v>1.8386087051810867E-79</v>
      </c>
      <c r="H116" s="1">
        <f>G116/$G$21</f>
        <v>1.2892959809164851E-80</v>
      </c>
      <c r="I116">
        <f>IF($E$11&lt;=D116, IF(D116&lt;=$A$15,D116-$E$11,$F$11),0)</f>
        <v>84</v>
      </c>
      <c r="J116">
        <f>IF(D116&lt;=$A$15,0,D116-$A$15)</f>
        <v>0</v>
      </c>
      <c r="K116" s="5">
        <f>IF(D116&lt;$E$11,H116,0)</f>
        <v>0</v>
      </c>
      <c r="L116">
        <f>IF(D116&lt;$A$15,$C$11,$C$11*(1-$G$11))</f>
        <v>500</v>
      </c>
      <c r="M116">
        <f>IF(D116&lt;$A$15,0,1)</f>
        <v>0</v>
      </c>
    </row>
    <row r="117" spans="4:13" x14ac:dyDescent="0.2">
      <c r="D117">
        <f t="shared" si="4"/>
        <v>94</v>
      </c>
      <c r="E117" s="1">
        <f>IF($G$11=1,IF(D117&lt;=$A$15, E116+LN($C$11)-LN(60/$D$11)-LN(MIN(D117,$E$11)), E116-LN(60/$D$11)-LN(MIN(D117,$E$11))), IF(D117&lt;=$A$15, E116+LN($C$11)-LN(60/$D$11)-LN(MIN(D117,$E$11)), E116+LN($C$11)+LN(1-$G$11)-LN(60/$D$11)-LN(MIN(D117,$E$11))))</f>
        <v>85.870184645318744</v>
      </c>
      <c r="F117" s="1">
        <f t="shared" si="5"/>
        <v>-180.45588350867612</v>
      </c>
      <c r="G117" s="1">
        <f t="shared" si="3"/>
        <v>4.2560386694006609E-79</v>
      </c>
      <c r="H117" s="1">
        <f>G117/$G$21</f>
        <v>2.9844814373066766E-80</v>
      </c>
      <c r="I117">
        <f>IF($E$11&lt;=D117, IF(D117&lt;=$A$15,D117-$E$11,$F$11),0)</f>
        <v>85</v>
      </c>
      <c r="J117">
        <f>IF(D117&lt;=$A$15,0,D117-$A$15)</f>
        <v>0</v>
      </c>
      <c r="K117" s="5">
        <f>IF(D117&lt;$E$11,H117,0)</f>
        <v>0</v>
      </c>
      <c r="L117">
        <f>IF(D117&lt;$A$15,$C$11,$C$11*(1-$G$11))</f>
        <v>500</v>
      </c>
      <c r="M117">
        <f>IF(D117&lt;$A$15,0,1)</f>
        <v>0</v>
      </c>
    </row>
    <row r="118" spans="4:13" x14ac:dyDescent="0.2">
      <c r="D118">
        <f t="shared" si="4"/>
        <v>95</v>
      </c>
      <c r="E118" s="1">
        <f>IF($G$11=1,IF(D118&lt;=$A$15, E117+LN($C$11)-LN(60/$D$11)-LN(MIN(D118,$E$11)), E117-LN(60/$D$11)-LN(MIN(D118,$E$11))), IF(D118&lt;=$A$15, E117+LN($C$11)-LN(60/$D$11)-LN(MIN(D118,$E$11)), E117+LN($C$11)+LN(1-$G$11)-LN(60/$D$11)-LN(MIN(D118,$E$11))))</f>
        <v>86.70951433605677</v>
      </c>
      <c r="F118" s="1">
        <f t="shared" si="5"/>
        <v>-179.6165538179381</v>
      </c>
      <c r="G118" s="1">
        <f t="shared" si="3"/>
        <v>9.8519413643533749E-79</v>
      </c>
      <c r="H118" s="1">
        <f>G118/$G$21</f>
        <v>6.9085218456173023E-80</v>
      </c>
      <c r="I118">
        <f>IF($E$11&lt;=D118, IF(D118&lt;=$A$15,D118-$E$11,$F$11),0)</f>
        <v>86</v>
      </c>
      <c r="J118">
        <f>IF(D118&lt;=$A$15,0,D118-$A$15)</f>
        <v>0</v>
      </c>
      <c r="K118" s="5">
        <f>IF(D118&lt;$E$11,H118,0)</f>
        <v>0</v>
      </c>
      <c r="L118">
        <f>IF(D118&lt;$A$15,$C$11,$C$11*(1-$G$11))</f>
        <v>500</v>
      </c>
      <c r="M118">
        <f>IF(D118&lt;$A$15,0,1)</f>
        <v>0</v>
      </c>
    </row>
    <row r="119" spans="4:13" x14ac:dyDescent="0.2">
      <c r="D119">
        <f t="shared" si="4"/>
        <v>96</v>
      </c>
      <c r="E119" s="1">
        <f>IF($G$11=1,IF(D119&lt;=$A$15, E118+LN($C$11)-LN(60/$D$11)-LN(MIN(D119,$E$11)), E118-LN(60/$D$11)-LN(MIN(D119,$E$11))), IF(D119&lt;=$A$15, E118+LN($C$11)-LN(60/$D$11)-LN(MIN(D119,$E$11)), E118+LN($C$11)+LN(1-$G$11)-LN(60/$D$11)-LN(MIN(D119,$E$11))))</f>
        <v>87.548844026794796</v>
      </c>
      <c r="F119" s="1">
        <f t="shared" si="5"/>
        <v>-178.77722412720007</v>
      </c>
      <c r="G119" s="1">
        <f t="shared" si="3"/>
        <v>2.2805419824892057E-78</v>
      </c>
      <c r="H119" s="1">
        <f>G119/$G$21</f>
        <v>1.5991948716706707E-79</v>
      </c>
      <c r="I119">
        <f>IF($E$11&lt;=D119, IF(D119&lt;=$A$15,D119-$E$11,$F$11),0)</f>
        <v>87</v>
      </c>
      <c r="J119">
        <f>IF(D119&lt;=$A$15,0,D119-$A$15)</f>
        <v>0</v>
      </c>
      <c r="K119" s="5">
        <f>IF(D119&lt;$E$11,H119,0)</f>
        <v>0</v>
      </c>
      <c r="L119">
        <f>IF(D119&lt;$A$15,$C$11,$C$11*(1-$G$11))</f>
        <v>500</v>
      </c>
      <c r="M119">
        <f>IF(D119&lt;$A$15,0,1)</f>
        <v>0</v>
      </c>
    </row>
    <row r="120" spans="4:13" x14ac:dyDescent="0.2">
      <c r="D120">
        <f t="shared" si="4"/>
        <v>97</v>
      </c>
      <c r="E120" s="1">
        <f>IF($G$11=1,IF(D120&lt;=$A$15, E119+LN($C$11)-LN(60/$D$11)-LN(MIN(D120,$E$11)), E119-LN(60/$D$11)-LN(MIN(D120,$E$11))), IF(D120&lt;=$A$15, E119+LN($C$11)-LN(60/$D$11)-LN(MIN(D120,$E$11)), E119+LN($C$11)+LN(1-$G$11)-LN(60/$D$11)-LN(MIN(D120,$E$11))))</f>
        <v>88.388173717532823</v>
      </c>
      <c r="F120" s="1">
        <f t="shared" si="5"/>
        <v>-177.93789443646205</v>
      </c>
      <c r="G120" s="1">
        <f t="shared" si="3"/>
        <v>5.279032366873158E-78</v>
      </c>
      <c r="H120" s="1">
        <f>G120/$G$21</f>
        <v>3.7018399807191429E-79</v>
      </c>
      <c r="I120">
        <f>IF($E$11&lt;=D120, IF(D120&lt;=$A$15,D120-$E$11,$F$11),0)</f>
        <v>88</v>
      </c>
      <c r="J120">
        <f>IF(D120&lt;=$A$15,0,D120-$A$15)</f>
        <v>0</v>
      </c>
      <c r="K120" s="5">
        <f>IF(D120&lt;$E$11,H120,0)</f>
        <v>0</v>
      </c>
      <c r="L120">
        <f>IF(D120&lt;$A$15,$C$11,$C$11*(1-$G$11))</f>
        <v>500</v>
      </c>
      <c r="M120">
        <f>IF(D120&lt;$A$15,0,1)</f>
        <v>0</v>
      </c>
    </row>
    <row r="121" spans="4:13" x14ac:dyDescent="0.2">
      <c r="D121">
        <f t="shared" si="4"/>
        <v>98</v>
      </c>
      <c r="E121" s="1">
        <f>IF($G$11=1,IF(D121&lt;=$A$15, E120+LN($C$11)-LN(60/$D$11)-LN(MIN(D121,$E$11)), E120-LN(60/$D$11)-LN(MIN(D121,$E$11))), IF(D121&lt;=$A$15, E120+LN($C$11)-LN(60/$D$11)-LN(MIN(D121,$E$11)), E120+LN($C$11)+LN(1-$G$11)-LN(60/$D$11)-LN(MIN(D121,$E$11))))</f>
        <v>89.227503408270849</v>
      </c>
      <c r="F121" s="1">
        <f t="shared" si="5"/>
        <v>-177.09856474572402</v>
      </c>
      <c r="G121" s="1">
        <f t="shared" si="3"/>
        <v>1.2219982330724895E-77</v>
      </c>
      <c r="H121" s="1">
        <f>G121/$G$21</f>
        <v>8.5690740294424551E-79</v>
      </c>
      <c r="I121">
        <f>IF($E$11&lt;=D121, IF(D121&lt;=$A$15,D121-$E$11,$F$11),0)</f>
        <v>89</v>
      </c>
      <c r="J121">
        <f>IF(D121&lt;=$A$15,0,D121-$A$15)</f>
        <v>0</v>
      </c>
      <c r="K121" s="5">
        <f>IF(D121&lt;$E$11,H121,0)</f>
        <v>0</v>
      </c>
      <c r="L121">
        <f>IF(D121&lt;$A$15,$C$11,$C$11*(1-$G$11))</f>
        <v>500</v>
      </c>
      <c r="M121">
        <f>IF(D121&lt;$A$15,0,1)</f>
        <v>0</v>
      </c>
    </row>
    <row r="122" spans="4:13" x14ac:dyDescent="0.2">
      <c r="D122">
        <f t="shared" si="4"/>
        <v>99</v>
      </c>
      <c r="E122" s="1">
        <f>IF($G$11=1,IF(D122&lt;=$A$15, E121+LN($C$11)-LN(60/$D$11)-LN(MIN(D122,$E$11)), E121-LN(60/$D$11)-LN(MIN(D122,$E$11))), IF(D122&lt;=$A$15, E121+LN($C$11)-LN(60/$D$11)-LN(MIN(D122,$E$11)), E121+LN($C$11)+LN(1-$G$11)-LN(60/$D$11)-LN(MIN(D122,$E$11))))</f>
        <v>90.066833099008875</v>
      </c>
      <c r="F122" s="1">
        <f t="shared" si="5"/>
        <v>-176.25923505498599</v>
      </c>
      <c r="G122" s="1">
        <f t="shared" si="3"/>
        <v>2.828699613593724E-77</v>
      </c>
      <c r="H122" s="1">
        <f>G122/$G$21</f>
        <v>1.9835819512598264E-78</v>
      </c>
      <c r="I122">
        <f>IF($E$11&lt;=D122, IF(D122&lt;=$A$15,D122-$E$11,$F$11),0)</f>
        <v>90</v>
      </c>
      <c r="J122">
        <f>IF(D122&lt;=$A$15,0,D122-$A$15)</f>
        <v>0</v>
      </c>
      <c r="K122" s="5">
        <f>IF(D122&lt;$E$11,H122,0)</f>
        <v>0</v>
      </c>
      <c r="L122">
        <f>IF(D122&lt;$A$15,$C$11,$C$11*(1-$G$11))</f>
        <v>500</v>
      </c>
      <c r="M122">
        <f>IF(D122&lt;$A$15,0,1)</f>
        <v>0</v>
      </c>
    </row>
    <row r="123" spans="4:13" x14ac:dyDescent="0.2">
      <c r="D123">
        <f t="shared" si="4"/>
        <v>100</v>
      </c>
      <c r="E123" s="1">
        <f>IF($G$11=1,IF(D123&lt;=$A$15, E122+LN($C$11)-LN(60/$D$11)-LN(MIN(D123,$E$11)), E122-LN(60/$D$11)-LN(MIN(D123,$E$11))), IF(D123&lt;=$A$15, E122+LN($C$11)-LN(60/$D$11)-LN(MIN(D123,$E$11)), E122+LN($C$11)+LN(1-$G$11)-LN(60/$D$11)-LN(MIN(D123,$E$11))))</f>
        <v>90.906162789746901</v>
      </c>
      <c r="F123" s="1">
        <f t="shared" si="5"/>
        <v>-175.41990536424797</v>
      </c>
      <c r="G123" s="1">
        <f t="shared" si="3"/>
        <v>6.5479157722076898E-77</v>
      </c>
      <c r="H123" s="1">
        <f>G123/$G$21</f>
        <v>4.5916248871755203E-78</v>
      </c>
      <c r="I123">
        <f>IF($E$11&lt;=D123, IF(D123&lt;=$A$15,D123-$E$11,$F$11),0)</f>
        <v>91</v>
      </c>
      <c r="J123">
        <f>IF(D123&lt;=$A$15,0,D123-$A$15)</f>
        <v>0</v>
      </c>
      <c r="K123" s="5">
        <f>IF(D123&lt;$E$11,H123,0)</f>
        <v>0</v>
      </c>
      <c r="L123">
        <f>IF(D123&lt;$A$15,$C$11,$C$11*(1-$G$11))</f>
        <v>500</v>
      </c>
      <c r="M123">
        <f>IF(D123&lt;$A$15,0,1)</f>
        <v>0</v>
      </c>
    </row>
    <row r="124" spans="4:13" x14ac:dyDescent="0.2">
      <c r="D124">
        <f t="shared" si="4"/>
        <v>101</v>
      </c>
      <c r="E124" s="1">
        <f>IF($G$11=1,IF(D124&lt;=$A$15, E123+LN($C$11)-LN(60/$D$11)-LN(MIN(D124,$E$11)), E123-LN(60/$D$11)-LN(MIN(D124,$E$11))), IF(D124&lt;=$A$15, E123+LN($C$11)-LN(60/$D$11)-LN(MIN(D124,$E$11)), E123+LN($C$11)+LN(1-$G$11)-LN(60/$D$11)-LN(MIN(D124,$E$11))))</f>
        <v>91.745492480484927</v>
      </c>
      <c r="F124" s="1">
        <f t="shared" si="5"/>
        <v>-174.58057567350994</v>
      </c>
      <c r="G124" s="1">
        <f t="shared" si="3"/>
        <v>1.515721243566594E-76</v>
      </c>
      <c r="H124" s="1">
        <f>G124/$G$21</f>
        <v>1.0628761312906291E-77</v>
      </c>
      <c r="I124">
        <f>IF($E$11&lt;=D124, IF(D124&lt;=$A$15,D124-$E$11,$F$11),0)</f>
        <v>92</v>
      </c>
      <c r="J124">
        <f>IF(D124&lt;=$A$15,0,D124-$A$15)</f>
        <v>0</v>
      </c>
      <c r="K124" s="5">
        <f>IF(D124&lt;$E$11,H124,0)</f>
        <v>0</v>
      </c>
      <c r="L124">
        <f>IF(D124&lt;$A$15,$C$11,$C$11*(1-$G$11))</f>
        <v>500</v>
      </c>
      <c r="M124">
        <f>IF(D124&lt;$A$15,0,1)</f>
        <v>0</v>
      </c>
    </row>
    <row r="125" spans="4:13" x14ac:dyDescent="0.2">
      <c r="D125">
        <f t="shared" si="4"/>
        <v>102</v>
      </c>
      <c r="E125" s="1">
        <f>IF($G$11=1,IF(D125&lt;=$A$15, E124+LN($C$11)-LN(60/$D$11)-LN(MIN(D125,$E$11)), E124-LN(60/$D$11)-LN(MIN(D125,$E$11))), IF(D125&lt;=$A$15, E124+LN($C$11)-LN(60/$D$11)-LN(MIN(D125,$E$11)), E124+LN($C$11)+LN(1-$G$11)-LN(60/$D$11)-LN(MIN(D125,$E$11))))</f>
        <v>92.584822171222953</v>
      </c>
      <c r="F125" s="1">
        <f t="shared" si="5"/>
        <v>-173.74124598277191</v>
      </c>
      <c r="G125" s="1">
        <f t="shared" si="3"/>
        <v>3.5086139897374841E-76</v>
      </c>
      <c r="H125" s="1">
        <f>G125/$G$21</f>
        <v>2.460361415024603E-77</v>
      </c>
      <c r="I125">
        <f>IF($E$11&lt;=D125, IF(D125&lt;=$A$15,D125-$E$11,$F$11),0)</f>
        <v>93</v>
      </c>
      <c r="J125">
        <f>IF(D125&lt;=$A$15,0,D125-$A$15)</f>
        <v>0</v>
      </c>
      <c r="K125" s="5">
        <f>IF(D125&lt;$E$11,H125,0)</f>
        <v>0</v>
      </c>
      <c r="L125">
        <f>IF(D125&lt;$A$15,$C$11,$C$11*(1-$G$11))</f>
        <v>500</v>
      </c>
      <c r="M125">
        <f>IF(D125&lt;$A$15,0,1)</f>
        <v>0</v>
      </c>
    </row>
    <row r="126" spans="4:13" x14ac:dyDescent="0.2">
      <c r="D126">
        <f t="shared" si="4"/>
        <v>103</v>
      </c>
      <c r="E126" s="1">
        <f>IF($G$11=1,IF(D126&lt;=$A$15, E125+LN($C$11)-LN(60/$D$11)-LN(MIN(D126,$E$11)), E125-LN(60/$D$11)-LN(MIN(D126,$E$11))), IF(D126&lt;=$A$15, E125+LN($C$11)-LN(60/$D$11)-LN(MIN(D126,$E$11)), E125+LN($C$11)+LN(1-$G$11)-LN(60/$D$11)-LN(MIN(D126,$E$11))))</f>
        <v>93.424151861960979</v>
      </c>
      <c r="F126" s="1">
        <f t="shared" si="5"/>
        <v>-172.90191629203389</v>
      </c>
      <c r="G126" s="1">
        <f t="shared" si="3"/>
        <v>8.1217916429108374E-76</v>
      </c>
      <c r="H126" s="1">
        <f>G126/$G$21</f>
        <v>5.6952810532976888E-77</v>
      </c>
      <c r="I126">
        <f>IF($E$11&lt;=D126, IF(D126&lt;=$A$15,D126-$E$11,$F$11),0)</f>
        <v>94</v>
      </c>
      <c r="J126">
        <f>IF(D126&lt;=$A$15,0,D126-$A$15)</f>
        <v>0</v>
      </c>
      <c r="K126" s="5">
        <f>IF(D126&lt;$E$11,H126,0)</f>
        <v>0</v>
      </c>
      <c r="L126">
        <f>IF(D126&lt;$A$15,$C$11,$C$11*(1-$G$11))</f>
        <v>500</v>
      </c>
      <c r="M126">
        <f>IF(D126&lt;$A$15,0,1)</f>
        <v>0</v>
      </c>
    </row>
    <row r="127" spans="4:13" x14ac:dyDescent="0.2">
      <c r="D127">
        <f t="shared" si="4"/>
        <v>104</v>
      </c>
      <c r="E127" s="1">
        <f>IF($G$11=1,IF(D127&lt;=$A$15, E126+LN($C$11)-LN(60/$D$11)-LN(MIN(D127,$E$11)), E126-LN(60/$D$11)-LN(MIN(D127,$E$11))), IF(D127&lt;=$A$15, E126+LN($C$11)-LN(60/$D$11)-LN(MIN(D127,$E$11)), E126+LN($C$11)+LN(1-$G$11)-LN(60/$D$11)-LN(MIN(D127,$E$11))))</f>
        <v>94.263481552699005</v>
      </c>
      <c r="F127" s="1">
        <f t="shared" si="5"/>
        <v>-172.06258660129586</v>
      </c>
      <c r="G127" s="1">
        <f t="shared" si="3"/>
        <v>1.8800443617849147E-75</v>
      </c>
      <c r="H127" s="1">
        <f>G127/$G$21</f>
        <v>1.3183520956707604E-76</v>
      </c>
      <c r="I127">
        <f>IF($E$11&lt;=D127, IF(D127&lt;=$A$15,D127-$E$11,$F$11),0)</f>
        <v>95</v>
      </c>
      <c r="J127">
        <f>IF(D127&lt;=$A$15,0,D127-$A$15)</f>
        <v>0</v>
      </c>
      <c r="K127" s="5">
        <f>IF(D127&lt;$E$11,H127,0)</f>
        <v>0</v>
      </c>
      <c r="L127">
        <f>IF(D127&lt;$A$15,$C$11,$C$11*(1-$G$11))</f>
        <v>500</v>
      </c>
      <c r="M127">
        <f>IF(D127&lt;$A$15,0,1)</f>
        <v>0</v>
      </c>
    </row>
    <row r="128" spans="4:13" x14ac:dyDescent="0.2">
      <c r="D128">
        <f t="shared" si="4"/>
        <v>105</v>
      </c>
      <c r="E128" s="1">
        <f>IF($G$11=1,IF(D128&lt;=$A$15, E127+LN($C$11)-LN(60/$D$11)-LN(MIN(D128,$E$11)), E127-LN(60/$D$11)-LN(MIN(D128,$E$11))), IF(D128&lt;=$A$15, E127+LN($C$11)-LN(60/$D$11)-LN(MIN(D128,$E$11)), E127+LN($C$11)+LN(1-$G$11)-LN(60/$D$11)-LN(MIN(D128,$E$11))))</f>
        <v>95.102811243437031</v>
      </c>
      <c r="F128" s="1">
        <f t="shared" si="5"/>
        <v>-171.22325691055784</v>
      </c>
      <c r="G128" s="1">
        <f t="shared" si="3"/>
        <v>4.3519545411687814E-75</v>
      </c>
      <c r="H128" s="1">
        <f>G128/$G$21</f>
        <v>3.0517409622008322E-76</v>
      </c>
      <c r="I128">
        <f>IF($E$11&lt;=D128, IF(D128&lt;=$A$15,D128-$E$11,$F$11),0)</f>
        <v>96</v>
      </c>
      <c r="J128">
        <f>IF(D128&lt;=$A$15,0,D128-$A$15)</f>
        <v>0</v>
      </c>
      <c r="K128" s="5">
        <f>IF(D128&lt;$E$11,H128,0)</f>
        <v>0</v>
      </c>
      <c r="L128">
        <f>IF(D128&lt;$A$15,$C$11,$C$11*(1-$G$11))</f>
        <v>500</v>
      </c>
      <c r="M128">
        <f>IF(D128&lt;$A$15,0,1)</f>
        <v>0</v>
      </c>
    </row>
    <row r="129" spans="4:13" x14ac:dyDescent="0.2">
      <c r="D129">
        <f t="shared" si="4"/>
        <v>106</v>
      </c>
      <c r="E129" s="1">
        <f>IF($G$11=1,IF(D129&lt;=$A$15, E128+LN($C$11)-LN(60/$D$11)-LN(MIN(D129,$E$11)), E128-LN(60/$D$11)-LN(MIN(D129,$E$11))), IF(D129&lt;=$A$15, E128+LN($C$11)-LN(60/$D$11)-LN(MIN(D129,$E$11)), E128+LN($C$11)+LN(1-$G$11)-LN(60/$D$11)-LN(MIN(D129,$E$11))))</f>
        <v>95.942140934175058</v>
      </c>
      <c r="F129" s="1">
        <f t="shared" si="5"/>
        <v>-170.38392721981981</v>
      </c>
      <c r="G129" s="1">
        <f t="shared" si="3"/>
        <v>1.0073968845298099E-74</v>
      </c>
      <c r="H129" s="1">
        <f>G129/$G$21</f>
        <v>7.0642151902796995E-76</v>
      </c>
      <c r="I129">
        <f>IF($E$11&lt;=D129, IF(D129&lt;=$A$15,D129-$E$11,$F$11),0)</f>
        <v>97</v>
      </c>
      <c r="J129">
        <f>IF(D129&lt;=$A$15,0,D129-$A$15)</f>
        <v>0</v>
      </c>
      <c r="K129" s="5">
        <f>IF(D129&lt;$E$11,H129,0)</f>
        <v>0</v>
      </c>
      <c r="L129">
        <f>IF(D129&lt;$A$15,$C$11,$C$11*(1-$G$11))</f>
        <v>500</v>
      </c>
      <c r="M129">
        <f>IF(D129&lt;$A$15,0,1)</f>
        <v>0</v>
      </c>
    </row>
    <row r="130" spans="4:13" x14ac:dyDescent="0.2">
      <c r="D130">
        <f t="shared" si="4"/>
        <v>107</v>
      </c>
      <c r="E130" s="1">
        <f>IF($G$11=1,IF(D130&lt;=$A$15, E129+LN($C$11)-LN(60/$D$11)-LN(MIN(D130,$E$11)), E129-LN(60/$D$11)-LN(MIN(D130,$E$11))), IF(D130&lt;=$A$15, E129+LN($C$11)-LN(60/$D$11)-LN(MIN(D130,$E$11)), E129+LN($C$11)+LN(1-$G$11)-LN(60/$D$11)-LN(MIN(D130,$E$11))))</f>
        <v>96.781470624913084</v>
      </c>
      <c r="F130" s="1">
        <f t="shared" si="5"/>
        <v>-169.54459752908178</v>
      </c>
      <c r="G130" s="1">
        <f t="shared" si="3"/>
        <v>2.3319372327078918E-74</v>
      </c>
      <c r="H130" s="1">
        <f>G130/$G$21</f>
        <v>1.6352349977499294E-75</v>
      </c>
      <c r="I130">
        <f>IF($E$11&lt;=D130, IF(D130&lt;=$A$15,D130-$E$11,$F$11),0)</f>
        <v>98</v>
      </c>
      <c r="J130">
        <f>IF(D130&lt;=$A$15,0,D130-$A$15)</f>
        <v>0</v>
      </c>
      <c r="K130" s="5">
        <f>IF(D130&lt;$E$11,H130,0)</f>
        <v>0</v>
      </c>
      <c r="L130">
        <f>IF(D130&lt;$A$15,$C$11,$C$11*(1-$G$11))</f>
        <v>500</v>
      </c>
      <c r="M130">
        <f>IF(D130&lt;$A$15,0,1)</f>
        <v>0</v>
      </c>
    </row>
    <row r="131" spans="4:13" x14ac:dyDescent="0.2">
      <c r="D131">
        <f t="shared" si="4"/>
        <v>108</v>
      </c>
      <c r="E131" s="1">
        <f>IF($G$11=1,IF(D131&lt;=$A$15, E130+LN($C$11)-LN(60/$D$11)-LN(MIN(D131,$E$11)), E130-LN(60/$D$11)-LN(MIN(D131,$E$11))), IF(D131&lt;=$A$15, E130+LN($C$11)-LN(60/$D$11)-LN(MIN(D131,$E$11)), E130+LN($C$11)+LN(1-$G$11)-LN(60/$D$11)-LN(MIN(D131,$E$11))))</f>
        <v>97.62080031565111</v>
      </c>
      <c r="F131" s="1">
        <f t="shared" si="5"/>
        <v>-168.70526783834376</v>
      </c>
      <c r="G131" s="1">
        <f t="shared" si="3"/>
        <v>5.398002853490487E-74</v>
      </c>
      <c r="H131" s="1">
        <f>G131/$G$21</f>
        <v>3.7852661984952047E-75</v>
      </c>
      <c r="I131">
        <f>IF($E$11&lt;=D131, IF(D131&lt;=$A$15,D131-$E$11,$F$11),0)</f>
        <v>99</v>
      </c>
      <c r="J131">
        <f>IF(D131&lt;=$A$15,0,D131-$A$15)</f>
        <v>0</v>
      </c>
      <c r="K131" s="5">
        <f>IF(D131&lt;$E$11,H131,0)</f>
        <v>0</v>
      </c>
      <c r="L131">
        <f>IF(D131&lt;$A$15,$C$11,$C$11*(1-$G$11))</f>
        <v>500</v>
      </c>
      <c r="M131">
        <f>IF(D131&lt;$A$15,0,1)</f>
        <v>0</v>
      </c>
    </row>
    <row r="132" spans="4:13" x14ac:dyDescent="0.2">
      <c r="D132">
        <f t="shared" si="4"/>
        <v>109</v>
      </c>
      <c r="E132" s="1">
        <f>IF($G$11=1,IF(D132&lt;=$A$15, E131+LN($C$11)-LN(60/$D$11)-LN(MIN(D132,$E$11)), E131-LN(60/$D$11)-LN(MIN(D132,$E$11))), IF(D132&lt;=$A$15, E131+LN($C$11)-LN(60/$D$11)-LN(MIN(D132,$E$11)), E131+LN($C$11)+LN(1-$G$11)-LN(60/$D$11)-LN(MIN(D132,$E$11))))</f>
        <v>98.460130006389136</v>
      </c>
      <c r="F132" s="1">
        <f t="shared" si="5"/>
        <v>-167.86593814760573</v>
      </c>
      <c r="G132" s="1">
        <f t="shared" si="3"/>
        <v>1.2495376975672415E-73</v>
      </c>
      <c r="H132" s="1">
        <f>G132/$G$21</f>
        <v>8.7621902742944503E-75</v>
      </c>
      <c r="I132">
        <f>IF($E$11&lt;=D132, IF(D132&lt;=$A$15,D132-$E$11,$F$11),0)</f>
        <v>100</v>
      </c>
      <c r="J132">
        <f>IF(D132&lt;=$A$15,0,D132-$A$15)</f>
        <v>0</v>
      </c>
      <c r="K132" s="5">
        <f>IF(D132&lt;$E$11,H132,0)</f>
        <v>0</v>
      </c>
      <c r="L132">
        <f>IF(D132&lt;$A$15,$C$11,$C$11*(1-$G$11))</f>
        <v>500</v>
      </c>
      <c r="M132">
        <f>IF(D132&lt;$A$15,0,1)</f>
        <v>0</v>
      </c>
    </row>
    <row r="133" spans="4:13" x14ac:dyDescent="0.2">
      <c r="D133">
        <f t="shared" si="4"/>
        <v>110</v>
      </c>
      <c r="E133" s="1">
        <f>IF($G$11=1,IF(D133&lt;=$A$15, E132+LN($C$11)-LN(60/$D$11)-LN(MIN(D133,$E$11)), E132-LN(60/$D$11)-LN(MIN(D133,$E$11))), IF(D133&lt;=$A$15, E132+LN($C$11)-LN(60/$D$11)-LN(MIN(D133,$E$11)), E132+LN($C$11)+LN(1-$G$11)-LN(60/$D$11)-LN(MIN(D133,$E$11))))</f>
        <v>99.299459697127162</v>
      </c>
      <c r="F133" s="1">
        <f t="shared" si="5"/>
        <v>-167.02660845686771</v>
      </c>
      <c r="G133" s="1">
        <f t="shared" si="3"/>
        <v>2.8924483739982425E-73</v>
      </c>
      <c r="H133" s="1">
        <f>G133/$G$21</f>
        <v>2.0282847857163067E-74</v>
      </c>
      <c r="I133">
        <f>IF($E$11&lt;=D133, IF(D133&lt;=$A$15,D133-$E$11,$F$11),0)</f>
        <v>101</v>
      </c>
      <c r="J133">
        <f>IF(D133&lt;=$A$15,0,D133-$A$15)</f>
        <v>0</v>
      </c>
      <c r="K133" s="5">
        <f>IF(D133&lt;$E$11,H133,0)</f>
        <v>0</v>
      </c>
      <c r="L133">
        <f>IF(D133&lt;$A$15,$C$11,$C$11*(1-$G$11))</f>
        <v>500</v>
      </c>
      <c r="M133">
        <f>IF(D133&lt;$A$15,0,1)</f>
        <v>0</v>
      </c>
    </row>
    <row r="134" spans="4:13" x14ac:dyDescent="0.2">
      <c r="D134">
        <f t="shared" si="4"/>
        <v>111</v>
      </c>
      <c r="E134" s="1">
        <f>IF($G$11=1,IF(D134&lt;=$A$15, E133+LN($C$11)-LN(60/$D$11)-LN(MIN(D134,$E$11)), E133-LN(60/$D$11)-LN(MIN(D134,$E$11))), IF(D134&lt;=$A$15, E133+LN($C$11)-LN(60/$D$11)-LN(MIN(D134,$E$11)), E133+LN($C$11)+LN(1-$G$11)-LN(60/$D$11)-LN(MIN(D134,$E$11))))</f>
        <v>100.13878938786519</v>
      </c>
      <c r="F134" s="1">
        <f t="shared" si="5"/>
        <v>-166.18727876612968</v>
      </c>
      <c r="G134" s="1">
        <f t="shared" si="3"/>
        <v>6.6954823472181496E-73</v>
      </c>
      <c r="H134" s="1">
        <f>G134/$G$21</f>
        <v>4.6951036706395958E-74</v>
      </c>
      <c r="I134">
        <f>IF($E$11&lt;=D134, IF(D134&lt;=$A$15,D134-$E$11,$F$11),0)</f>
        <v>102</v>
      </c>
      <c r="J134">
        <f>IF(D134&lt;=$A$15,0,D134-$A$15)</f>
        <v>0</v>
      </c>
      <c r="K134" s="5">
        <f>IF(D134&lt;$E$11,H134,0)</f>
        <v>0</v>
      </c>
      <c r="L134">
        <f>IF(D134&lt;$A$15,$C$11,$C$11*(1-$G$11))</f>
        <v>500</v>
      </c>
      <c r="M134">
        <f>IF(D134&lt;$A$15,0,1)</f>
        <v>0</v>
      </c>
    </row>
    <row r="135" spans="4:13" x14ac:dyDescent="0.2">
      <c r="D135">
        <f t="shared" si="4"/>
        <v>112</v>
      </c>
      <c r="E135" s="1">
        <f>IF($G$11=1,IF(D135&lt;=$A$15, E134+LN($C$11)-LN(60/$D$11)-LN(MIN(D135,$E$11)), E134-LN(60/$D$11)-LN(MIN(D135,$E$11))), IF(D135&lt;=$A$15, E134+LN($C$11)-LN(60/$D$11)-LN(MIN(D135,$E$11)), E134+LN($C$11)+LN(1-$G$11)-LN(60/$D$11)-LN(MIN(D135,$E$11))))</f>
        <v>100.97811907860321</v>
      </c>
      <c r="F135" s="1">
        <f t="shared" si="5"/>
        <v>-165.34794907539165</v>
      </c>
      <c r="G135" s="1">
        <f t="shared" si="3"/>
        <v>1.5498801729671632E-72</v>
      </c>
      <c r="H135" s="1">
        <f>G135/$G$21</f>
        <v>1.0868295533887945E-73</v>
      </c>
      <c r="I135">
        <f>IF($E$11&lt;=D135, IF(D135&lt;=$A$15,D135-$E$11,$F$11),0)</f>
        <v>103</v>
      </c>
      <c r="J135">
        <f>IF(D135&lt;=$A$15,0,D135-$A$15)</f>
        <v>0</v>
      </c>
      <c r="K135" s="5">
        <f>IF(D135&lt;$E$11,H135,0)</f>
        <v>0</v>
      </c>
      <c r="L135">
        <f>IF(D135&lt;$A$15,$C$11,$C$11*(1-$G$11))</f>
        <v>500</v>
      </c>
      <c r="M135">
        <f>IF(D135&lt;$A$15,0,1)</f>
        <v>0</v>
      </c>
    </row>
    <row r="136" spans="4:13" x14ac:dyDescent="0.2">
      <c r="D136">
        <f t="shared" si="4"/>
        <v>113</v>
      </c>
      <c r="E136" s="1">
        <f>IF($G$11=1,IF(D136&lt;=$A$15, E135+LN($C$11)-LN(60/$D$11)-LN(MIN(D136,$E$11)), E135-LN(60/$D$11)-LN(MIN(D136,$E$11))), IF(D136&lt;=$A$15, E135+LN($C$11)-LN(60/$D$11)-LN(MIN(D136,$E$11)), E135+LN($C$11)+LN(1-$G$11)-LN(60/$D$11)-LN(MIN(D136,$E$11))))</f>
        <v>101.81744876934124</v>
      </c>
      <c r="F136" s="1">
        <f t="shared" si="5"/>
        <v>-164.50861938465363</v>
      </c>
      <c r="G136" s="1">
        <f t="shared" si="3"/>
        <v>3.5876855855721346E-72</v>
      </c>
      <c r="H136" s="1">
        <f>G136/$G$21</f>
        <v>2.5158091513629484E-73</v>
      </c>
      <c r="I136">
        <f>IF($E$11&lt;=D136, IF(D136&lt;=$A$15,D136-$E$11,$F$11),0)</f>
        <v>104</v>
      </c>
      <c r="J136">
        <f>IF(D136&lt;=$A$15,0,D136-$A$15)</f>
        <v>0</v>
      </c>
      <c r="K136" s="5">
        <f>IF(D136&lt;$E$11,H136,0)</f>
        <v>0</v>
      </c>
      <c r="L136">
        <f>IF(D136&lt;$A$15,$C$11,$C$11*(1-$G$11))</f>
        <v>500</v>
      </c>
      <c r="M136">
        <f>IF(D136&lt;$A$15,0,1)</f>
        <v>0</v>
      </c>
    </row>
    <row r="137" spans="4:13" x14ac:dyDescent="0.2">
      <c r="D137">
        <f t="shared" si="4"/>
        <v>114</v>
      </c>
      <c r="E137" s="1">
        <f>IF($G$11=1,IF(D137&lt;=$A$15, E136+LN($C$11)-LN(60/$D$11)-LN(MIN(D137,$E$11)), E136-LN(60/$D$11)-LN(MIN(D137,$E$11))), IF(D137&lt;=$A$15, E136+LN($C$11)-LN(60/$D$11)-LN(MIN(D137,$E$11)), E136+LN($C$11)+LN(1-$G$11)-LN(60/$D$11)-LN(MIN(D137,$E$11))))</f>
        <v>102.65677846007927</v>
      </c>
      <c r="F137" s="1">
        <f t="shared" si="5"/>
        <v>-163.6692896939156</v>
      </c>
      <c r="G137" s="1">
        <f t="shared" si="3"/>
        <v>8.3048277443799359E-72</v>
      </c>
      <c r="H137" s="1">
        <f>G137/$G$21</f>
        <v>5.8236322948216359E-73</v>
      </c>
      <c r="I137">
        <f>IF($E$11&lt;=D137, IF(D137&lt;=$A$15,D137-$E$11,$F$11),0)</f>
        <v>105</v>
      </c>
      <c r="J137">
        <f>IF(D137&lt;=$A$15,0,D137-$A$15)</f>
        <v>0</v>
      </c>
      <c r="K137" s="5">
        <f>IF(D137&lt;$E$11,H137,0)</f>
        <v>0</v>
      </c>
      <c r="L137">
        <f>IF(D137&lt;$A$15,$C$11,$C$11*(1-$G$11))</f>
        <v>500</v>
      </c>
      <c r="M137">
        <f>IF(D137&lt;$A$15,0,1)</f>
        <v>0</v>
      </c>
    </row>
    <row r="138" spans="4:13" x14ac:dyDescent="0.2">
      <c r="D138">
        <f t="shared" si="4"/>
        <v>115</v>
      </c>
      <c r="E138" s="1">
        <f>IF($G$11=1,IF(D138&lt;=$A$15, E137+LN($C$11)-LN(60/$D$11)-LN(MIN(D138,$E$11)), E137-LN(60/$D$11)-LN(MIN(D138,$E$11))), IF(D138&lt;=$A$15, E137+LN($C$11)-LN(60/$D$11)-LN(MIN(D138,$E$11)), E137+LN($C$11)+LN(1-$G$11)-LN(60/$D$11)-LN(MIN(D138,$E$11))))</f>
        <v>103.49610815081729</v>
      </c>
      <c r="F138" s="1">
        <f t="shared" si="5"/>
        <v>-162.82996000317758</v>
      </c>
      <c r="G138" s="1">
        <f t="shared" si="3"/>
        <v>1.9224138297175765E-71</v>
      </c>
      <c r="H138" s="1">
        <f>G138/$G$21</f>
        <v>1.3480630312087113E-72</v>
      </c>
      <c r="I138">
        <f>IF($E$11&lt;=D138, IF(D138&lt;=$A$15,D138-$E$11,$F$11),0)</f>
        <v>106</v>
      </c>
      <c r="J138">
        <f>IF(D138&lt;=$A$15,0,D138-$A$15)</f>
        <v>0</v>
      </c>
      <c r="K138" s="5">
        <f>IF(D138&lt;$E$11,H138,0)</f>
        <v>0</v>
      </c>
      <c r="L138">
        <f>IF(D138&lt;$A$15,$C$11,$C$11*(1-$G$11))</f>
        <v>500</v>
      </c>
      <c r="M138">
        <f>IF(D138&lt;$A$15,0,1)</f>
        <v>0</v>
      </c>
    </row>
    <row r="139" spans="4:13" x14ac:dyDescent="0.2">
      <c r="D139">
        <f t="shared" si="4"/>
        <v>116</v>
      </c>
      <c r="E139" s="1">
        <f>IF($G$11=1,IF(D139&lt;=$A$15, E138+LN($C$11)-LN(60/$D$11)-LN(MIN(D139,$E$11)), E138-LN(60/$D$11)-LN(MIN(D139,$E$11))), IF(D139&lt;=$A$15, E138+LN($C$11)-LN(60/$D$11)-LN(MIN(D139,$E$11)), E138+LN($C$11)+LN(1-$G$11)-LN(60/$D$11)-LN(MIN(D139,$E$11))))</f>
        <v>104.33543784155532</v>
      </c>
      <c r="F139" s="1">
        <f t="shared" si="5"/>
        <v>-161.99063031243955</v>
      </c>
      <c r="G139" s="1">
        <f t="shared" si="3"/>
        <v>4.4500320132351281E-71</v>
      </c>
      <c r="H139" s="1">
        <f>G139/$G$21</f>
        <v>3.1205162759460888E-72</v>
      </c>
      <c r="I139">
        <f>IF($E$11&lt;=D139, IF(D139&lt;=$A$15,D139-$E$11,$F$11),0)</f>
        <v>107</v>
      </c>
      <c r="J139">
        <f>IF(D139&lt;=$A$15,0,D139-$A$15)</f>
        <v>0</v>
      </c>
      <c r="K139" s="5">
        <f>IF(D139&lt;$E$11,H139,0)</f>
        <v>0</v>
      </c>
      <c r="L139">
        <f>IF(D139&lt;$A$15,$C$11,$C$11*(1-$G$11))</f>
        <v>500</v>
      </c>
      <c r="M139">
        <f>IF(D139&lt;$A$15,0,1)</f>
        <v>0</v>
      </c>
    </row>
    <row r="140" spans="4:13" x14ac:dyDescent="0.2">
      <c r="D140">
        <f t="shared" si="4"/>
        <v>117</v>
      </c>
      <c r="E140" s="1">
        <f>IF($G$11=1,IF(D140&lt;=$A$15, E139+LN($C$11)-LN(60/$D$11)-LN(MIN(D140,$E$11)), E139-LN(60/$D$11)-LN(MIN(D140,$E$11))), IF(D140&lt;=$A$15, E139+LN($C$11)-LN(60/$D$11)-LN(MIN(D140,$E$11)), E139+LN($C$11)+LN(1-$G$11)-LN(60/$D$11)-LN(MIN(D140,$E$11))))</f>
        <v>105.17476753229334</v>
      </c>
      <c r="F140" s="1">
        <f t="shared" si="5"/>
        <v>-161.15130062170152</v>
      </c>
      <c r="G140" s="1">
        <f t="shared" si="3"/>
        <v>1.0301000030636864E-70</v>
      </c>
      <c r="H140" s="1">
        <f>G140/$G$21</f>
        <v>7.2234173054307573E-72</v>
      </c>
      <c r="I140">
        <f>IF($E$11&lt;=D140, IF(D140&lt;=$A$15,D140-$E$11,$F$11),0)</f>
        <v>108</v>
      </c>
      <c r="J140">
        <f>IF(D140&lt;=$A$15,0,D140-$A$15)</f>
        <v>0</v>
      </c>
      <c r="K140" s="5">
        <f>IF(D140&lt;$E$11,H140,0)</f>
        <v>0</v>
      </c>
      <c r="L140">
        <f>IF(D140&lt;$A$15,$C$11,$C$11*(1-$G$11))</f>
        <v>500</v>
      </c>
      <c r="M140">
        <f>IF(D140&lt;$A$15,0,1)</f>
        <v>0</v>
      </c>
    </row>
    <row r="141" spans="4:13" x14ac:dyDescent="0.2">
      <c r="D141">
        <f t="shared" si="4"/>
        <v>118</v>
      </c>
      <c r="E141" s="1">
        <f>IF($G$11=1,IF(D141&lt;=$A$15, E140+LN($C$11)-LN(60/$D$11)-LN(MIN(D141,$E$11)), E140-LN(60/$D$11)-LN(MIN(D141,$E$11))), IF(D141&lt;=$A$15, E140+LN($C$11)-LN(60/$D$11)-LN(MIN(D141,$E$11)), E140+LN($C$11)+LN(1-$G$11)-LN(60/$D$11)-LN(MIN(D141,$E$11))))</f>
        <v>106.01409722303137</v>
      </c>
      <c r="F141" s="1">
        <f t="shared" si="5"/>
        <v>-160.3119709309635</v>
      </c>
      <c r="G141" s="1">
        <f t="shared" si="3"/>
        <v>2.3844907478326059E-70</v>
      </c>
      <c r="H141" s="1">
        <f>G141/$G$21</f>
        <v>1.6720873392200815E-71</v>
      </c>
      <c r="I141">
        <f>IF($E$11&lt;=D141, IF(D141&lt;=$A$15,D141-$E$11,$F$11),0)</f>
        <v>109</v>
      </c>
      <c r="J141">
        <f>IF(D141&lt;=$A$15,0,D141-$A$15)</f>
        <v>0</v>
      </c>
      <c r="K141" s="5">
        <f>IF(D141&lt;$E$11,H141,0)</f>
        <v>0</v>
      </c>
      <c r="L141">
        <f>IF(D141&lt;$A$15,$C$11,$C$11*(1-$G$11))</f>
        <v>500</v>
      </c>
      <c r="M141">
        <f>IF(D141&lt;$A$15,0,1)</f>
        <v>0</v>
      </c>
    </row>
    <row r="142" spans="4:13" x14ac:dyDescent="0.2">
      <c r="D142">
        <f t="shared" si="4"/>
        <v>119</v>
      </c>
      <c r="E142" s="1">
        <f>IF($G$11=1,IF(D142&lt;=$A$15, E141+LN($C$11)-LN(60/$D$11)-LN(MIN(D142,$E$11)), E141-LN(60/$D$11)-LN(MIN(D142,$E$11))), IF(D142&lt;=$A$15, E141+LN($C$11)-LN(60/$D$11)-LN(MIN(D142,$E$11)), E141+LN($C$11)+LN(1-$G$11)-LN(60/$D$11)-LN(MIN(D142,$E$11))))</f>
        <v>106.8534269137694</v>
      </c>
      <c r="F142" s="1">
        <f t="shared" si="5"/>
        <v>-159.47264124022547</v>
      </c>
      <c r="G142" s="1">
        <f t="shared" si="3"/>
        <v>5.5196545088717696E-70</v>
      </c>
      <c r="H142" s="1">
        <f>G142/$G$21</f>
        <v>3.8705725444909272E-71</v>
      </c>
      <c r="I142">
        <f>IF($E$11&lt;=D142, IF(D142&lt;=$A$15,D142-$E$11,$F$11),0)</f>
        <v>110</v>
      </c>
      <c r="J142">
        <f>IF(D142&lt;=$A$15,0,D142-$A$15)</f>
        <v>0</v>
      </c>
      <c r="K142" s="5">
        <f>IF(D142&lt;$E$11,H142,0)</f>
        <v>0</v>
      </c>
      <c r="L142">
        <f>IF(D142&lt;$A$15,$C$11,$C$11*(1-$G$11))</f>
        <v>500</v>
      </c>
      <c r="M142">
        <f>IF(D142&lt;$A$15,0,1)</f>
        <v>0</v>
      </c>
    </row>
    <row r="143" spans="4:13" x14ac:dyDescent="0.2">
      <c r="D143">
        <f t="shared" si="4"/>
        <v>120</v>
      </c>
      <c r="E143" s="1">
        <f>IF($G$11=1,IF(D143&lt;=$A$15, E142+LN($C$11)-LN(60/$D$11)-LN(MIN(D143,$E$11)), E142-LN(60/$D$11)-LN(MIN(D143,$E$11))), IF(D143&lt;=$A$15, E142+LN($C$11)-LN(60/$D$11)-LN(MIN(D143,$E$11)), E142+LN($C$11)+LN(1-$G$11)-LN(60/$D$11)-LN(MIN(D143,$E$11))))</f>
        <v>107.69275660450742</v>
      </c>
      <c r="F143" s="1">
        <f t="shared" si="5"/>
        <v>-158.63331154948744</v>
      </c>
      <c r="G143" s="1">
        <f t="shared" si="3"/>
        <v>1.2776978029795754E-69</v>
      </c>
      <c r="H143" s="1">
        <f>G143/$G$21</f>
        <v>8.9596586678030663E-71</v>
      </c>
      <c r="I143">
        <f>IF($E$11&lt;=D143, IF(D143&lt;=$A$15,D143-$E$11,$F$11),0)</f>
        <v>111</v>
      </c>
      <c r="J143">
        <f>IF(D143&lt;=$A$15,0,D143-$A$15)</f>
        <v>0</v>
      </c>
      <c r="K143" s="5">
        <f>IF(D143&lt;$E$11,H143,0)</f>
        <v>0</v>
      </c>
      <c r="L143">
        <f>IF(D143&lt;$A$15,$C$11,$C$11*(1-$G$11))</f>
        <v>500</v>
      </c>
      <c r="M143">
        <f>IF(D143&lt;$A$15,0,1)</f>
        <v>0</v>
      </c>
    </row>
    <row r="144" spans="4:13" x14ac:dyDescent="0.2">
      <c r="D144">
        <f t="shared" si="4"/>
        <v>121</v>
      </c>
      <c r="E144" s="1">
        <f>IF($G$11=1,IF(D144&lt;=$A$15, E143+LN($C$11)-LN(60/$D$11)-LN(MIN(D144,$E$11)), E143-LN(60/$D$11)-LN(MIN(D144,$E$11))), IF(D144&lt;=$A$15, E143+LN($C$11)-LN(60/$D$11)-LN(MIN(D144,$E$11)), E143+LN($C$11)+LN(1-$G$11)-LN(60/$D$11)-LN(MIN(D144,$E$11))))</f>
        <v>108.53208629524545</v>
      </c>
      <c r="F144" s="1">
        <f t="shared" si="5"/>
        <v>-157.79398185874942</v>
      </c>
      <c r="G144" s="1">
        <f t="shared" si="3"/>
        <v>2.95763380319346E-69</v>
      </c>
      <c r="H144" s="1">
        <f>G144/$G$21</f>
        <v>2.0739950619914494E-70</v>
      </c>
      <c r="I144">
        <f>IF($E$11&lt;=D144, IF(D144&lt;=$A$15,D144-$E$11,$F$11),0)</f>
        <v>112</v>
      </c>
      <c r="J144">
        <f>IF(D144&lt;=$A$15,0,D144-$A$15)</f>
        <v>0</v>
      </c>
      <c r="K144" s="5">
        <f>IF(D144&lt;$E$11,H144,0)</f>
        <v>0</v>
      </c>
      <c r="L144">
        <f>IF(D144&lt;$A$15,$C$11,$C$11*(1-$G$11))</f>
        <v>500</v>
      </c>
      <c r="M144">
        <f>IF(D144&lt;$A$15,0,1)</f>
        <v>0</v>
      </c>
    </row>
    <row r="145" spans="4:13" x14ac:dyDescent="0.2">
      <c r="D145">
        <f t="shared" si="4"/>
        <v>122</v>
      </c>
      <c r="E145" s="1">
        <f>IF($G$11=1,IF(D145&lt;=$A$15, E144+LN($C$11)-LN(60/$D$11)-LN(MIN(D145,$E$11)), E144-LN(60/$D$11)-LN(MIN(D145,$E$11))), IF(D145&lt;=$A$15, E144+LN($C$11)-LN(60/$D$11)-LN(MIN(D145,$E$11)), E144+LN($C$11)+LN(1-$G$11)-LN(60/$D$11)-LN(MIN(D145,$E$11))))</f>
        <v>109.37141598598348</v>
      </c>
      <c r="F145" s="1">
        <f t="shared" si="5"/>
        <v>-156.95465216801139</v>
      </c>
      <c r="G145" s="1">
        <f t="shared" si="3"/>
        <v>6.8463745444293006E-69</v>
      </c>
      <c r="H145" s="1">
        <f>G145/$G$21</f>
        <v>4.8009144953505735E-70</v>
      </c>
      <c r="I145">
        <f>IF($E$11&lt;=D145, IF(D145&lt;=$A$15,D145-$E$11,$F$11),0)</f>
        <v>113</v>
      </c>
      <c r="J145">
        <f>IF(D145&lt;=$A$15,0,D145-$A$15)</f>
        <v>0</v>
      </c>
      <c r="K145" s="5">
        <f>IF(D145&lt;$E$11,H145,0)</f>
        <v>0</v>
      </c>
      <c r="L145">
        <f>IF(D145&lt;$A$15,$C$11,$C$11*(1-$G$11))</f>
        <v>500</v>
      </c>
      <c r="M145">
        <f>IF(D145&lt;$A$15,0,1)</f>
        <v>0</v>
      </c>
    </row>
    <row r="146" spans="4:13" x14ac:dyDescent="0.2">
      <c r="D146">
        <f t="shared" si="4"/>
        <v>123</v>
      </c>
      <c r="E146" s="1">
        <f>IF($G$11=1,IF(D146&lt;=$A$15, E145+LN($C$11)-LN(60/$D$11)-LN(MIN(D146,$E$11)), E145-LN(60/$D$11)-LN(MIN(D146,$E$11))), IF(D146&lt;=$A$15, E145+LN($C$11)-LN(60/$D$11)-LN(MIN(D146,$E$11)), E145+LN($C$11)+LN(1-$G$11)-LN(60/$D$11)-LN(MIN(D146,$E$11))))</f>
        <v>110.2107456767215</v>
      </c>
      <c r="F146" s="1">
        <f t="shared" si="5"/>
        <v>-156.11532247727337</v>
      </c>
      <c r="G146" s="1">
        <f t="shared" si="3"/>
        <v>1.5848089223215964E-68</v>
      </c>
      <c r="H146" s="1">
        <f>G146/$G$21</f>
        <v>1.1113227998496692E-69</v>
      </c>
      <c r="I146">
        <f>IF($E$11&lt;=D146, IF(D146&lt;=$A$15,D146-$E$11,$F$11),0)</f>
        <v>114</v>
      </c>
      <c r="J146">
        <f>IF(D146&lt;=$A$15,0,D146-$A$15)</f>
        <v>0</v>
      </c>
      <c r="K146" s="5">
        <f>IF(D146&lt;$E$11,H146,0)</f>
        <v>0</v>
      </c>
      <c r="L146">
        <f>IF(D146&lt;$A$15,$C$11,$C$11*(1-$G$11))</f>
        <v>500</v>
      </c>
      <c r="M146">
        <f>IF(D146&lt;$A$15,0,1)</f>
        <v>0</v>
      </c>
    </row>
    <row r="147" spans="4:13" x14ac:dyDescent="0.2">
      <c r="D147">
        <f t="shared" si="4"/>
        <v>124</v>
      </c>
      <c r="E147" s="1">
        <f>IF($G$11=1,IF(D147&lt;=$A$15, E146+LN($C$11)-LN(60/$D$11)-LN(MIN(D147,$E$11)), E146-LN(60/$D$11)-LN(MIN(D147,$E$11))), IF(D147&lt;=$A$15, E146+LN($C$11)-LN(60/$D$11)-LN(MIN(D147,$E$11)), E146+LN($C$11)+LN(1-$G$11)-LN(60/$D$11)-LN(MIN(D147,$E$11))))</f>
        <v>111.05007536745953</v>
      </c>
      <c r="F147" s="1">
        <f t="shared" si="5"/>
        <v>-155.27599278653534</v>
      </c>
      <c r="G147" s="1">
        <f t="shared" si="3"/>
        <v>3.6685391720407301E-68</v>
      </c>
      <c r="H147" s="1">
        <f>G147/$G$21</f>
        <v>2.5725064811334918E-69</v>
      </c>
      <c r="I147">
        <f>IF($E$11&lt;=D147, IF(D147&lt;=$A$15,D147-$E$11,$F$11),0)</f>
        <v>115</v>
      </c>
      <c r="J147">
        <f>IF(D147&lt;=$A$15,0,D147-$A$15)</f>
        <v>0</v>
      </c>
      <c r="K147" s="5">
        <f>IF(D147&lt;$E$11,H147,0)</f>
        <v>0</v>
      </c>
      <c r="L147">
        <f>IF(D147&lt;$A$15,$C$11,$C$11*(1-$G$11))</f>
        <v>500</v>
      </c>
      <c r="M147">
        <f>IF(D147&lt;$A$15,0,1)</f>
        <v>0</v>
      </c>
    </row>
    <row r="148" spans="4:13" x14ac:dyDescent="0.2">
      <c r="D148">
        <f t="shared" si="4"/>
        <v>125</v>
      </c>
      <c r="E148" s="1">
        <f>IF($G$11=1,IF(D148&lt;=$A$15, E147+LN($C$11)-LN(60/$D$11)-LN(MIN(D148,$E$11)), E147-LN(60/$D$11)-LN(MIN(D148,$E$11))), IF(D148&lt;=$A$15, E147+LN($C$11)-LN(60/$D$11)-LN(MIN(D148,$E$11)), E147+LN($C$11)+LN(1-$G$11)-LN(60/$D$11)-LN(MIN(D148,$E$11))))</f>
        <v>111.88940505819755</v>
      </c>
      <c r="F148" s="1">
        <f t="shared" si="5"/>
        <v>-154.43666309579731</v>
      </c>
      <c r="G148" s="1">
        <f t="shared" si="3"/>
        <v>8.4919888241683516E-68</v>
      </c>
      <c r="H148" s="1">
        <f>G148/$G$21</f>
        <v>5.9548761137349315E-69</v>
      </c>
      <c r="I148">
        <f>IF($E$11&lt;=D148, IF(D148&lt;=$A$15,D148-$E$11,$F$11),0)</f>
        <v>116</v>
      </c>
      <c r="J148">
        <f>IF(D148&lt;=$A$15,0,D148-$A$15)</f>
        <v>0</v>
      </c>
      <c r="K148" s="5">
        <f>IF(D148&lt;$E$11,H148,0)</f>
        <v>0</v>
      </c>
      <c r="L148">
        <f>IF(D148&lt;$A$15,$C$11,$C$11*(1-$G$11))</f>
        <v>500</v>
      </c>
      <c r="M148">
        <f>IF(D148&lt;$A$15,0,1)</f>
        <v>0</v>
      </c>
    </row>
    <row r="149" spans="4:13" x14ac:dyDescent="0.2">
      <c r="D149">
        <f t="shared" si="4"/>
        <v>126</v>
      </c>
      <c r="E149" s="1">
        <f>IF($G$11=1,IF(D149&lt;=$A$15, E148+LN($C$11)-LN(60/$D$11)-LN(MIN(D149,$E$11)), E148-LN(60/$D$11)-LN(MIN(D149,$E$11))), IF(D149&lt;=$A$15, E148+LN($C$11)-LN(60/$D$11)-LN(MIN(D149,$E$11)), E148+LN($C$11)+LN(1-$G$11)-LN(60/$D$11)-LN(MIN(D149,$E$11))))</f>
        <v>112.72873474893558</v>
      </c>
      <c r="F149" s="1">
        <f t="shared" si="5"/>
        <v>-153.59733340505929</v>
      </c>
      <c r="G149" s="1">
        <f t="shared" si="3"/>
        <v>1.9657381537426726E-67</v>
      </c>
      <c r="H149" s="1">
        <f>G149/$G$21</f>
        <v>1.378443544846048E-68</v>
      </c>
      <c r="I149">
        <f>IF($E$11&lt;=D149, IF(D149&lt;=$A$15,D149-$E$11,$F$11),0)</f>
        <v>117</v>
      </c>
      <c r="J149">
        <f>IF(D149&lt;=$A$15,0,D149-$A$15)</f>
        <v>0</v>
      </c>
      <c r="K149" s="5">
        <f>IF(D149&lt;$E$11,H149,0)</f>
        <v>0</v>
      </c>
      <c r="L149">
        <f>IF(D149&lt;$A$15,$C$11,$C$11*(1-$G$11))</f>
        <v>500</v>
      </c>
      <c r="M149">
        <f>IF(D149&lt;$A$15,0,1)</f>
        <v>0</v>
      </c>
    </row>
    <row r="150" spans="4:13" x14ac:dyDescent="0.2">
      <c r="D150">
        <f t="shared" si="4"/>
        <v>127</v>
      </c>
      <c r="E150" s="1">
        <f>IF($G$11=1,IF(D150&lt;=$A$15, E149+LN($C$11)-LN(60/$D$11)-LN(MIN(D150,$E$11)), E149-LN(60/$D$11)-LN(MIN(D150,$E$11))), IF(D150&lt;=$A$15, E149+LN($C$11)-LN(60/$D$11)-LN(MIN(D150,$E$11)), E149+LN($C$11)+LN(1-$G$11)-LN(60/$D$11)-LN(MIN(D150,$E$11))))</f>
        <v>113.56806443967361</v>
      </c>
      <c r="F150" s="1">
        <f t="shared" si="5"/>
        <v>-152.75800371432126</v>
      </c>
      <c r="G150" s="1">
        <f t="shared" si="3"/>
        <v>4.5503198003302579E-67</v>
      </c>
      <c r="H150" s="1">
        <f>G150/$G$21</f>
        <v>3.1908415389954796E-68</v>
      </c>
      <c r="I150">
        <f>IF($E$11&lt;=D150, IF(D150&lt;=$A$15,D150-$E$11,$F$11),0)</f>
        <v>118</v>
      </c>
      <c r="J150">
        <f>IF(D150&lt;=$A$15,0,D150-$A$15)</f>
        <v>0</v>
      </c>
      <c r="K150" s="5">
        <f>IF(D150&lt;$E$11,H150,0)</f>
        <v>0</v>
      </c>
      <c r="L150">
        <f>IF(D150&lt;$A$15,$C$11,$C$11*(1-$G$11))</f>
        <v>500</v>
      </c>
      <c r="M150">
        <f>IF(D150&lt;$A$15,0,1)</f>
        <v>0</v>
      </c>
    </row>
    <row r="151" spans="4:13" x14ac:dyDescent="0.2">
      <c r="D151">
        <f t="shared" si="4"/>
        <v>128</v>
      </c>
      <c r="E151" s="1">
        <f>IF($G$11=1,IF(D151&lt;=$A$15, E150+LN($C$11)-LN(60/$D$11)-LN(MIN(D151,$E$11)), E150-LN(60/$D$11)-LN(MIN(D151,$E$11))), IF(D151&lt;=$A$15, E150+LN($C$11)-LN(60/$D$11)-LN(MIN(D151,$E$11)), E150+LN($C$11)+LN(1-$G$11)-LN(60/$D$11)-LN(MIN(D151,$E$11))))</f>
        <v>114.40739413041163</v>
      </c>
      <c r="F151" s="1">
        <f t="shared" si="5"/>
        <v>-151.91867402358324</v>
      </c>
      <c r="G151" s="1">
        <f t="shared" si="3"/>
        <v>1.0533147685949664E-66</v>
      </c>
      <c r="H151" s="1">
        <f>G151/$G$21</f>
        <v>7.3862072661932345E-68</v>
      </c>
      <c r="I151">
        <f>IF($E$11&lt;=D151, IF(D151&lt;=$A$15,D151-$E$11,$F$11),0)</f>
        <v>119</v>
      </c>
      <c r="J151">
        <f>IF(D151&lt;=$A$15,0,D151-$A$15)</f>
        <v>0</v>
      </c>
      <c r="K151" s="5">
        <f>IF(D151&lt;$E$11,H151,0)</f>
        <v>0</v>
      </c>
      <c r="L151">
        <f>IF(D151&lt;$A$15,$C$11,$C$11*(1-$G$11))</f>
        <v>500</v>
      </c>
      <c r="M151">
        <f>IF(D151&lt;$A$15,0,1)</f>
        <v>0</v>
      </c>
    </row>
    <row r="152" spans="4:13" x14ac:dyDescent="0.2">
      <c r="D152">
        <f t="shared" si="4"/>
        <v>129</v>
      </c>
      <c r="E152" s="1">
        <f>IF($G$11=1,IF(D152&lt;=$A$15, E151+LN($C$11)-LN(60/$D$11)-LN(MIN(D152,$E$11)), E151-LN(60/$D$11)-LN(MIN(D152,$E$11))), IF(D152&lt;=$A$15, E151+LN($C$11)-LN(60/$D$11)-LN(MIN(D152,$E$11)), E151+LN($C$11)+LN(1-$G$11)-LN(60/$D$11)-LN(MIN(D152,$E$11))))</f>
        <v>115.24672382114966</v>
      </c>
      <c r="F152" s="1">
        <f t="shared" si="5"/>
        <v>-151.07934433284521</v>
      </c>
      <c r="G152" s="1">
        <f t="shared" ref="G152:G215" si="6">EXP(F152)</f>
        <v>2.4382286310068653E-66</v>
      </c>
      <c r="H152" s="1">
        <f>G152/$G$21</f>
        <v>1.7097702005076921E-67</v>
      </c>
      <c r="I152">
        <f>IF($E$11&lt;=D152, IF(D152&lt;=$A$15,D152-$E$11,$F$11),0)</f>
        <v>120</v>
      </c>
      <c r="J152">
        <f>IF(D152&lt;=$A$15,0,D152-$A$15)</f>
        <v>0</v>
      </c>
      <c r="K152" s="5">
        <f>IF(D152&lt;$E$11,H152,0)</f>
        <v>0</v>
      </c>
      <c r="L152">
        <f>IF(D152&lt;$A$15,$C$11,$C$11*(1-$G$11))</f>
        <v>500</v>
      </c>
      <c r="M152">
        <f>IF(D152&lt;$A$15,0,1)</f>
        <v>0</v>
      </c>
    </row>
    <row r="153" spans="4:13" x14ac:dyDescent="0.2">
      <c r="D153">
        <f t="shared" ref="D153:D216" si="7">1+D152</f>
        <v>130</v>
      </c>
      <c r="E153" s="1">
        <f>IF($G$11=1,IF(D153&lt;=$A$15, E152+LN($C$11)-LN(60/$D$11)-LN(MIN(D153,$E$11)), E152-LN(60/$D$11)-LN(MIN(D153,$E$11))), IF(D153&lt;=$A$15, E152+LN($C$11)-LN(60/$D$11)-LN(MIN(D153,$E$11)), E152+LN($C$11)+LN(1-$G$11)-LN(60/$D$11)-LN(MIN(D153,$E$11))))</f>
        <v>116.08605351188768</v>
      </c>
      <c r="F153" s="1">
        <f t="shared" ref="F153:F216" si="8">E153-$E$21</f>
        <v>-150.24001464210718</v>
      </c>
      <c r="G153" s="1">
        <f t="shared" si="6"/>
        <v>5.6440477569603324E-66</v>
      </c>
      <c r="H153" s="1">
        <f>G153/$G$21</f>
        <v>3.9578013900640995E-67</v>
      </c>
      <c r="I153">
        <f>IF($E$11&lt;=D153, IF(D153&lt;=$A$15,D153-$E$11,$F$11),0)</f>
        <v>121</v>
      </c>
      <c r="J153">
        <f>IF(D153&lt;=$A$15,0,D153-$A$15)</f>
        <v>0</v>
      </c>
      <c r="K153" s="5">
        <f>IF(D153&lt;$E$11,H153,0)</f>
        <v>0</v>
      </c>
      <c r="L153">
        <f>IF(D153&lt;$A$15,$C$11,$C$11*(1-$G$11))</f>
        <v>500</v>
      </c>
      <c r="M153">
        <f>IF(D153&lt;$A$15,0,1)</f>
        <v>0</v>
      </c>
    </row>
    <row r="154" spans="4:13" x14ac:dyDescent="0.2">
      <c r="D154">
        <f t="shared" si="7"/>
        <v>131</v>
      </c>
      <c r="E154" s="1">
        <f>IF($G$11=1,IF(D154&lt;=$A$15, E153+LN($C$11)-LN(60/$D$11)-LN(MIN(D154,$E$11)), E153-LN(60/$D$11)-LN(MIN(D154,$E$11))), IF(D154&lt;=$A$15, E153+LN($C$11)-LN(60/$D$11)-LN(MIN(D154,$E$11)), E153+LN($C$11)+LN(1-$G$11)-LN(60/$D$11)-LN(MIN(D154,$E$11))))</f>
        <v>116.92538320262571</v>
      </c>
      <c r="F154" s="1">
        <f t="shared" si="8"/>
        <v>-149.40068495136916</v>
      </c>
      <c r="G154" s="1">
        <f t="shared" si="6"/>
        <v>1.3064925363334094E-65</v>
      </c>
      <c r="H154" s="1">
        <f>G154/$G$21</f>
        <v>9.1615772918150387E-67</v>
      </c>
      <c r="I154">
        <f>IF($E$11&lt;=D154, IF(D154&lt;=$A$15,D154-$E$11,$F$11),0)</f>
        <v>122</v>
      </c>
      <c r="J154">
        <f>IF(D154&lt;=$A$15,0,D154-$A$15)</f>
        <v>0</v>
      </c>
      <c r="K154" s="5">
        <f>IF(D154&lt;$E$11,H154,0)</f>
        <v>0</v>
      </c>
      <c r="L154">
        <f>IF(D154&lt;$A$15,$C$11,$C$11*(1-$G$11))</f>
        <v>500</v>
      </c>
      <c r="M154">
        <f>IF(D154&lt;$A$15,0,1)</f>
        <v>0</v>
      </c>
    </row>
    <row r="155" spans="4:13" x14ac:dyDescent="0.2">
      <c r="D155">
        <f t="shared" si="7"/>
        <v>132</v>
      </c>
      <c r="E155" s="1">
        <f>IF($G$11=1,IF(D155&lt;=$A$15, E154+LN($C$11)-LN(60/$D$11)-LN(MIN(D155,$E$11)), E154-LN(60/$D$11)-LN(MIN(D155,$E$11))), IF(D155&lt;=$A$15, E154+LN($C$11)-LN(60/$D$11)-LN(MIN(D155,$E$11)), E154+LN($C$11)+LN(1-$G$11)-LN(60/$D$11)-LN(MIN(D155,$E$11))))</f>
        <v>117.76471289336374</v>
      </c>
      <c r="F155" s="1">
        <f t="shared" si="8"/>
        <v>-148.56135526063113</v>
      </c>
      <c r="G155" s="1">
        <f t="shared" si="6"/>
        <v>3.024288278549557E-65</v>
      </c>
      <c r="H155" s="1">
        <f>G155/$G$21</f>
        <v>2.1207354842164429E-66</v>
      </c>
      <c r="I155">
        <f>IF($E$11&lt;=D155, IF(D155&lt;=$A$15,D155-$E$11,$F$11),0)</f>
        <v>123</v>
      </c>
      <c r="J155">
        <f>IF(D155&lt;=$A$15,0,D155-$A$15)</f>
        <v>0</v>
      </c>
      <c r="K155" s="5">
        <f>IF(D155&lt;$E$11,H155,0)</f>
        <v>0</v>
      </c>
      <c r="L155">
        <f>IF(D155&lt;$A$15,$C$11,$C$11*(1-$G$11))</f>
        <v>500</v>
      </c>
      <c r="M155">
        <f>IF(D155&lt;$A$15,0,1)</f>
        <v>0</v>
      </c>
    </row>
    <row r="156" spans="4:13" x14ac:dyDescent="0.2">
      <c r="D156">
        <f t="shared" si="7"/>
        <v>133</v>
      </c>
      <c r="E156" s="1">
        <f>IF($G$11=1,IF(D156&lt;=$A$15, E155+LN($C$11)-LN(60/$D$11)-LN(MIN(D156,$E$11)), E155-LN(60/$D$11)-LN(MIN(D156,$E$11))), IF(D156&lt;=$A$15, E155+LN($C$11)-LN(60/$D$11)-LN(MIN(D156,$E$11)), E155+LN($C$11)+LN(1-$G$11)-LN(60/$D$11)-LN(MIN(D156,$E$11))))</f>
        <v>118.60404258410176</v>
      </c>
      <c r="F156" s="1">
        <f t="shared" si="8"/>
        <v>-147.72202556989311</v>
      </c>
      <c r="G156" s="1">
        <f t="shared" si="6"/>
        <v>7.0006673114573029E-65</v>
      </c>
      <c r="H156" s="1">
        <f>G156/$G$21</f>
        <v>4.9091099171676881E-66</v>
      </c>
      <c r="I156">
        <f>IF($E$11&lt;=D156, IF(D156&lt;=$A$15,D156-$E$11,$F$11),0)</f>
        <v>124</v>
      </c>
      <c r="J156">
        <f>IF(D156&lt;=$A$15,0,D156-$A$15)</f>
        <v>0</v>
      </c>
      <c r="K156" s="5">
        <f>IF(D156&lt;$E$11,H156,0)</f>
        <v>0</v>
      </c>
      <c r="L156">
        <f>IF(D156&lt;$A$15,$C$11,$C$11*(1-$G$11))</f>
        <v>500</v>
      </c>
      <c r="M156">
        <f>IF(D156&lt;$A$15,0,1)</f>
        <v>0</v>
      </c>
    </row>
    <row r="157" spans="4:13" x14ac:dyDescent="0.2">
      <c r="D157">
        <f t="shared" si="7"/>
        <v>134</v>
      </c>
      <c r="E157" s="1">
        <f>IF($G$11=1,IF(D157&lt;=$A$15, E156+LN($C$11)-LN(60/$D$11)-LN(MIN(D157,$E$11)), E156-LN(60/$D$11)-LN(MIN(D157,$E$11))), IF(D157&lt;=$A$15, E156+LN($C$11)-LN(60/$D$11)-LN(MIN(D157,$E$11)), E156+LN($C$11)+LN(1-$G$11)-LN(60/$D$11)-LN(MIN(D157,$E$11))))</f>
        <v>119.44337227483979</v>
      </c>
      <c r="F157" s="1">
        <f t="shared" si="8"/>
        <v>-146.88269587915508</v>
      </c>
      <c r="G157" s="1">
        <f t="shared" si="6"/>
        <v>1.6205248406151154E-64</v>
      </c>
      <c r="H157" s="1">
        <f>G157/$G$21</f>
        <v>1.1363680363814088E-65</v>
      </c>
      <c r="I157">
        <f>IF($E$11&lt;=D157, IF(D157&lt;=$A$15,D157-$E$11,$F$11),0)</f>
        <v>125</v>
      </c>
      <c r="J157">
        <f>IF(D157&lt;=$A$15,0,D157-$A$15)</f>
        <v>0</v>
      </c>
      <c r="K157" s="5">
        <f>IF(D157&lt;$E$11,H157,0)</f>
        <v>0</v>
      </c>
      <c r="L157">
        <f>IF(D157&lt;$A$15,$C$11,$C$11*(1-$G$11))</f>
        <v>500</v>
      </c>
      <c r="M157">
        <f>IF(D157&lt;$A$15,0,1)</f>
        <v>0</v>
      </c>
    </row>
    <row r="158" spans="4:13" x14ac:dyDescent="0.2">
      <c r="D158">
        <f t="shared" si="7"/>
        <v>135</v>
      </c>
      <c r="E158" s="1">
        <f>IF($G$11=1,IF(D158&lt;=$A$15, E157+LN($C$11)-LN(60/$D$11)-LN(MIN(D158,$E$11)), E157-LN(60/$D$11)-LN(MIN(D158,$E$11))), IF(D158&lt;=$A$15, E157+LN($C$11)-LN(60/$D$11)-LN(MIN(D158,$E$11)), E157+LN($C$11)+LN(1-$G$11)-LN(60/$D$11)-LN(MIN(D158,$E$11))))</f>
        <v>120.28270196557781</v>
      </c>
      <c r="F158" s="1">
        <f t="shared" si="8"/>
        <v>-146.04336618841705</v>
      </c>
      <c r="G158" s="1">
        <f t="shared" si="6"/>
        <v>3.7512149088312833E-64</v>
      </c>
      <c r="H158" s="1">
        <f>G158/$G$21</f>
        <v>2.6304815656977038E-65</v>
      </c>
      <c r="I158">
        <f>IF($E$11&lt;=D158, IF(D158&lt;=$A$15,D158-$E$11,$F$11),0)</f>
        <v>126</v>
      </c>
      <c r="J158">
        <f>IF(D158&lt;=$A$15,0,D158-$A$15)</f>
        <v>0</v>
      </c>
      <c r="K158" s="5">
        <f>IF(D158&lt;$E$11,H158,0)</f>
        <v>0</v>
      </c>
      <c r="L158">
        <f>IF(D158&lt;$A$15,$C$11,$C$11*(1-$G$11))</f>
        <v>500</v>
      </c>
      <c r="M158">
        <f>IF(D158&lt;$A$15,0,1)</f>
        <v>0</v>
      </c>
    </row>
    <row r="159" spans="4:13" x14ac:dyDescent="0.2">
      <c r="D159">
        <f t="shared" si="7"/>
        <v>136</v>
      </c>
      <c r="E159" s="1">
        <f>IF($G$11=1,IF(D159&lt;=$A$15, E158+LN($C$11)-LN(60/$D$11)-LN(MIN(D159,$E$11)), E158-LN(60/$D$11)-LN(MIN(D159,$E$11))), IF(D159&lt;=$A$15, E158+LN($C$11)-LN(60/$D$11)-LN(MIN(D159,$E$11)), E158+LN($C$11)+LN(1-$G$11)-LN(60/$D$11)-LN(MIN(D159,$E$11))))</f>
        <v>121.12203165631584</v>
      </c>
      <c r="F159" s="1">
        <f t="shared" si="8"/>
        <v>-145.20403649767903</v>
      </c>
      <c r="G159" s="1">
        <f t="shared" si="6"/>
        <v>8.6833678445168536E-64</v>
      </c>
      <c r="H159" s="1">
        <f>G159/$G$21</f>
        <v>6.0890776983743096E-65</v>
      </c>
      <c r="I159">
        <f>IF($E$11&lt;=D159, IF(D159&lt;=$A$15,D159-$E$11,$F$11),0)</f>
        <v>127</v>
      </c>
      <c r="J159">
        <f>IF(D159&lt;=$A$15,0,D159-$A$15)</f>
        <v>0</v>
      </c>
      <c r="K159" s="5">
        <f>IF(D159&lt;$E$11,H159,0)</f>
        <v>0</v>
      </c>
      <c r="L159">
        <f>IF(D159&lt;$A$15,$C$11,$C$11*(1-$G$11))</f>
        <v>500</v>
      </c>
      <c r="M159">
        <f>IF(D159&lt;$A$15,0,1)</f>
        <v>0</v>
      </c>
    </row>
    <row r="160" spans="4:13" x14ac:dyDescent="0.2">
      <c r="D160">
        <f t="shared" si="7"/>
        <v>137</v>
      </c>
      <c r="E160" s="1">
        <f>IF($G$11=1,IF(D160&lt;=$A$15, E159+LN($C$11)-LN(60/$D$11)-LN(MIN(D160,$E$11)), E159-LN(60/$D$11)-LN(MIN(D160,$E$11))), IF(D160&lt;=$A$15, E159+LN($C$11)-LN(60/$D$11)-LN(MIN(D160,$E$11)), E159+LN($C$11)+LN(1-$G$11)-LN(60/$D$11)-LN(MIN(D160,$E$11))))</f>
        <v>121.96136134705387</v>
      </c>
      <c r="F160" s="1">
        <f t="shared" si="8"/>
        <v>-144.364706806941</v>
      </c>
      <c r="G160" s="1">
        <f t="shared" si="6"/>
        <v>2.0100388528974188E-63</v>
      </c>
      <c r="H160" s="1">
        <f>G160/$G$21</f>
        <v>1.409508726475534E-64</v>
      </c>
      <c r="I160">
        <f>IF($E$11&lt;=D160, IF(D160&lt;=$A$15,D160-$E$11,$F$11),0)</f>
        <v>128</v>
      </c>
      <c r="J160">
        <f>IF(D160&lt;=$A$15,0,D160-$A$15)</f>
        <v>0</v>
      </c>
      <c r="K160" s="5">
        <f>IF(D160&lt;$E$11,H160,0)</f>
        <v>0</v>
      </c>
      <c r="L160">
        <f>IF(D160&lt;$A$15,$C$11,$C$11*(1-$G$11))</f>
        <v>500</v>
      </c>
      <c r="M160">
        <f>IF(D160&lt;$A$15,0,1)</f>
        <v>0</v>
      </c>
    </row>
    <row r="161" spans="4:13" x14ac:dyDescent="0.2">
      <c r="D161">
        <f t="shared" si="7"/>
        <v>138</v>
      </c>
      <c r="E161" s="1">
        <f>IF($G$11=1,IF(D161&lt;=$A$15, E160+LN($C$11)-LN(60/$D$11)-LN(MIN(D161,$E$11)), E160-LN(60/$D$11)-LN(MIN(D161,$E$11))), IF(D161&lt;=$A$15, E160+LN($C$11)-LN(60/$D$11)-LN(MIN(D161,$E$11)), E160+LN($C$11)+LN(1-$G$11)-LN(60/$D$11)-LN(MIN(D161,$E$11))))</f>
        <v>122.80069103779189</v>
      </c>
      <c r="F161" s="1">
        <f t="shared" si="8"/>
        <v>-143.52537711620298</v>
      </c>
      <c r="G161" s="1">
        <f t="shared" si="6"/>
        <v>4.652867715040318E-63</v>
      </c>
      <c r="H161" s="1">
        <f>G161/$G$21</f>
        <v>3.2627516816563263E-64</v>
      </c>
      <c r="I161">
        <f>IF($E$11&lt;=D161, IF(D161&lt;=$A$15,D161-$E$11,$F$11),0)</f>
        <v>129</v>
      </c>
      <c r="J161">
        <f>IF(D161&lt;=$A$15,0,D161-$A$15)</f>
        <v>0</v>
      </c>
      <c r="K161" s="5">
        <f>IF(D161&lt;$E$11,H161,0)</f>
        <v>0</v>
      </c>
      <c r="L161">
        <f>IF(D161&lt;$A$15,$C$11,$C$11*(1-$G$11))</f>
        <v>500</v>
      </c>
      <c r="M161">
        <f>IF(D161&lt;$A$15,0,1)</f>
        <v>0</v>
      </c>
    </row>
    <row r="162" spans="4:13" x14ac:dyDescent="0.2">
      <c r="D162">
        <f t="shared" si="7"/>
        <v>139</v>
      </c>
      <c r="E162" s="1">
        <f>IF($G$11=1,IF(D162&lt;=$A$15, E161+LN($C$11)-LN(60/$D$11)-LN(MIN(D162,$E$11)), E161-LN(60/$D$11)-LN(MIN(D162,$E$11))), IF(D162&lt;=$A$15, E161+LN($C$11)-LN(60/$D$11)-LN(MIN(D162,$E$11)), E161+LN($C$11)+LN(1-$G$11)-LN(60/$D$11)-LN(MIN(D162,$E$11))))</f>
        <v>123.64002072852992</v>
      </c>
      <c r="F162" s="1">
        <f t="shared" si="8"/>
        <v>-142.68604742546495</v>
      </c>
      <c r="G162" s="1">
        <f t="shared" si="6"/>
        <v>1.0770527118148877E-62</v>
      </c>
      <c r="H162" s="1">
        <f>G162/$G$21</f>
        <v>7.5526659297600098E-64</v>
      </c>
      <c r="I162">
        <f>IF($E$11&lt;=D162, IF(D162&lt;=$A$15,D162-$E$11,$F$11),0)</f>
        <v>130</v>
      </c>
      <c r="J162">
        <f>IF(D162&lt;=$A$15,0,D162-$A$15)</f>
        <v>0</v>
      </c>
      <c r="K162" s="5">
        <f>IF(D162&lt;$E$11,H162,0)</f>
        <v>0</v>
      </c>
      <c r="L162">
        <f>IF(D162&lt;$A$15,$C$11,$C$11*(1-$G$11))</f>
        <v>500</v>
      </c>
      <c r="M162">
        <f>IF(D162&lt;$A$15,0,1)</f>
        <v>0</v>
      </c>
    </row>
    <row r="163" spans="4:13" x14ac:dyDescent="0.2">
      <c r="D163">
        <f t="shared" si="7"/>
        <v>140</v>
      </c>
      <c r="E163" s="1">
        <f>IF($G$11=1,IF(D163&lt;=$A$15, E162+LN($C$11)-LN(60/$D$11)-LN(MIN(D163,$E$11)), E162-LN(60/$D$11)-LN(MIN(D163,$E$11))), IF(D163&lt;=$A$15, E162+LN($C$11)-LN(60/$D$11)-LN(MIN(D163,$E$11)), E162+LN($C$11)+LN(1-$G$11)-LN(60/$D$11)-LN(MIN(D163,$E$11))))</f>
        <v>124.47935041926794</v>
      </c>
      <c r="F163" s="1">
        <f t="shared" si="8"/>
        <v>-141.84671773472692</v>
      </c>
      <c r="G163" s="1">
        <f t="shared" si="6"/>
        <v>2.4931775736455721E-62</v>
      </c>
      <c r="H163" s="1">
        <f>G163/$G$21</f>
        <v>1.7483022985555569E-63</v>
      </c>
      <c r="I163">
        <f>IF($E$11&lt;=D163, IF(D163&lt;=$A$15,D163-$E$11,$F$11),0)</f>
        <v>131</v>
      </c>
      <c r="J163">
        <f>IF(D163&lt;=$A$15,0,D163-$A$15)</f>
        <v>0</v>
      </c>
      <c r="K163" s="5">
        <f>IF(D163&lt;$E$11,H163,0)</f>
        <v>0</v>
      </c>
      <c r="L163">
        <f>IF(D163&lt;$A$15,$C$11,$C$11*(1-$G$11))</f>
        <v>500</v>
      </c>
      <c r="M163">
        <f>IF(D163&lt;$A$15,0,1)</f>
        <v>0</v>
      </c>
    </row>
    <row r="164" spans="4:13" x14ac:dyDescent="0.2">
      <c r="D164">
        <f t="shared" si="7"/>
        <v>141</v>
      </c>
      <c r="E164" s="1">
        <f>IF($G$11=1,IF(D164&lt;=$A$15, E163+LN($C$11)-LN(60/$D$11)-LN(MIN(D164,$E$11)), E163-LN(60/$D$11)-LN(MIN(D164,$E$11))), IF(D164&lt;=$A$15, E163+LN($C$11)-LN(60/$D$11)-LN(MIN(D164,$E$11)), E163+LN($C$11)+LN(1-$G$11)-LN(60/$D$11)-LN(MIN(D164,$E$11))))</f>
        <v>125.31868011000597</v>
      </c>
      <c r="F164" s="1">
        <f t="shared" si="8"/>
        <v>-141.0073880439889</v>
      </c>
      <c r="G164" s="1">
        <f t="shared" si="6"/>
        <v>5.7712443834388197E-62</v>
      </c>
      <c r="H164" s="1">
        <f>G164/$G$21</f>
        <v>4.046996061471193E-63</v>
      </c>
      <c r="I164">
        <f>IF($E$11&lt;=D164, IF(D164&lt;=$A$15,D164-$E$11,$F$11),0)</f>
        <v>132</v>
      </c>
      <c r="J164">
        <f>IF(D164&lt;=$A$15,0,D164-$A$15)</f>
        <v>0</v>
      </c>
      <c r="K164" s="5">
        <f>IF(D164&lt;$E$11,H164,0)</f>
        <v>0</v>
      </c>
      <c r="L164">
        <f>IF(D164&lt;$A$15,$C$11,$C$11*(1-$G$11))</f>
        <v>500</v>
      </c>
      <c r="M164">
        <f>IF(D164&lt;$A$15,0,1)</f>
        <v>0</v>
      </c>
    </row>
    <row r="165" spans="4:13" x14ac:dyDescent="0.2">
      <c r="D165">
        <f t="shared" si="7"/>
        <v>142</v>
      </c>
      <c r="E165" s="1">
        <f>IF($G$11=1,IF(D165&lt;=$A$15, E164+LN($C$11)-LN(60/$D$11)-LN(MIN(D165,$E$11)), E164-LN(60/$D$11)-LN(MIN(D165,$E$11))), IF(D165&lt;=$A$15, E164+LN($C$11)-LN(60/$D$11)-LN(MIN(D165,$E$11)), E164+LN($C$11)+LN(1-$G$11)-LN(60/$D$11)-LN(MIN(D165,$E$11))))</f>
        <v>126.158009800744</v>
      </c>
      <c r="F165" s="1">
        <f t="shared" si="8"/>
        <v>-140.16805835325087</v>
      </c>
      <c r="G165" s="1">
        <f t="shared" si="6"/>
        <v>1.3359361998700963E-61</v>
      </c>
      <c r="H165" s="1">
        <f>G165/$G$21</f>
        <v>9.3680464385907194E-63</v>
      </c>
      <c r="I165">
        <f>IF($E$11&lt;=D165, IF(D165&lt;=$A$15,D165-$E$11,$F$11),0)</f>
        <v>133</v>
      </c>
      <c r="J165">
        <f>IF(D165&lt;=$A$15,0,D165-$A$15)</f>
        <v>0</v>
      </c>
      <c r="K165" s="5">
        <f>IF(D165&lt;$E$11,H165,0)</f>
        <v>0</v>
      </c>
      <c r="L165">
        <f>IF(D165&lt;$A$15,$C$11,$C$11*(1-$G$11))</f>
        <v>500</v>
      </c>
      <c r="M165">
        <f>IF(D165&lt;$A$15,0,1)</f>
        <v>0</v>
      </c>
    </row>
    <row r="166" spans="4:13" x14ac:dyDescent="0.2">
      <c r="D166">
        <f t="shared" si="7"/>
        <v>143</v>
      </c>
      <c r="E166" s="1">
        <f>IF($G$11=1,IF(D166&lt;=$A$15, E165+LN($C$11)-LN(60/$D$11)-LN(MIN(D166,$E$11)), E165-LN(60/$D$11)-LN(MIN(D166,$E$11))), IF(D166&lt;=$A$15, E165+LN($C$11)-LN(60/$D$11)-LN(MIN(D166,$E$11)), E165+LN($C$11)+LN(1-$G$11)-LN(60/$D$11)-LN(MIN(D166,$E$11))))</f>
        <v>126.99733949148202</v>
      </c>
      <c r="F166" s="1">
        <f t="shared" si="8"/>
        <v>-139.32872866251284</v>
      </c>
      <c r="G166" s="1">
        <f t="shared" si="6"/>
        <v>3.0924449071067028E-61</v>
      </c>
      <c r="H166" s="1">
        <f>G166/$G$21</f>
        <v>2.1685292681922949E-62</v>
      </c>
      <c r="I166">
        <f>IF($E$11&lt;=D166, IF(D166&lt;=$A$15,D166-$E$11,$F$11),0)</f>
        <v>134</v>
      </c>
      <c r="J166">
        <f>IF(D166&lt;=$A$15,0,D166-$A$15)</f>
        <v>0</v>
      </c>
      <c r="K166" s="5">
        <f>IF(D166&lt;$E$11,H166,0)</f>
        <v>0</v>
      </c>
      <c r="L166">
        <f>IF(D166&lt;$A$15,$C$11,$C$11*(1-$G$11))</f>
        <v>500</v>
      </c>
      <c r="M166">
        <f>IF(D166&lt;$A$15,0,1)</f>
        <v>0</v>
      </c>
    </row>
    <row r="167" spans="4:13" x14ac:dyDescent="0.2">
      <c r="D167">
        <f t="shared" si="7"/>
        <v>144</v>
      </c>
      <c r="E167" s="1">
        <f>IF($G$11=1,IF(D167&lt;=$A$15, E166+LN($C$11)-LN(60/$D$11)-LN(MIN(D167,$E$11)), E166-LN(60/$D$11)-LN(MIN(D167,$E$11))), IF(D167&lt;=$A$15, E166+LN($C$11)-LN(60/$D$11)-LN(MIN(D167,$E$11)), E166+LN($C$11)+LN(1-$G$11)-LN(60/$D$11)-LN(MIN(D167,$E$11))))</f>
        <v>127.83666918222005</v>
      </c>
      <c r="F167" s="1">
        <f t="shared" si="8"/>
        <v>-138.48939897177482</v>
      </c>
      <c r="G167" s="1">
        <f t="shared" si="6"/>
        <v>7.1584372849692142E-61</v>
      </c>
      <c r="H167" s="1">
        <f>G167/$G$21</f>
        <v>5.0197436763710492E-62</v>
      </c>
      <c r="I167">
        <f>IF($E$11&lt;=D167, IF(D167&lt;=$A$15,D167-$E$11,$F$11),0)</f>
        <v>135</v>
      </c>
      <c r="J167">
        <f>IF(D167&lt;=$A$15,0,D167-$A$15)</f>
        <v>0</v>
      </c>
      <c r="K167" s="5">
        <f>IF(D167&lt;$E$11,H167,0)</f>
        <v>0</v>
      </c>
      <c r="L167">
        <f>IF(D167&lt;$A$15,$C$11,$C$11*(1-$G$11))</f>
        <v>500</v>
      </c>
      <c r="M167">
        <f>IF(D167&lt;$A$15,0,1)</f>
        <v>0</v>
      </c>
    </row>
    <row r="168" spans="4:13" x14ac:dyDescent="0.2">
      <c r="D168">
        <f t="shared" si="7"/>
        <v>145</v>
      </c>
      <c r="E168" s="1">
        <f>IF($G$11=1,IF(D168&lt;=$A$15, E167+LN($C$11)-LN(60/$D$11)-LN(MIN(D168,$E$11)), E167-LN(60/$D$11)-LN(MIN(D168,$E$11))), IF(D168&lt;=$A$15, E167+LN($C$11)-LN(60/$D$11)-LN(MIN(D168,$E$11)), E167+LN($C$11)+LN(1-$G$11)-LN(60/$D$11)-LN(MIN(D168,$E$11))))</f>
        <v>128.67599887295808</v>
      </c>
      <c r="F168" s="1">
        <f t="shared" si="8"/>
        <v>-137.65006928103679</v>
      </c>
      <c r="G168" s="1">
        <f t="shared" si="6"/>
        <v>1.6570456678169467E-60</v>
      </c>
      <c r="H168" s="1">
        <f>G168/$G$21</f>
        <v>1.1619777028636681E-61</v>
      </c>
      <c r="I168">
        <f>IF($E$11&lt;=D168, IF(D168&lt;=$A$15,D168-$E$11,$F$11),0)</f>
        <v>136</v>
      </c>
      <c r="J168">
        <f>IF(D168&lt;=$A$15,0,D168-$A$15)</f>
        <v>0</v>
      </c>
      <c r="K168" s="5">
        <f>IF(D168&lt;$E$11,H168,0)</f>
        <v>0</v>
      </c>
      <c r="L168">
        <f>IF(D168&lt;$A$15,$C$11,$C$11*(1-$G$11))</f>
        <v>500</v>
      </c>
      <c r="M168">
        <f>IF(D168&lt;$A$15,0,1)</f>
        <v>0</v>
      </c>
    </row>
    <row r="169" spans="4:13" x14ac:dyDescent="0.2">
      <c r="D169">
        <f t="shared" si="7"/>
        <v>146</v>
      </c>
      <c r="E169" s="1">
        <f>IF($G$11=1,IF(D169&lt;=$A$15, E168+LN($C$11)-LN(60/$D$11)-LN(MIN(D169,$E$11)), E168-LN(60/$D$11)-LN(MIN(D169,$E$11))), IF(D169&lt;=$A$15, E168+LN($C$11)-LN(60/$D$11)-LN(MIN(D169,$E$11)), E168+LN($C$11)+LN(1-$G$11)-LN(60/$D$11)-LN(MIN(D169,$E$11))))</f>
        <v>129.5153285636961</v>
      </c>
      <c r="F169" s="1">
        <f t="shared" si="8"/>
        <v>-136.81073959029877</v>
      </c>
      <c r="G169" s="1">
        <f t="shared" si="6"/>
        <v>3.8357538606873742E-60</v>
      </c>
      <c r="H169" s="1">
        <f>G169/$G$21</f>
        <v>2.6897632010733043E-61</v>
      </c>
      <c r="I169">
        <f>IF($E$11&lt;=D169, IF(D169&lt;=$A$15,D169-$E$11,$F$11),0)</f>
        <v>137</v>
      </c>
      <c r="J169">
        <f>IF(D169&lt;=$A$15,0,D169-$A$15)</f>
        <v>0</v>
      </c>
      <c r="K169" s="5">
        <f>IF(D169&lt;$E$11,H169,0)</f>
        <v>0</v>
      </c>
      <c r="L169">
        <f>IF(D169&lt;$A$15,$C$11,$C$11*(1-$G$11))</f>
        <v>500</v>
      </c>
      <c r="M169">
        <f>IF(D169&lt;$A$15,0,1)</f>
        <v>0</v>
      </c>
    </row>
    <row r="170" spans="4:13" x14ac:dyDescent="0.2">
      <c r="D170">
        <f t="shared" si="7"/>
        <v>147</v>
      </c>
      <c r="E170" s="1">
        <f>IF($G$11=1,IF(D170&lt;=$A$15, E169+LN($C$11)-LN(60/$D$11)-LN(MIN(D170,$E$11)), E169-LN(60/$D$11)-LN(MIN(D170,$E$11))), IF(D170&lt;=$A$15, E169+LN($C$11)-LN(60/$D$11)-LN(MIN(D170,$E$11)), E169+LN($C$11)+LN(1-$G$11)-LN(60/$D$11)-LN(MIN(D170,$E$11))))</f>
        <v>130.35465825443413</v>
      </c>
      <c r="F170" s="1">
        <f t="shared" si="8"/>
        <v>-135.97140989956074</v>
      </c>
      <c r="G170" s="1">
        <f t="shared" si="6"/>
        <v>8.8790598627022492E-60</v>
      </c>
      <c r="H170" s="1">
        <f>G170/$G$21</f>
        <v>6.2263037061882002E-61</v>
      </c>
      <c r="I170">
        <f>IF($E$11&lt;=D170, IF(D170&lt;=$A$15,D170-$E$11,$F$11),0)</f>
        <v>138</v>
      </c>
      <c r="J170">
        <f>IF(D170&lt;=$A$15,0,D170-$A$15)</f>
        <v>0</v>
      </c>
      <c r="K170" s="5">
        <f>IF(D170&lt;$E$11,H170,0)</f>
        <v>0</v>
      </c>
      <c r="L170">
        <f>IF(D170&lt;$A$15,$C$11,$C$11*(1-$G$11))</f>
        <v>500</v>
      </c>
      <c r="M170">
        <f>IF(D170&lt;$A$15,0,1)</f>
        <v>0</v>
      </c>
    </row>
    <row r="171" spans="4:13" x14ac:dyDescent="0.2">
      <c r="D171">
        <f t="shared" si="7"/>
        <v>148</v>
      </c>
      <c r="E171" s="1">
        <f>IF($G$11=1,IF(D171&lt;=$A$15, E170+LN($C$11)-LN(60/$D$11)-LN(MIN(D171,$E$11)), E170-LN(60/$D$11)-LN(MIN(D171,$E$11))), IF(D171&lt;=$A$15, E170+LN($C$11)-LN(60/$D$11)-LN(MIN(D171,$E$11)), E170+LN($C$11)+LN(1-$G$11)-LN(60/$D$11)-LN(MIN(D171,$E$11))))</f>
        <v>131.19398794517215</v>
      </c>
      <c r="F171" s="1">
        <f t="shared" si="8"/>
        <v>-135.13208020882271</v>
      </c>
      <c r="G171" s="1">
        <f t="shared" si="6"/>
        <v>2.0553379311810751E-59</v>
      </c>
      <c r="H171" s="1">
        <f>G171/$G$21</f>
        <v>1.4412740060620825E-60</v>
      </c>
      <c r="I171">
        <f>IF($E$11&lt;=D171, IF(D171&lt;=$A$15,D171-$E$11,$F$11),0)</f>
        <v>139</v>
      </c>
      <c r="J171">
        <f>IF(D171&lt;=$A$15,0,D171-$A$15)</f>
        <v>0</v>
      </c>
      <c r="K171" s="5">
        <f>IF(D171&lt;$E$11,H171,0)</f>
        <v>0</v>
      </c>
      <c r="L171">
        <f>IF(D171&lt;$A$15,$C$11,$C$11*(1-$G$11))</f>
        <v>500</v>
      </c>
      <c r="M171">
        <f>IF(D171&lt;$A$15,0,1)</f>
        <v>0</v>
      </c>
    </row>
    <row r="172" spans="4:13" x14ac:dyDescent="0.2">
      <c r="D172">
        <f t="shared" si="7"/>
        <v>149</v>
      </c>
      <c r="E172" s="1">
        <f>IF($G$11=1,IF(D172&lt;=$A$15, E171+LN($C$11)-LN(60/$D$11)-LN(MIN(D172,$E$11)), E171-LN(60/$D$11)-LN(MIN(D172,$E$11))), IF(D172&lt;=$A$15, E171+LN($C$11)-LN(60/$D$11)-LN(MIN(D172,$E$11)), E171+LN($C$11)+LN(1-$G$11)-LN(60/$D$11)-LN(MIN(D172,$E$11))))</f>
        <v>132.03331763591018</v>
      </c>
      <c r="F172" s="1">
        <f t="shared" si="8"/>
        <v>-134.29275051808469</v>
      </c>
      <c r="G172" s="1">
        <f t="shared" si="6"/>
        <v>4.7577266925487819E-59</v>
      </c>
      <c r="H172" s="1">
        <f>G172/$G$21</f>
        <v>3.3362824214400037E-60</v>
      </c>
      <c r="I172">
        <f>IF($E$11&lt;=D172, IF(D172&lt;=$A$15,D172-$E$11,$F$11),0)</f>
        <v>140</v>
      </c>
      <c r="J172">
        <f>IF(D172&lt;=$A$15,0,D172-$A$15)</f>
        <v>0</v>
      </c>
      <c r="K172" s="5">
        <f>IF(D172&lt;$E$11,H172,0)</f>
        <v>0</v>
      </c>
      <c r="L172">
        <f>IF(D172&lt;$A$15,$C$11,$C$11*(1-$G$11))</f>
        <v>500</v>
      </c>
      <c r="M172">
        <f>IF(D172&lt;$A$15,0,1)</f>
        <v>0</v>
      </c>
    </row>
    <row r="173" spans="4:13" x14ac:dyDescent="0.2">
      <c r="D173">
        <f t="shared" si="7"/>
        <v>150</v>
      </c>
      <c r="E173" s="1">
        <f>IF($G$11=1,IF(D173&lt;=$A$15, E172+LN($C$11)-LN(60/$D$11)-LN(MIN(D173,$E$11)), E172-LN(60/$D$11)-LN(MIN(D173,$E$11))), IF(D173&lt;=$A$15, E172+LN($C$11)-LN(60/$D$11)-LN(MIN(D173,$E$11)), E172+LN($C$11)+LN(1-$G$11)-LN(60/$D$11)-LN(MIN(D173,$E$11))))</f>
        <v>132.87264732664821</v>
      </c>
      <c r="F173" s="1">
        <f t="shared" si="8"/>
        <v>-133.45342082734666</v>
      </c>
      <c r="G173" s="1">
        <f t="shared" si="6"/>
        <v>1.1013256232751802E-58</v>
      </c>
      <c r="H173" s="1">
        <f>G173/$G$21</f>
        <v>7.7228759755555595E-60</v>
      </c>
      <c r="I173">
        <f>IF($E$11&lt;=D173, IF(D173&lt;=$A$15,D173-$E$11,$F$11),0)</f>
        <v>141</v>
      </c>
      <c r="J173">
        <f>IF(D173&lt;=$A$15,0,D173-$A$15)</f>
        <v>0</v>
      </c>
      <c r="K173" s="5">
        <f>IF(D173&lt;$E$11,H173,0)</f>
        <v>0</v>
      </c>
      <c r="L173">
        <f>IF(D173&lt;$A$15,$C$11,$C$11*(1-$G$11))</f>
        <v>500</v>
      </c>
      <c r="M173">
        <f>IF(D173&lt;$A$15,0,1)</f>
        <v>0</v>
      </c>
    </row>
    <row r="174" spans="4:13" x14ac:dyDescent="0.2">
      <c r="D174">
        <f t="shared" si="7"/>
        <v>151</v>
      </c>
      <c r="E174" s="1">
        <f>IF($G$11=1,IF(D174&lt;=$A$15, E173+LN($C$11)-LN(60/$D$11)-LN(MIN(D174,$E$11)), E173-LN(60/$D$11)-LN(MIN(D174,$E$11))), IF(D174&lt;=$A$15, E173+LN($C$11)-LN(60/$D$11)-LN(MIN(D174,$E$11)), E173+LN($C$11)+LN(1-$G$11)-LN(60/$D$11)-LN(MIN(D174,$E$11))))</f>
        <v>133.71197701738623</v>
      </c>
      <c r="F174" s="1">
        <f t="shared" si="8"/>
        <v>-132.61409113660864</v>
      </c>
      <c r="G174" s="1">
        <f t="shared" si="6"/>
        <v>2.549364868692545E-58</v>
      </c>
      <c r="H174" s="1">
        <f>G174/$G$21</f>
        <v>1.7877027721193411E-59</v>
      </c>
      <c r="I174">
        <f>IF($E$11&lt;=D174, IF(D174&lt;=$A$15,D174-$E$11,$F$11),0)</f>
        <v>142</v>
      </c>
      <c r="J174">
        <f>IF(D174&lt;=$A$15,0,D174-$A$15)</f>
        <v>0</v>
      </c>
      <c r="K174" s="5">
        <f>IF(D174&lt;$E$11,H174,0)</f>
        <v>0</v>
      </c>
      <c r="L174">
        <f>IF(D174&lt;$A$15,$C$11,$C$11*(1-$G$11))</f>
        <v>500</v>
      </c>
      <c r="M174">
        <f>IF(D174&lt;$A$15,0,1)</f>
        <v>0</v>
      </c>
    </row>
    <row r="175" spans="4:13" x14ac:dyDescent="0.2">
      <c r="D175">
        <f t="shared" si="7"/>
        <v>152</v>
      </c>
      <c r="E175" s="1">
        <f>IF($G$11=1,IF(D175&lt;=$A$15, E174+LN($C$11)-LN(60/$D$11)-LN(MIN(D175,$E$11)), E174-LN(60/$D$11)-LN(MIN(D175,$E$11))), IF(D175&lt;=$A$15, E174+LN($C$11)-LN(60/$D$11)-LN(MIN(D175,$E$11)), E174+LN($C$11)+LN(1-$G$11)-LN(60/$D$11)-LN(MIN(D175,$E$11))))</f>
        <v>134.55130670812426</v>
      </c>
      <c r="F175" s="1">
        <f t="shared" si="8"/>
        <v>-131.77476144587061</v>
      </c>
      <c r="G175" s="1">
        <f t="shared" si="6"/>
        <v>5.9013075664179251E-58</v>
      </c>
      <c r="H175" s="1">
        <f>G175/$G$21</f>
        <v>4.1382008613873611E-59</v>
      </c>
      <c r="I175">
        <f>IF($E$11&lt;=D175, IF(D175&lt;=$A$15,D175-$E$11,$F$11),0)</f>
        <v>143</v>
      </c>
      <c r="J175">
        <f>IF(D175&lt;=$A$15,0,D175-$A$15)</f>
        <v>0</v>
      </c>
      <c r="K175" s="5">
        <f>IF(D175&lt;$E$11,H175,0)</f>
        <v>0</v>
      </c>
      <c r="L175">
        <f>IF(D175&lt;$A$15,$C$11,$C$11*(1-$G$11))</f>
        <v>500</v>
      </c>
      <c r="M175">
        <f>IF(D175&lt;$A$15,0,1)</f>
        <v>0</v>
      </c>
    </row>
    <row r="176" spans="4:13" x14ac:dyDescent="0.2">
      <c r="D176">
        <f t="shared" si="7"/>
        <v>153</v>
      </c>
      <c r="E176" s="1">
        <f>IF($G$11=1,IF(D176&lt;=$A$15, E175+LN($C$11)-LN(60/$D$11)-LN(MIN(D176,$E$11)), E175-LN(60/$D$11)-LN(MIN(D176,$E$11))), IF(D176&lt;=$A$15, E175+LN($C$11)-LN(60/$D$11)-LN(MIN(D176,$E$11)), E175+LN($C$11)+LN(1-$G$11)-LN(60/$D$11)-LN(MIN(D176,$E$11))))</f>
        <v>135.39063639886228</v>
      </c>
      <c r="F176" s="1">
        <f t="shared" si="8"/>
        <v>-130.93543175513258</v>
      </c>
      <c r="G176" s="1">
        <f t="shared" si="6"/>
        <v>1.3660434181522967E-57</v>
      </c>
      <c r="H176" s="1">
        <f>G176/$G$21</f>
        <v>9.5791686606188858E-59</v>
      </c>
      <c r="I176">
        <f>IF($E$11&lt;=D176, IF(D176&lt;=$A$15,D176-$E$11,$F$11),0)</f>
        <v>144</v>
      </c>
      <c r="J176">
        <f>IF(D176&lt;=$A$15,0,D176-$A$15)</f>
        <v>0</v>
      </c>
      <c r="K176" s="5">
        <f>IF(D176&lt;$E$11,H176,0)</f>
        <v>0</v>
      </c>
      <c r="L176">
        <f>IF(D176&lt;$A$15,$C$11,$C$11*(1-$G$11))</f>
        <v>500</v>
      </c>
      <c r="M176">
        <f>IF(D176&lt;$A$15,0,1)</f>
        <v>0</v>
      </c>
    </row>
    <row r="177" spans="4:13" x14ac:dyDescent="0.2">
      <c r="D177">
        <f t="shared" si="7"/>
        <v>154</v>
      </c>
      <c r="E177" s="1">
        <f>IF($G$11=1,IF(D177&lt;=$A$15, E176+LN($C$11)-LN(60/$D$11)-LN(MIN(D177,$E$11)), E176-LN(60/$D$11)-LN(MIN(D177,$E$11))), IF(D177&lt;=$A$15, E176+LN($C$11)-LN(60/$D$11)-LN(MIN(D177,$E$11)), E176+LN($C$11)+LN(1-$G$11)-LN(60/$D$11)-LN(MIN(D177,$E$11))))</f>
        <v>136.22996608960031</v>
      </c>
      <c r="F177" s="1">
        <f t="shared" si="8"/>
        <v>-130.09610206439456</v>
      </c>
      <c r="G177" s="1">
        <f t="shared" si="6"/>
        <v>3.1621375420192031E-57</v>
      </c>
      <c r="H177" s="1">
        <f>G177/$G$21</f>
        <v>2.2174001529210371E-58</v>
      </c>
      <c r="I177">
        <f>IF($E$11&lt;=D177, IF(D177&lt;=$A$15,D177-$E$11,$F$11),0)</f>
        <v>145</v>
      </c>
      <c r="J177">
        <f>IF(D177&lt;=$A$15,0,D177-$A$15)</f>
        <v>0</v>
      </c>
      <c r="K177" s="5">
        <f>IF(D177&lt;$E$11,H177,0)</f>
        <v>0</v>
      </c>
      <c r="L177">
        <f>IF(D177&lt;$A$15,$C$11,$C$11*(1-$G$11))</f>
        <v>500</v>
      </c>
      <c r="M177">
        <f>IF(D177&lt;$A$15,0,1)</f>
        <v>0</v>
      </c>
    </row>
    <row r="178" spans="4:13" x14ac:dyDescent="0.2">
      <c r="D178">
        <f t="shared" si="7"/>
        <v>155</v>
      </c>
      <c r="E178" s="1">
        <f>IF($G$11=1,IF(D178&lt;=$A$15, E177+LN($C$11)-LN(60/$D$11)-LN(MIN(D178,$E$11)), E177-LN(60/$D$11)-LN(MIN(D178,$E$11))), IF(D178&lt;=$A$15, E177+LN($C$11)-LN(60/$D$11)-LN(MIN(D178,$E$11)), E177+LN($C$11)+LN(1-$G$11)-LN(60/$D$11)-LN(MIN(D178,$E$11))))</f>
        <v>137.06929578033834</v>
      </c>
      <c r="F178" s="1">
        <f t="shared" si="8"/>
        <v>-129.25677237365653</v>
      </c>
      <c r="G178" s="1">
        <f t="shared" si="6"/>
        <v>7.319762828748151E-57</v>
      </c>
      <c r="H178" s="1">
        <f>G178/$G$21</f>
        <v>5.1328707243542494E-58</v>
      </c>
      <c r="I178">
        <f>IF($E$11&lt;=D178, IF(D178&lt;=$A$15,D178-$E$11,$F$11),0)</f>
        <v>146</v>
      </c>
      <c r="J178">
        <f>IF(D178&lt;=$A$15,0,D178-$A$15)</f>
        <v>0</v>
      </c>
      <c r="K178" s="5">
        <f>IF(D178&lt;$E$11,H178,0)</f>
        <v>0</v>
      </c>
      <c r="L178">
        <f>IF(D178&lt;$A$15,$C$11,$C$11*(1-$G$11))</f>
        <v>500</v>
      </c>
      <c r="M178">
        <f>IF(D178&lt;$A$15,0,1)</f>
        <v>0</v>
      </c>
    </row>
    <row r="179" spans="4:13" x14ac:dyDescent="0.2">
      <c r="D179">
        <f t="shared" si="7"/>
        <v>156</v>
      </c>
      <c r="E179" s="1">
        <f>IF($G$11=1,IF(D179&lt;=$A$15, E178+LN($C$11)-LN(60/$D$11)-LN(MIN(D179,$E$11)), E178-LN(60/$D$11)-LN(MIN(D179,$E$11))), IF(D179&lt;=$A$15, E178+LN($C$11)-LN(60/$D$11)-LN(MIN(D179,$E$11)), E178+LN($C$11)+LN(1-$G$11)-LN(60/$D$11)-LN(MIN(D179,$E$11))))</f>
        <v>137.90862547107636</v>
      </c>
      <c r="F179" s="1">
        <f t="shared" si="8"/>
        <v>-128.41744268291851</v>
      </c>
      <c r="G179" s="1">
        <f t="shared" si="6"/>
        <v>1.6943895436917004E-56</v>
      </c>
      <c r="H179" s="1">
        <f>G179/$G$21</f>
        <v>1.1881645195264458E-57</v>
      </c>
      <c r="I179">
        <f>IF($E$11&lt;=D179, IF(D179&lt;=$A$15,D179-$E$11,$F$11),0)</f>
        <v>147</v>
      </c>
      <c r="J179">
        <f>IF(D179&lt;=$A$15,0,D179-$A$15)</f>
        <v>0</v>
      </c>
      <c r="K179" s="5">
        <f>IF(D179&lt;$E$11,H179,0)</f>
        <v>0</v>
      </c>
      <c r="L179">
        <f>IF(D179&lt;$A$15,$C$11,$C$11*(1-$G$11))</f>
        <v>500</v>
      </c>
      <c r="M179">
        <f>IF(D179&lt;$A$15,0,1)</f>
        <v>0</v>
      </c>
    </row>
    <row r="180" spans="4:13" x14ac:dyDescent="0.2">
      <c r="D180">
        <f t="shared" si="7"/>
        <v>157</v>
      </c>
      <c r="E180" s="1">
        <f>IF($G$11=1,IF(D180&lt;=$A$15, E179+LN($C$11)-LN(60/$D$11)-LN(MIN(D180,$E$11)), E179-LN(60/$D$11)-LN(MIN(D180,$E$11))), IF(D180&lt;=$A$15, E179+LN($C$11)-LN(60/$D$11)-LN(MIN(D180,$E$11)), E179+LN($C$11)+LN(1-$G$11)-LN(60/$D$11)-LN(MIN(D180,$E$11))))</f>
        <v>138.74795516181439</v>
      </c>
      <c r="F180" s="1">
        <f t="shared" si="8"/>
        <v>-127.57811299218048</v>
      </c>
      <c r="G180" s="1">
        <f t="shared" si="6"/>
        <v>3.9221980178048597E-56</v>
      </c>
      <c r="H180" s="1">
        <f>G180/$G$21</f>
        <v>2.7503808322371413E-57</v>
      </c>
      <c r="I180">
        <f>IF($E$11&lt;=D180, IF(D180&lt;=$A$15,D180-$E$11,$F$11),0)</f>
        <v>148</v>
      </c>
      <c r="J180">
        <f>IF(D180&lt;=$A$15,0,D180-$A$15)</f>
        <v>0</v>
      </c>
      <c r="K180" s="5">
        <f>IF(D180&lt;$E$11,H180,0)</f>
        <v>0</v>
      </c>
      <c r="L180">
        <f>IF(D180&lt;$A$15,$C$11,$C$11*(1-$G$11))</f>
        <v>500</v>
      </c>
      <c r="M180">
        <f>IF(D180&lt;$A$15,0,1)</f>
        <v>0</v>
      </c>
    </row>
    <row r="181" spans="4:13" x14ac:dyDescent="0.2">
      <c r="D181">
        <f t="shared" si="7"/>
        <v>158</v>
      </c>
      <c r="E181" s="1">
        <f>IF($G$11=1,IF(D181&lt;=$A$15, E180+LN($C$11)-LN(60/$D$11)-LN(MIN(D181,$E$11)), E180-LN(60/$D$11)-LN(MIN(D181,$E$11))), IF(D181&lt;=$A$15, E180+LN($C$11)-LN(60/$D$11)-LN(MIN(D181,$E$11)), E180+LN($C$11)+LN(1-$G$11)-LN(60/$D$11)-LN(MIN(D181,$E$11))))</f>
        <v>139.58728485255241</v>
      </c>
      <c r="F181" s="1">
        <f t="shared" si="8"/>
        <v>-126.73878330144245</v>
      </c>
      <c r="G181" s="1">
        <f t="shared" si="6"/>
        <v>9.0791620782519835E-56</v>
      </c>
      <c r="H181" s="1">
        <f>G181/$G$21</f>
        <v>6.3666222968452299E-57</v>
      </c>
      <c r="I181">
        <f>IF($E$11&lt;=D181, IF(D181&lt;=$A$15,D181-$E$11,$F$11),0)</f>
        <v>149</v>
      </c>
      <c r="J181">
        <f>IF(D181&lt;=$A$15,0,D181-$A$15)</f>
        <v>0</v>
      </c>
      <c r="K181" s="5">
        <f>IF(D181&lt;$E$11,H181,0)</f>
        <v>0</v>
      </c>
      <c r="L181">
        <f>IF(D181&lt;$A$15,$C$11,$C$11*(1-$G$11))</f>
        <v>500</v>
      </c>
      <c r="M181">
        <f>IF(D181&lt;$A$15,0,1)</f>
        <v>0</v>
      </c>
    </row>
    <row r="182" spans="4:13" x14ac:dyDescent="0.2">
      <c r="D182">
        <f t="shared" si="7"/>
        <v>159</v>
      </c>
      <c r="E182" s="1">
        <f>IF($G$11=1,IF(D182&lt;=$A$15, E181+LN($C$11)-LN(60/$D$11)-LN(MIN(D182,$E$11)), E181-LN(60/$D$11)-LN(MIN(D182,$E$11))), IF(D182&lt;=$A$15, E181+LN($C$11)-LN(60/$D$11)-LN(MIN(D182,$E$11)), E181+LN($C$11)+LN(1-$G$11)-LN(60/$D$11)-LN(MIN(D182,$E$11))))</f>
        <v>140.42661454329044</v>
      </c>
      <c r="F182" s="1">
        <f t="shared" si="8"/>
        <v>-125.89945361070443</v>
      </c>
      <c r="G182" s="1">
        <f t="shared" si="6"/>
        <v>2.1016578884842543E-55</v>
      </c>
      <c r="H182" s="1">
        <f>G182/$G$21</f>
        <v>1.4737551613067654E-56</v>
      </c>
      <c r="I182">
        <f>IF($E$11&lt;=D182, IF(D182&lt;=$A$15,D182-$E$11,$F$11),0)</f>
        <v>150</v>
      </c>
      <c r="J182">
        <f>IF(D182&lt;=$A$15,0,D182-$A$15)</f>
        <v>0</v>
      </c>
      <c r="K182" s="5">
        <f>IF(D182&lt;$E$11,H182,0)</f>
        <v>0</v>
      </c>
      <c r="L182">
        <f>IF(D182&lt;$A$15,$C$11,$C$11*(1-$G$11))</f>
        <v>500</v>
      </c>
      <c r="M182">
        <f>IF(D182&lt;$A$15,0,1)</f>
        <v>0</v>
      </c>
    </row>
    <row r="183" spans="4:13" x14ac:dyDescent="0.2">
      <c r="D183">
        <f t="shared" si="7"/>
        <v>160</v>
      </c>
      <c r="E183" s="1">
        <f>IF($G$11=1,IF(D183&lt;=$A$15, E182+LN($C$11)-LN(60/$D$11)-LN(MIN(D183,$E$11)), E182-LN(60/$D$11)-LN(MIN(D183,$E$11))), IF(D183&lt;=$A$15, E182+LN($C$11)-LN(60/$D$11)-LN(MIN(D183,$E$11)), E182+LN($C$11)+LN(1-$G$11)-LN(60/$D$11)-LN(MIN(D183,$E$11))))</f>
        <v>141.26594423402847</v>
      </c>
      <c r="F183" s="1">
        <f t="shared" si="8"/>
        <v>-125.0601239199664</v>
      </c>
      <c r="G183" s="1">
        <f t="shared" si="6"/>
        <v>4.8649488159357708E-55</v>
      </c>
      <c r="H183" s="1">
        <f>G183/$G$21</f>
        <v>3.4114702808026953E-56</v>
      </c>
      <c r="I183">
        <f>IF($E$11&lt;=D183, IF(D183&lt;=$A$15,D183-$E$11,$F$11),0)</f>
        <v>151</v>
      </c>
      <c r="J183">
        <f>IF(D183&lt;=$A$15,0,D183-$A$15)</f>
        <v>0</v>
      </c>
      <c r="K183" s="5">
        <f>IF(D183&lt;$E$11,H183,0)</f>
        <v>0</v>
      </c>
      <c r="L183">
        <f>IF(D183&lt;$A$15,$C$11,$C$11*(1-$G$11))</f>
        <v>500</v>
      </c>
      <c r="M183">
        <f>IF(D183&lt;$A$15,0,1)</f>
        <v>0</v>
      </c>
    </row>
    <row r="184" spans="4:13" x14ac:dyDescent="0.2">
      <c r="D184">
        <f t="shared" si="7"/>
        <v>161</v>
      </c>
      <c r="E184" s="1">
        <f>IF($G$11=1,IF(D184&lt;=$A$15, E183+LN($C$11)-LN(60/$D$11)-LN(MIN(D184,$E$11)), E183-LN(60/$D$11)-LN(MIN(D184,$E$11))), IF(D184&lt;=$A$15, E183+LN($C$11)-LN(60/$D$11)-LN(MIN(D184,$E$11)), E183+LN($C$11)+LN(1-$G$11)-LN(60/$D$11)-LN(MIN(D184,$E$11))))</f>
        <v>142.10527392476649</v>
      </c>
      <c r="F184" s="1">
        <f t="shared" si="8"/>
        <v>-124.22079422922837</v>
      </c>
      <c r="G184" s="1">
        <f t="shared" si="6"/>
        <v>1.1261455592443906E-54</v>
      </c>
      <c r="H184" s="1">
        <f>G184/$G$21</f>
        <v>7.8969219463025305E-56</v>
      </c>
      <c r="I184">
        <f>IF($E$11&lt;=D184, IF(D184&lt;=$A$15,D184-$E$11,$F$11),0)</f>
        <v>152</v>
      </c>
      <c r="J184">
        <f>IF(D184&lt;=$A$15,0,D184-$A$15)</f>
        <v>0</v>
      </c>
      <c r="K184" s="5">
        <f>IF(D184&lt;$E$11,H184,0)</f>
        <v>0</v>
      </c>
      <c r="L184">
        <f>IF(D184&lt;$A$15,$C$11,$C$11*(1-$G$11))</f>
        <v>500</v>
      </c>
      <c r="M184">
        <f>IF(D184&lt;$A$15,0,1)</f>
        <v>0</v>
      </c>
    </row>
    <row r="185" spans="4:13" x14ac:dyDescent="0.2">
      <c r="D185">
        <f t="shared" si="7"/>
        <v>162</v>
      </c>
      <c r="E185" s="1">
        <f>IF($G$11=1,IF(D185&lt;=$A$15, E184+LN($C$11)-LN(60/$D$11)-LN(MIN(D185,$E$11)), E184-LN(60/$D$11)-LN(MIN(D185,$E$11))), IF(D185&lt;=$A$15, E184+LN($C$11)-LN(60/$D$11)-LN(MIN(D185,$E$11)), E184+LN($C$11)+LN(1-$G$11)-LN(60/$D$11)-LN(MIN(D185,$E$11))))</f>
        <v>142.94460361550452</v>
      </c>
      <c r="F185" s="1">
        <f t="shared" si="8"/>
        <v>-123.38146453849035</v>
      </c>
      <c r="G185" s="1">
        <f t="shared" si="6"/>
        <v>2.6068184241768284E-54</v>
      </c>
      <c r="H185" s="1">
        <f>G185/$G$21</f>
        <v>1.8279911912737326E-55</v>
      </c>
      <c r="I185">
        <f>IF($E$11&lt;=D185, IF(D185&lt;=$A$15,D185-$E$11,$F$11),0)</f>
        <v>153</v>
      </c>
      <c r="J185">
        <f>IF(D185&lt;=$A$15,0,D185-$A$15)</f>
        <v>0</v>
      </c>
      <c r="K185" s="5">
        <f>IF(D185&lt;$E$11,H185,0)</f>
        <v>0</v>
      </c>
      <c r="L185">
        <f>IF(D185&lt;$A$15,$C$11,$C$11*(1-$G$11))</f>
        <v>500</v>
      </c>
      <c r="M185">
        <f>IF(D185&lt;$A$15,0,1)</f>
        <v>0</v>
      </c>
    </row>
    <row r="186" spans="4:13" x14ac:dyDescent="0.2">
      <c r="D186">
        <f t="shared" si="7"/>
        <v>163</v>
      </c>
      <c r="E186" s="1">
        <f>IF($G$11=1,IF(D186&lt;=$A$15, E185+LN($C$11)-LN(60/$D$11)-LN(MIN(D186,$E$11)), E185-LN(60/$D$11)-LN(MIN(D186,$E$11))), IF(D186&lt;=$A$15, E185+LN($C$11)-LN(60/$D$11)-LN(MIN(D186,$E$11)), E185+LN($C$11)+LN(1-$G$11)-LN(60/$D$11)-LN(MIN(D186,$E$11))))</f>
        <v>143.78393330624255</v>
      </c>
      <c r="F186" s="1">
        <f t="shared" si="8"/>
        <v>-122.54213484775232</v>
      </c>
      <c r="G186" s="1">
        <f t="shared" si="6"/>
        <v>6.034301907816728E-54</v>
      </c>
      <c r="H186" s="1">
        <f>G186/$G$21</f>
        <v>4.2314610909114154E-55</v>
      </c>
      <c r="I186">
        <f>IF($E$11&lt;=D186, IF(D186&lt;=$A$15,D186-$E$11,$F$11),0)</f>
        <v>154</v>
      </c>
      <c r="J186">
        <f>IF(D186&lt;=$A$15,0,D186-$A$15)</f>
        <v>0</v>
      </c>
      <c r="K186" s="5">
        <f>IF(D186&lt;$E$11,H186,0)</f>
        <v>0</v>
      </c>
      <c r="L186">
        <f>IF(D186&lt;$A$15,$C$11,$C$11*(1-$G$11))</f>
        <v>500</v>
      </c>
      <c r="M186">
        <f>IF(D186&lt;$A$15,0,1)</f>
        <v>0</v>
      </c>
    </row>
    <row r="187" spans="4:13" x14ac:dyDescent="0.2">
      <c r="D187">
        <f t="shared" si="7"/>
        <v>164</v>
      </c>
      <c r="E187" s="1">
        <f>IF($G$11=1,IF(D187&lt;=$A$15, E186+LN($C$11)-LN(60/$D$11)-LN(MIN(D187,$E$11)), E186-LN(60/$D$11)-LN(MIN(D187,$E$11))), IF(D187&lt;=$A$15, E186+LN($C$11)-LN(60/$D$11)-LN(MIN(D187,$E$11)), E186+LN($C$11)+LN(1-$G$11)-LN(60/$D$11)-LN(MIN(D187,$E$11))))</f>
        <v>144.62326299698057</v>
      </c>
      <c r="F187" s="1">
        <f t="shared" si="8"/>
        <v>-121.7028051570143</v>
      </c>
      <c r="G187" s="1">
        <f t="shared" si="6"/>
        <v>1.3968291453279456E-53</v>
      </c>
      <c r="H187" s="1">
        <f>G187/$G$21</f>
        <v>9.7950488215541976E-55</v>
      </c>
      <c r="I187">
        <f>IF($E$11&lt;=D187, IF(D187&lt;=$A$15,D187-$E$11,$F$11),0)</f>
        <v>155</v>
      </c>
      <c r="J187">
        <f>IF(D187&lt;=$A$15,0,D187-$A$15)</f>
        <v>0</v>
      </c>
      <c r="K187" s="5">
        <f>IF(D187&lt;$E$11,H187,0)</f>
        <v>0</v>
      </c>
      <c r="L187">
        <f>IF(D187&lt;$A$15,$C$11,$C$11*(1-$G$11))</f>
        <v>500</v>
      </c>
      <c r="M187">
        <f>IF(D187&lt;$A$15,0,1)</f>
        <v>0</v>
      </c>
    </row>
    <row r="188" spans="4:13" x14ac:dyDescent="0.2">
      <c r="D188">
        <f t="shared" si="7"/>
        <v>165</v>
      </c>
      <c r="E188" s="1">
        <f>IF($G$11=1,IF(D188&lt;=$A$15, E187+LN($C$11)-LN(60/$D$11)-LN(MIN(D188,$E$11)), E187-LN(60/$D$11)-LN(MIN(D188,$E$11))), IF(D188&lt;=$A$15, E187+LN($C$11)-LN(60/$D$11)-LN(MIN(D188,$E$11)), E187+LN($C$11)+LN(1-$G$11)-LN(60/$D$11)-LN(MIN(D188,$E$11))))</f>
        <v>145.4625926877186</v>
      </c>
      <c r="F188" s="1">
        <f t="shared" si="8"/>
        <v>-120.86347546627627</v>
      </c>
      <c r="G188" s="1">
        <f t="shared" si="6"/>
        <v>3.2334007993702422E-53</v>
      </c>
      <c r="H188" s="1">
        <f>G188/$G$21</f>
        <v>2.2673724123968032E-54</v>
      </c>
      <c r="I188">
        <f>IF($E$11&lt;=D188, IF(D188&lt;=$A$15,D188-$E$11,$F$11),0)</f>
        <v>156</v>
      </c>
      <c r="J188">
        <f>IF(D188&lt;=$A$15,0,D188-$A$15)</f>
        <v>0</v>
      </c>
      <c r="K188" s="5">
        <f>IF(D188&lt;$E$11,H188,0)</f>
        <v>0</v>
      </c>
      <c r="L188">
        <f>IF(D188&lt;$A$15,$C$11,$C$11*(1-$G$11))</f>
        <v>500</v>
      </c>
      <c r="M188">
        <f>IF(D188&lt;$A$15,0,1)</f>
        <v>0</v>
      </c>
    </row>
    <row r="189" spans="4:13" x14ac:dyDescent="0.2">
      <c r="D189">
        <f t="shared" si="7"/>
        <v>166</v>
      </c>
      <c r="E189" s="1">
        <f>IF($G$11=1,IF(D189&lt;=$A$15, E188+LN($C$11)-LN(60/$D$11)-LN(MIN(D189,$E$11)), E188-LN(60/$D$11)-LN(MIN(D189,$E$11))), IF(D189&lt;=$A$15, E188+LN($C$11)-LN(60/$D$11)-LN(MIN(D189,$E$11)), E188+LN($C$11)+LN(1-$G$11)-LN(60/$D$11)-LN(MIN(D189,$E$11))))</f>
        <v>146.30192237845662</v>
      </c>
      <c r="F189" s="1">
        <f t="shared" si="8"/>
        <v>-120.02414577553824</v>
      </c>
      <c r="G189" s="1">
        <f t="shared" si="6"/>
        <v>7.484724072616297E-53</v>
      </c>
      <c r="H189" s="1">
        <f>G189/$G$21</f>
        <v>5.2485472509185235E-54</v>
      </c>
      <c r="I189">
        <f>IF($E$11&lt;=D189, IF(D189&lt;=$A$15,D189-$E$11,$F$11),0)</f>
        <v>157</v>
      </c>
      <c r="J189">
        <f>IF(D189&lt;=$A$15,0,D189-$A$15)</f>
        <v>0</v>
      </c>
      <c r="K189" s="5">
        <f>IF(D189&lt;$E$11,H189,0)</f>
        <v>0</v>
      </c>
      <c r="L189">
        <f>IF(D189&lt;$A$15,$C$11,$C$11*(1-$G$11))</f>
        <v>500</v>
      </c>
      <c r="M189">
        <f>IF(D189&lt;$A$15,0,1)</f>
        <v>0</v>
      </c>
    </row>
    <row r="190" spans="4:13" x14ac:dyDescent="0.2">
      <c r="D190">
        <f t="shared" si="7"/>
        <v>167</v>
      </c>
      <c r="E190" s="1">
        <f>IF($G$11=1,IF(D190&lt;=$A$15, E189+LN($C$11)-LN(60/$D$11)-LN(MIN(D190,$E$11)), E189-LN(60/$D$11)-LN(MIN(D190,$E$11))), IF(D190&lt;=$A$15, E189+LN($C$11)-LN(60/$D$11)-LN(MIN(D190,$E$11)), E189+LN($C$11)+LN(1-$G$11)-LN(60/$D$11)-LN(MIN(D190,$E$11))))</f>
        <v>147.14125206919465</v>
      </c>
      <c r="F190" s="1">
        <f t="shared" si="8"/>
        <v>-119.18481608480022</v>
      </c>
      <c r="G190" s="1">
        <f t="shared" si="6"/>
        <v>1.7325750168093267E-52</v>
      </c>
      <c r="H190" s="1">
        <f>G190/$G$21</f>
        <v>1.2149414932681757E-53</v>
      </c>
      <c r="I190">
        <f>IF($E$11&lt;=D190, IF(D190&lt;=$A$15,D190-$E$11,$F$11),0)</f>
        <v>158</v>
      </c>
      <c r="J190">
        <f>IF(D190&lt;=$A$15,0,D190-$A$15)</f>
        <v>0</v>
      </c>
      <c r="K190" s="5">
        <f>IF(D190&lt;$E$11,H190,0)</f>
        <v>0</v>
      </c>
      <c r="L190">
        <f>IF(D190&lt;$A$15,$C$11,$C$11*(1-$G$11))</f>
        <v>500</v>
      </c>
      <c r="M190">
        <f>IF(D190&lt;$A$15,0,1)</f>
        <v>0</v>
      </c>
    </row>
    <row r="191" spans="4:13" x14ac:dyDescent="0.2">
      <c r="D191">
        <f t="shared" si="7"/>
        <v>168</v>
      </c>
      <c r="E191" s="1">
        <f>IF($G$11=1,IF(D191&lt;=$A$15, E190+LN($C$11)-LN(60/$D$11)-LN(MIN(D191,$E$11)), E190-LN(60/$D$11)-LN(MIN(D191,$E$11))), IF(D191&lt;=$A$15, E190+LN($C$11)-LN(60/$D$11)-LN(MIN(D191,$E$11)), E190+LN($C$11)+LN(1-$G$11)-LN(60/$D$11)-LN(MIN(D191,$E$11))))</f>
        <v>147.98058175993268</v>
      </c>
      <c r="F191" s="1">
        <f t="shared" si="8"/>
        <v>-118.34548639406219</v>
      </c>
      <c r="G191" s="1">
        <f t="shared" si="6"/>
        <v>4.0105903166882539E-52</v>
      </c>
      <c r="H191" s="1">
        <f>G191/$G$21</f>
        <v>2.8123645677504052E-53</v>
      </c>
      <c r="I191">
        <f>IF($E$11&lt;=D191, IF(D191&lt;=$A$15,D191-$E$11,$F$11),0)</f>
        <v>159</v>
      </c>
      <c r="J191">
        <f>IF(D191&lt;=$A$15,0,D191-$A$15)</f>
        <v>0</v>
      </c>
      <c r="K191" s="5">
        <f>IF(D191&lt;$E$11,H191,0)</f>
        <v>0</v>
      </c>
      <c r="L191">
        <f>IF(D191&lt;$A$15,$C$11,$C$11*(1-$G$11))</f>
        <v>500</v>
      </c>
      <c r="M191">
        <f>IF(D191&lt;$A$15,0,1)</f>
        <v>0</v>
      </c>
    </row>
    <row r="192" spans="4:13" x14ac:dyDescent="0.2">
      <c r="D192">
        <f t="shared" si="7"/>
        <v>169</v>
      </c>
      <c r="E192" s="1">
        <f>IF($G$11=1,IF(D192&lt;=$A$15, E191+LN($C$11)-LN(60/$D$11)-LN(MIN(D192,$E$11)), E191-LN(60/$D$11)-LN(MIN(D192,$E$11))), IF(D192&lt;=$A$15, E191+LN($C$11)-LN(60/$D$11)-LN(MIN(D192,$E$11)), E191+LN($C$11)+LN(1-$G$11)-LN(60/$D$11)-LN(MIN(D192,$E$11))))</f>
        <v>148.8199114506707</v>
      </c>
      <c r="F192" s="1">
        <f t="shared" si="8"/>
        <v>-117.50615670332417</v>
      </c>
      <c r="G192" s="1">
        <f t="shared" si="6"/>
        <v>9.283773881222805E-52</v>
      </c>
      <c r="H192" s="1">
        <f>G192/$G$21</f>
        <v>6.5101031660888975E-53</v>
      </c>
      <c r="I192">
        <f>IF($E$11&lt;=D192, IF(D192&lt;=$A$15,D192-$E$11,$F$11),0)</f>
        <v>160</v>
      </c>
      <c r="J192">
        <f>IF(D192&lt;=$A$15,0,D192-$A$15)</f>
        <v>0</v>
      </c>
      <c r="K192" s="5">
        <f>IF(D192&lt;$E$11,H192,0)</f>
        <v>0</v>
      </c>
      <c r="L192">
        <f>IF(D192&lt;$A$15,$C$11,$C$11*(1-$G$11))</f>
        <v>500</v>
      </c>
      <c r="M192">
        <f>IF(D192&lt;$A$15,0,1)</f>
        <v>0</v>
      </c>
    </row>
    <row r="193" spans="4:13" x14ac:dyDescent="0.2">
      <c r="D193">
        <f t="shared" si="7"/>
        <v>170</v>
      </c>
      <c r="E193" s="1">
        <f>IF($G$11=1,IF(D193&lt;=$A$15, E192+LN($C$11)-LN(60/$D$11)-LN(MIN(D193,$E$11)), E192-LN(60/$D$11)-LN(MIN(D193,$E$11))), IF(D193&lt;=$A$15, E192+LN($C$11)-LN(60/$D$11)-LN(MIN(D193,$E$11)), E192+LN($C$11)+LN(1-$G$11)-LN(60/$D$11)-LN(MIN(D193,$E$11))))</f>
        <v>149.65924114140873</v>
      </c>
      <c r="F193" s="1">
        <f t="shared" si="8"/>
        <v>-116.66682701258614</v>
      </c>
      <c r="G193" s="1">
        <f t="shared" si="6"/>
        <v>2.1490217317645366E-51</v>
      </c>
      <c r="H193" s="1">
        <f>G193/$G$21</f>
        <v>1.50696832548354E-52</v>
      </c>
      <c r="I193">
        <f>IF($E$11&lt;=D193, IF(D193&lt;=$A$15,D193-$E$11,$F$11),0)</f>
        <v>161</v>
      </c>
      <c r="J193">
        <f>IF(D193&lt;=$A$15,0,D193-$A$15)</f>
        <v>0</v>
      </c>
      <c r="K193" s="5">
        <f>IF(D193&lt;$E$11,H193,0)</f>
        <v>0</v>
      </c>
      <c r="L193">
        <f>IF(D193&lt;$A$15,$C$11,$C$11*(1-$G$11))</f>
        <v>500</v>
      </c>
      <c r="M193">
        <f>IF(D193&lt;$A$15,0,1)</f>
        <v>0</v>
      </c>
    </row>
    <row r="194" spans="4:13" x14ac:dyDescent="0.2">
      <c r="D194">
        <f t="shared" si="7"/>
        <v>171</v>
      </c>
      <c r="E194" s="1">
        <f>IF($G$11=1,IF(D194&lt;=$A$15, E193+LN($C$11)-LN(60/$D$11)-LN(MIN(D194,$E$11)), E193-LN(60/$D$11)-LN(MIN(D194,$E$11))), IF(D194&lt;=$A$15, E193+LN($C$11)-LN(60/$D$11)-LN(MIN(D194,$E$11)), E193+LN($C$11)+LN(1-$G$11)-LN(60/$D$11)-LN(MIN(D194,$E$11))))</f>
        <v>150.49857083214675</v>
      </c>
      <c r="F194" s="1">
        <f t="shared" si="8"/>
        <v>-115.82749732184811</v>
      </c>
      <c r="G194" s="1">
        <f t="shared" si="6"/>
        <v>4.9745873420475353E-51</v>
      </c>
      <c r="H194" s="1">
        <f>G194/$G$21</f>
        <v>3.4883526052859701E-52</v>
      </c>
      <c r="I194">
        <f>IF($E$11&lt;=D194, IF(D194&lt;=$A$15,D194-$E$11,$F$11),0)</f>
        <v>162</v>
      </c>
      <c r="J194">
        <f>IF(D194&lt;=$A$15,0,D194-$A$15)</f>
        <v>0</v>
      </c>
      <c r="K194" s="5">
        <f>IF(D194&lt;$E$11,H194,0)</f>
        <v>0</v>
      </c>
      <c r="L194">
        <f>IF(D194&lt;$A$15,$C$11,$C$11*(1-$G$11))</f>
        <v>500</v>
      </c>
      <c r="M194">
        <f>IF(D194&lt;$A$15,0,1)</f>
        <v>0</v>
      </c>
    </row>
    <row r="195" spans="4:13" x14ac:dyDescent="0.2">
      <c r="D195">
        <f t="shared" si="7"/>
        <v>172</v>
      </c>
      <c r="E195" s="1">
        <f>IF($G$11=1,IF(D195&lt;=$A$15, E194+LN($C$11)-LN(60/$D$11)-LN(MIN(D195,$E$11)), E194-LN(60/$D$11)-LN(MIN(D195,$E$11))), IF(D195&lt;=$A$15, E194+LN($C$11)-LN(60/$D$11)-LN(MIN(D195,$E$11)), E194+LN($C$11)+LN(1-$G$11)-LN(60/$D$11)-LN(MIN(D195,$E$11))))</f>
        <v>151.33790052288478</v>
      </c>
      <c r="F195" s="1">
        <f t="shared" si="8"/>
        <v>-114.98816763111009</v>
      </c>
      <c r="G195" s="1">
        <f t="shared" si="6"/>
        <v>1.1515248476961881E-50</v>
      </c>
      <c r="H195" s="1">
        <f>G195/$G$21</f>
        <v>8.0748902900138144E-52</v>
      </c>
      <c r="I195">
        <f>IF($E$11&lt;=D195, IF(D195&lt;=$A$15,D195-$E$11,$F$11),0)</f>
        <v>163</v>
      </c>
      <c r="J195">
        <f>IF(D195&lt;=$A$15,0,D195-$A$15)</f>
        <v>0</v>
      </c>
      <c r="K195" s="5">
        <f>IF(D195&lt;$E$11,H195,0)</f>
        <v>0</v>
      </c>
      <c r="L195">
        <f>IF(D195&lt;$A$15,$C$11,$C$11*(1-$G$11))</f>
        <v>500</v>
      </c>
      <c r="M195">
        <f>IF(D195&lt;$A$15,0,1)</f>
        <v>0</v>
      </c>
    </row>
    <row r="196" spans="4:13" x14ac:dyDescent="0.2">
      <c r="D196">
        <f t="shared" si="7"/>
        <v>173</v>
      </c>
      <c r="E196" s="1">
        <f>IF($G$11=1,IF(D196&lt;=$A$15, E195+LN($C$11)-LN(60/$D$11)-LN(MIN(D196,$E$11)), E195-LN(60/$D$11)-LN(MIN(D196,$E$11))), IF(D196&lt;=$A$15, E195+LN($C$11)-LN(60/$D$11)-LN(MIN(D196,$E$11)), E195+LN($C$11)+LN(1-$G$11)-LN(60/$D$11)-LN(MIN(D196,$E$11))))</f>
        <v>152.17723021362281</v>
      </c>
      <c r="F196" s="1">
        <f t="shared" si="8"/>
        <v>-114.14883794037206</v>
      </c>
      <c r="G196" s="1">
        <f t="shared" si="6"/>
        <v>2.6655667770745076E-50</v>
      </c>
      <c r="H196" s="1">
        <f>G196/$G$21</f>
        <v>1.8691875671328261E-51</v>
      </c>
      <c r="I196">
        <f>IF($E$11&lt;=D196, IF(D196&lt;=$A$15,D196-$E$11,$F$11),0)</f>
        <v>164</v>
      </c>
      <c r="J196">
        <f>IF(D196&lt;=$A$15,0,D196-$A$15)</f>
        <v>0</v>
      </c>
      <c r="K196" s="5">
        <f>IF(D196&lt;$E$11,H196,0)</f>
        <v>0</v>
      </c>
      <c r="L196">
        <f>IF(D196&lt;$A$15,$C$11,$C$11*(1-$G$11))</f>
        <v>500</v>
      </c>
      <c r="M196">
        <f>IF(D196&lt;$A$15,0,1)</f>
        <v>0</v>
      </c>
    </row>
    <row r="197" spans="4:13" x14ac:dyDescent="0.2">
      <c r="D197">
        <f t="shared" si="7"/>
        <v>174</v>
      </c>
      <c r="E197" s="1">
        <f>IF($G$11=1,IF(D197&lt;=$A$15, E196+LN($C$11)-LN(60/$D$11)-LN(MIN(D197,$E$11)), E196-LN(60/$D$11)-LN(MIN(D197,$E$11))), IF(D197&lt;=$A$15, E196+LN($C$11)-LN(60/$D$11)-LN(MIN(D197,$E$11)), E196+LN($C$11)+LN(1-$G$11)-LN(60/$D$11)-LN(MIN(D197,$E$11))))</f>
        <v>153.01655990436083</v>
      </c>
      <c r="F197" s="1">
        <f t="shared" si="8"/>
        <v>-113.30950824963404</v>
      </c>
      <c r="G197" s="1">
        <f t="shared" si="6"/>
        <v>6.1702934654502451E-50</v>
      </c>
      <c r="H197" s="1">
        <f>G197/$G$21</f>
        <v>4.3268230720667243E-51</v>
      </c>
      <c r="I197">
        <f>IF($E$11&lt;=D197, IF(D197&lt;=$A$15,D197-$E$11,$F$11),0)</f>
        <v>165</v>
      </c>
      <c r="J197">
        <f>IF(D197&lt;=$A$15,0,D197-$A$15)</f>
        <v>0</v>
      </c>
      <c r="K197" s="5">
        <f>IF(D197&lt;$E$11,H197,0)</f>
        <v>0</v>
      </c>
      <c r="L197">
        <f>IF(D197&lt;$A$15,$C$11,$C$11*(1-$G$11))</f>
        <v>500</v>
      </c>
      <c r="M197">
        <f>IF(D197&lt;$A$15,0,1)</f>
        <v>0</v>
      </c>
    </row>
    <row r="198" spans="4:13" x14ac:dyDescent="0.2">
      <c r="D198">
        <f t="shared" si="7"/>
        <v>175</v>
      </c>
      <c r="E198" s="1">
        <f>IF($G$11=1,IF(D198&lt;=$A$15, E197+LN($C$11)-LN(60/$D$11)-LN(MIN(D198,$E$11)), E197-LN(60/$D$11)-LN(MIN(D198,$E$11))), IF(D198&lt;=$A$15, E197+LN($C$11)-LN(60/$D$11)-LN(MIN(D198,$E$11)), E197+LN($C$11)+LN(1-$G$11)-LN(60/$D$11)-LN(MIN(D198,$E$11))))</f>
        <v>153.85588959509886</v>
      </c>
      <c r="F198" s="1">
        <f t="shared" si="8"/>
        <v>-112.47017855889601</v>
      </c>
      <c r="G198" s="1">
        <f t="shared" si="6"/>
        <v>1.4283086725579261E-49</v>
      </c>
      <c r="H198" s="1">
        <f>G198/$G$21</f>
        <v>1.0015794148302595E-50</v>
      </c>
      <c r="I198">
        <f>IF($E$11&lt;=D198, IF(D198&lt;=$A$15,D198-$E$11,$F$11),0)</f>
        <v>166</v>
      </c>
      <c r="J198">
        <f>IF(D198&lt;=$A$15,0,D198-$A$15)</f>
        <v>0</v>
      </c>
      <c r="K198" s="5">
        <f>IF(D198&lt;$E$11,H198,0)</f>
        <v>0</v>
      </c>
      <c r="L198">
        <f>IF(D198&lt;$A$15,$C$11,$C$11*(1-$G$11))</f>
        <v>500</v>
      </c>
      <c r="M198">
        <f>IF(D198&lt;$A$15,0,1)</f>
        <v>0</v>
      </c>
    </row>
    <row r="199" spans="4:13" x14ac:dyDescent="0.2">
      <c r="D199">
        <f t="shared" si="7"/>
        <v>176</v>
      </c>
      <c r="E199" s="1">
        <f>IF($G$11=1,IF(D199&lt;=$A$15, E198+LN($C$11)-LN(60/$D$11)-LN(MIN(D199,$E$11)), E198-LN(60/$D$11)-LN(MIN(D199,$E$11))), IF(D199&lt;=$A$15, E198+LN($C$11)-LN(60/$D$11)-LN(MIN(D199,$E$11)), E198+LN($C$11)+LN(1-$G$11)-LN(60/$D$11)-LN(MIN(D199,$E$11))))</f>
        <v>154.69521928583688</v>
      </c>
      <c r="F199" s="1">
        <f t="shared" si="8"/>
        <v>-111.63084886815798</v>
      </c>
      <c r="G199" s="1">
        <f t="shared" si="6"/>
        <v>3.3062700753655679E-49</v>
      </c>
      <c r="H199" s="1">
        <f>G199/$G$21</f>
        <v>2.3184708676626367E-50</v>
      </c>
      <c r="I199">
        <f>IF($E$11&lt;=D199, IF(D199&lt;=$A$15,D199-$E$11,$F$11),0)</f>
        <v>167</v>
      </c>
      <c r="J199">
        <f>IF(D199&lt;=$A$15,0,D199-$A$15)</f>
        <v>0</v>
      </c>
      <c r="K199" s="5">
        <f>IF(D199&lt;$E$11,H199,0)</f>
        <v>0</v>
      </c>
      <c r="L199">
        <f>IF(D199&lt;$A$15,$C$11,$C$11*(1-$G$11))</f>
        <v>500</v>
      </c>
      <c r="M199">
        <f>IF(D199&lt;$A$15,0,1)</f>
        <v>0</v>
      </c>
    </row>
    <row r="200" spans="4:13" x14ac:dyDescent="0.2">
      <c r="D200">
        <f t="shared" si="7"/>
        <v>177</v>
      </c>
      <c r="E200" s="1">
        <f>IF($G$11=1,IF(D200&lt;=$A$15, E199+LN($C$11)-LN(60/$D$11)-LN(MIN(D200,$E$11)), E199-LN(60/$D$11)-LN(MIN(D200,$E$11))), IF(D200&lt;=$A$15, E199+LN($C$11)-LN(60/$D$11)-LN(MIN(D200,$E$11)), E199+LN($C$11)+LN(1-$G$11)-LN(60/$D$11)-LN(MIN(D200,$E$11))))</f>
        <v>155.53454897657491</v>
      </c>
      <c r="F200" s="1">
        <f t="shared" si="8"/>
        <v>-110.79151917741996</v>
      </c>
      <c r="G200" s="1">
        <f t="shared" si="6"/>
        <v>7.6534029522351063E-49</v>
      </c>
      <c r="H200" s="1">
        <f>G200/$G$21</f>
        <v>5.3668307121820259E-50</v>
      </c>
      <c r="I200">
        <f>IF($E$11&lt;=D200, IF(D200&lt;=$A$15,D200-$E$11,$F$11),0)</f>
        <v>168</v>
      </c>
      <c r="J200">
        <f>IF(D200&lt;=$A$15,0,D200-$A$15)</f>
        <v>0</v>
      </c>
      <c r="K200" s="5">
        <f>IF(D200&lt;$E$11,H200,0)</f>
        <v>0</v>
      </c>
      <c r="L200">
        <f>IF(D200&lt;$A$15,$C$11,$C$11*(1-$G$11))</f>
        <v>500</v>
      </c>
      <c r="M200">
        <f>IF(D200&lt;$A$15,0,1)</f>
        <v>0</v>
      </c>
    </row>
    <row r="201" spans="4:13" x14ac:dyDescent="0.2">
      <c r="D201">
        <f t="shared" si="7"/>
        <v>178</v>
      </c>
      <c r="E201" s="1">
        <f>IF($G$11=1,IF(D201&lt;=$A$15, E200+LN($C$11)-LN(60/$D$11)-LN(MIN(D201,$E$11)), E200-LN(60/$D$11)-LN(MIN(D201,$E$11))), IF(D201&lt;=$A$15, E200+LN($C$11)-LN(60/$D$11)-LN(MIN(D201,$E$11)), E200+LN($C$11)+LN(1-$G$11)-LN(60/$D$11)-LN(MIN(D201,$E$11))))</f>
        <v>156.37387866731294</v>
      </c>
      <c r="F201" s="1">
        <f t="shared" si="8"/>
        <v>-109.95218948668193</v>
      </c>
      <c r="G201" s="1">
        <f t="shared" si="6"/>
        <v>1.7716210537581253E-48</v>
      </c>
      <c r="H201" s="1">
        <f>G201/$G$21</f>
        <v>1.2423219241162089E-49</v>
      </c>
      <c r="I201">
        <f>IF($E$11&lt;=D201, IF(D201&lt;=$A$15,D201-$E$11,$F$11),0)</f>
        <v>169</v>
      </c>
      <c r="J201">
        <f>IF(D201&lt;=$A$15,0,D201-$A$15)</f>
        <v>0</v>
      </c>
      <c r="K201" s="5">
        <f>IF(D201&lt;$E$11,H201,0)</f>
        <v>0</v>
      </c>
      <c r="L201">
        <f>IF(D201&lt;$A$15,$C$11,$C$11*(1-$G$11))</f>
        <v>500</v>
      </c>
      <c r="M201">
        <f>IF(D201&lt;$A$15,0,1)</f>
        <v>0</v>
      </c>
    </row>
    <row r="202" spans="4:13" x14ac:dyDescent="0.2">
      <c r="D202">
        <f t="shared" si="7"/>
        <v>179</v>
      </c>
      <c r="E202" s="1">
        <f>IF($G$11=1,IF(D202&lt;=$A$15, E201+LN($C$11)-LN(60/$D$11)-LN(MIN(D202,$E$11)), E201-LN(60/$D$11)-LN(MIN(D202,$E$11))), IF(D202&lt;=$A$15, E201+LN($C$11)-LN(60/$D$11)-LN(MIN(D202,$E$11)), E201+LN($C$11)+LN(1-$G$11)-LN(60/$D$11)-LN(MIN(D202,$E$11))))</f>
        <v>157.21320835805096</v>
      </c>
      <c r="F202" s="1">
        <f t="shared" si="8"/>
        <v>-109.1128597959439</v>
      </c>
      <c r="G202" s="1">
        <f t="shared" si="6"/>
        <v>4.1009746614771387E-48</v>
      </c>
      <c r="H202" s="1">
        <f>G202/$G$21</f>
        <v>2.8757451947134444E-49</v>
      </c>
      <c r="I202">
        <f>IF($E$11&lt;=D202, IF(D202&lt;=$A$15,D202-$E$11,$F$11),0)</f>
        <v>170</v>
      </c>
      <c r="J202">
        <f>IF(D202&lt;=$A$15,0,D202-$A$15)</f>
        <v>0</v>
      </c>
      <c r="K202" s="5">
        <f>IF(D202&lt;$E$11,H202,0)</f>
        <v>0</v>
      </c>
      <c r="L202">
        <f>IF(D202&lt;$A$15,$C$11,$C$11*(1-$G$11))</f>
        <v>500</v>
      </c>
      <c r="M202">
        <f>IF(D202&lt;$A$15,0,1)</f>
        <v>0</v>
      </c>
    </row>
    <row r="203" spans="4:13" x14ac:dyDescent="0.2">
      <c r="D203">
        <f t="shared" si="7"/>
        <v>180</v>
      </c>
      <c r="E203" s="1">
        <f>IF($G$11=1,IF(D203&lt;=$A$15, E202+LN($C$11)-LN(60/$D$11)-LN(MIN(D203,$E$11)), E202-LN(60/$D$11)-LN(MIN(D203,$E$11))), IF(D203&lt;=$A$15, E202+LN($C$11)-LN(60/$D$11)-LN(MIN(D203,$E$11)), E202+LN($C$11)+LN(1-$G$11)-LN(60/$D$11)-LN(MIN(D203,$E$11))))</f>
        <v>158.05253804878899</v>
      </c>
      <c r="F203" s="1">
        <f t="shared" si="8"/>
        <v>-108.27353010520588</v>
      </c>
      <c r="G203" s="1">
        <f t="shared" si="6"/>
        <v>9.4929969015674455E-48</v>
      </c>
      <c r="H203" s="1">
        <f>G203/$G$21</f>
        <v>6.6568175803551915E-49</v>
      </c>
      <c r="I203">
        <f>IF($E$11&lt;=D203, IF(D203&lt;=$A$15,D203-$E$11,$F$11),0)</f>
        <v>171</v>
      </c>
      <c r="J203">
        <f>IF(D203&lt;=$A$15,0,D203-$A$15)</f>
        <v>0</v>
      </c>
      <c r="K203" s="5">
        <f>IF(D203&lt;$E$11,H203,0)</f>
        <v>0</v>
      </c>
      <c r="L203">
        <f>IF(D203&lt;$A$15,$C$11,$C$11*(1-$G$11))</f>
        <v>500</v>
      </c>
      <c r="M203">
        <f>IF(D203&lt;$A$15,0,1)</f>
        <v>0</v>
      </c>
    </row>
    <row r="204" spans="4:13" x14ac:dyDescent="0.2">
      <c r="D204">
        <f t="shared" si="7"/>
        <v>181</v>
      </c>
      <c r="E204" s="1">
        <f>IF($G$11=1,IF(D204&lt;=$A$15, E203+LN($C$11)-LN(60/$D$11)-LN(MIN(D204,$E$11)), E203-LN(60/$D$11)-LN(MIN(D204,$E$11))), IF(D204&lt;=$A$15, E203+LN($C$11)-LN(60/$D$11)-LN(MIN(D204,$E$11)), E203+LN($C$11)+LN(1-$G$11)-LN(60/$D$11)-LN(MIN(D204,$E$11))))</f>
        <v>158.89186773952702</v>
      </c>
      <c r="F204" s="1">
        <f t="shared" si="8"/>
        <v>-107.43420041446785</v>
      </c>
      <c r="G204" s="1">
        <f t="shared" si="6"/>
        <v>2.1974529864739441E-47</v>
      </c>
      <c r="H204" s="1">
        <f>G204/$G$21</f>
        <v>1.5409299954525896E-48</v>
      </c>
      <c r="I204">
        <f>IF($E$11&lt;=D204, IF(D204&lt;=$A$15,D204-$E$11,$F$11),0)</f>
        <v>172</v>
      </c>
      <c r="J204">
        <f>IF(D204&lt;=$A$15,0,D204-$A$15)</f>
        <v>0</v>
      </c>
      <c r="K204" s="5">
        <f>IF(D204&lt;$E$11,H204,0)</f>
        <v>0</v>
      </c>
      <c r="L204">
        <f>IF(D204&lt;$A$15,$C$11,$C$11*(1-$G$11))</f>
        <v>500</v>
      </c>
      <c r="M204">
        <f>IF(D204&lt;$A$15,0,1)</f>
        <v>0</v>
      </c>
    </row>
    <row r="205" spans="4:13" x14ac:dyDescent="0.2">
      <c r="D205">
        <f t="shared" si="7"/>
        <v>182</v>
      </c>
      <c r="E205" s="1">
        <f>IF($G$11=1,IF(D205&lt;=$A$15, E204+LN($C$11)-LN(60/$D$11)-LN(MIN(D205,$E$11)), E204-LN(60/$D$11)-LN(MIN(D205,$E$11))), IF(D205&lt;=$A$15, E204+LN($C$11)-LN(60/$D$11)-LN(MIN(D205,$E$11)), E204+LN($C$11)+LN(1-$G$11)-LN(60/$D$11)-LN(MIN(D205,$E$11))))</f>
        <v>159.73119743026504</v>
      </c>
      <c r="F205" s="1">
        <f t="shared" si="8"/>
        <v>-106.59487072372983</v>
      </c>
      <c r="G205" s="1">
        <f t="shared" si="6"/>
        <v>5.0866967279489421E-47</v>
      </c>
      <c r="H205" s="1">
        <f>G205/$G$21</f>
        <v>3.5669675820661774E-48</v>
      </c>
      <c r="I205">
        <f>IF($E$11&lt;=D205, IF(D205&lt;=$A$15,D205-$E$11,$F$11),0)</f>
        <v>173</v>
      </c>
      <c r="J205">
        <f>IF(D205&lt;=$A$15,0,D205-$A$15)</f>
        <v>0</v>
      </c>
      <c r="K205" s="5">
        <f>IF(D205&lt;$E$11,H205,0)</f>
        <v>0</v>
      </c>
      <c r="L205">
        <f>IF(D205&lt;$A$15,$C$11,$C$11*(1-$G$11))</f>
        <v>500</v>
      </c>
      <c r="M205">
        <f>IF(D205&lt;$A$15,0,1)</f>
        <v>0</v>
      </c>
    </row>
    <row r="206" spans="4:13" x14ac:dyDescent="0.2">
      <c r="D206">
        <f t="shared" si="7"/>
        <v>183</v>
      </c>
      <c r="E206" s="1">
        <f>IF($G$11=1,IF(D206&lt;=$A$15, E205+LN($C$11)-LN(60/$D$11)-LN(MIN(D206,$E$11)), E205-LN(60/$D$11)-LN(MIN(D206,$E$11))), IF(D206&lt;=$A$15, E205+LN($C$11)-LN(60/$D$11)-LN(MIN(D206,$E$11)), E205+LN($C$11)+LN(1-$G$11)-LN(60/$D$11)-LN(MIN(D206,$E$11))))</f>
        <v>160.57052712100307</v>
      </c>
      <c r="F206" s="1">
        <f t="shared" si="8"/>
        <v>-105.7555410329918</v>
      </c>
      <c r="G206" s="1">
        <f t="shared" si="6"/>
        <v>1.1774760944326246E-46</v>
      </c>
      <c r="H206" s="1">
        <f>G206/$G$21</f>
        <v>8.2568694029309599E-48</v>
      </c>
      <c r="I206">
        <f>IF($E$11&lt;=D206, IF(D206&lt;=$A$15,D206-$E$11,$F$11),0)</f>
        <v>174</v>
      </c>
      <c r="J206">
        <f>IF(D206&lt;=$A$15,0,D206-$A$15)</f>
        <v>0</v>
      </c>
      <c r="K206" s="5">
        <f>IF(D206&lt;$E$11,H206,0)</f>
        <v>0</v>
      </c>
      <c r="L206">
        <f>IF(D206&lt;$A$15,$C$11,$C$11*(1-$G$11))</f>
        <v>500</v>
      </c>
      <c r="M206">
        <f>IF(D206&lt;$A$15,0,1)</f>
        <v>0</v>
      </c>
    </row>
    <row r="207" spans="4:13" x14ac:dyDescent="0.2">
      <c r="D207">
        <f t="shared" si="7"/>
        <v>184</v>
      </c>
      <c r="E207" s="1">
        <f>IF($G$11=1,IF(D207&lt;=$A$15, E206+LN($C$11)-LN(60/$D$11)-LN(MIN(D207,$E$11)), E206-LN(60/$D$11)-LN(MIN(D207,$E$11))), IF(D207&lt;=$A$15, E206+LN($C$11)-LN(60/$D$11)-LN(MIN(D207,$E$11)), E206+LN($C$11)+LN(1-$G$11)-LN(60/$D$11)-LN(MIN(D207,$E$11))))</f>
        <v>161.40985681174109</v>
      </c>
      <c r="F207" s="1">
        <f t="shared" si="8"/>
        <v>-104.91621134225377</v>
      </c>
      <c r="G207" s="1">
        <f t="shared" si="6"/>
        <v>2.7256391074829258E-46</v>
      </c>
      <c r="H207" s="1">
        <f>G207/$G$21</f>
        <v>1.9113123617895732E-47</v>
      </c>
      <c r="I207">
        <f>IF($E$11&lt;=D207, IF(D207&lt;=$A$15,D207-$E$11,$F$11),0)</f>
        <v>175</v>
      </c>
      <c r="J207">
        <f>IF(D207&lt;=$A$15,0,D207-$A$15)</f>
        <v>0</v>
      </c>
      <c r="K207" s="5">
        <f>IF(D207&lt;$E$11,H207,0)</f>
        <v>0</v>
      </c>
      <c r="L207">
        <f>IF(D207&lt;$A$15,$C$11,$C$11*(1-$G$11))</f>
        <v>500</v>
      </c>
      <c r="M207">
        <f>IF(D207&lt;$A$15,0,1)</f>
        <v>0</v>
      </c>
    </row>
    <row r="208" spans="4:13" x14ac:dyDescent="0.2">
      <c r="D208">
        <f t="shared" si="7"/>
        <v>185</v>
      </c>
      <c r="E208" s="1">
        <f>IF($G$11=1,IF(D208&lt;=$A$15, E207+LN($C$11)-LN(60/$D$11)-LN(MIN(D208,$E$11)), E207-LN(60/$D$11)-LN(MIN(D208,$E$11))), IF(D208&lt;=$A$15, E207+LN($C$11)-LN(60/$D$11)-LN(MIN(D208,$E$11)), E207+LN($C$11)+LN(1-$G$11)-LN(60/$D$11)-LN(MIN(D208,$E$11))))</f>
        <v>162.24918650247912</v>
      </c>
      <c r="F208" s="1">
        <f t="shared" si="8"/>
        <v>-104.07688165151575</v>
      </c>
      <c r="G208" s="1">
        <f t="shared" si="6"/>
        <v>6.3093497858401019E-46</v>
      </c>
      <c r="H208" s="1">
        <f>G208/$G$21</f>
        <v>4.4243341708091945E-47</v>
      </c>
      <c r="I208">
        <f>IF($E$11&lt;=D208, IF(D208&lt;=$A$15,D208-$E$11,$F$11),0)</f>
        <v>176</v>
      </c>
      <c r="J208">
        <f>IF(D208&lt;=$A$15,0,D208-$A$15)</f>
        <v>0</v>
      </c>
      <c r="K208" s="5">
        <f>IF(D208&lt;$E$11,H208,0)</f>
        <v>0</v>
      </c>
      <c r="L208">
        <f>IF(D208&lt;$A$15,$C$11,$C$11*(1-$G$11))</f>
        <v>500</v>
      </c>
      <c r="M208">
        <f>IF(D208&lt;$A$15,0,1)</f>
        <v>0</v>
      </c>
    </row>
    <row r="209" spans="4:13" x14ac:dyDescent="0.2">
      <c r="D209">
        <f t="shared" si="7"/>
        <v>186</v>
      </c>
      <c r="E209" s="1">
        <f>IF($G$11=1,IF(D209&lt;=$A$15, E208+LN($C$11)-LN(60/$D$11)-LN(MIN(D209,$E$11)), E208-LN(60/$D$11)-LN(MIN(D209,$E$11))), IF(D209&lt;=$A$15, E208+LN($C$11)-LN(60/$D$11)-LN(MIN(D209,$E$11)), E208+LN($C$11)+LN(1-$G$11)-LN(60/$D$11)-LN(MIN(D209,$E$11))))</f>
        <v>163.08851619321715</v>
      </c>
      <c r="F209" s="1">
        <f t="shared" si="8"/>
        <v>-103.23755196077772</v>
      </c>
      <c r="G209" s="1">
        <f t="shared" si="6"/>
        <v>1.4604976356111336E-45</v>
      </c>
      <c r="H209" s="1">
        <f>G209/$G$21</f>
        <v>1.0241514284280535E-46</v>
      </c>
      <c r="I209">
        <f>IF($E$11&lt;=D209, IF(D209&lt;=$A$15,D209-$E$11,$F$11),0)</f>
        <v>177</v>
      </c>
      <c r="J209">
        <f>IF(D209&lt;=$A$15,0,D209-$A$15)</f>
        <v>0</v>
      </c>
      <c r="K209" s="5">
        <f>IF(D209&lt;$E$11,H209,0)</f>
        <v>0</v>
      </c>
      <c r="L209">
        <f>IF(D209&lt;$A$15,$C$11,$C$11*(1-$G$11))</f>
        <v>500</v>
      </c>
      <c r="M209">
        <f>IF(D209&lt;$A$15,0,1)</f>
        <v>0</v>
      </c>
    </row>
    <row r="210" spans="4:13" x14ac:dyDescent="0.2">
      <c r="D210">
        <f t="shared" si="7"/>
        <v>187</v>
      </c>
      <c r="E210" s="1">
        <f>IF($G$11=1,IF(D210&lt;=$A$15, E209+LN($C$11)-LN(60/$D$11)-LN(MIN(D210,$E$11)), E209-LN(60/$D$11)-LN(MIN(D210,$E$11))), IF(D210&lt;=$A$15, E209+LN($C$11)-LN(60/$D$11)-LN(MIN(D210,$E$11)), E209+LN($C$11)+LN(1-$G$11)-LN(60/$D$11)-LN(MIN(D210,$E$11))))</f>
        <v>163.92784588395517</v>
      </c>
      <c r="F210" s="1">
        <f t="shared" si="8"/>
        <v>-102.3982222700397</v>
      </c>
      <c r="G210" s="1">
        <f t="shared" si="6"/>
        <v>3.3807815639146592E-45</v>
      </c>
      <c r="H210" s="1">
        <f>G210/$G$21</f>
        <v>2.3707208991390111E-46</v>
      </c>
      <c r="I210">
        <f>IF($E$11&lt;=D210, IF(D210&lt;=$A$15,D210-$E$11,$F$11),0)</f>
        <v>178</v>
      </c>
      <c r="J210">
        <f>IF(D210&lt;=$A$15,0,D210-$A$15)</f>
        <v>0</v>
      </c>
      <c r="K210" s="5">
        <f>IF(D210&lt;$E$11,H210,0)</f>
        <v>0</v>
      </c>
      <c r="L210">
        <f>IF(D210&lt;$A$15,$C$11,$C$11*(1-$G$11))</f>
        <v>500</v>
      </c>
      <c r="M210">
        <f>IF(D210&lt;$A$15,0,1)</f>
        <v>0</v>
      </c>
    </row>
    <row r="211" spans="4:13" x14ac:dyDescent="0.2">
      <c r="D211">
        <f t="shared" si="7"/>
        <v>188</v>
      </c>
      <c r="E211" s="1">
        <f>IF($G$11=1,IF(D211&lt;=$A$15, E210+LN($C$11)-LN(60/$D$11)-LN(MIN(D211,$E$11)), E210-LN(60/$D$11)-LN(MIN(D211,$E$11))), IF(D211&lt;=$A$15, E210+LN($C$11)-LN(60/$D$11)-LN(MIN(D211,$E$11)), E210+LN($C$11)+LN(1-$G$11)-LN(60/$D$11)-LN(MIN(D211,$E$11))))</f>
        <v>164.7671755746932</v>
      </c>
      <c r="F211" s="1">
        <f t="shared" si="8"/>
        <v>-101.55889257930167</v>
      </c>
      <c r="G211" s="1">
        <f t="shared" si="6"/>
        <v>7.8258832498024475E-45</v>
      </c>
      <c r="H211" s="1">
        <f>G211/$G$21</f>
        <v>5.4877798591180787E-46</v>
      </c>
      <c r="I211">
        <f>IF($E$11&lt;=D211, IF(D211&lt;=$A$15,D211-$E$11,$F$11),0)</f>
        <v>179</v>
      </c>
      <c r="J211">
        <f>IF(D211&lt;=$A$15,0,D211-$A$15)</f>
        <v>0</v>
      </c>
      <c r="K211" s="5">
        <f>IF(D211&lt;$E$11,H211,0)</f>
        <v>0</v>
      </c>
      <c r="L211">
        <f>IF(D211&lt;$A$15,$C$11,$C$11*(1-$G$11))</f>
        <v>500</v>
      </c>
      <c r="M211">
        <f>IF(D211&lt;$A$15,0,1)</f>
        <v>0</v>
      </c>
    </row>
    <row r="212" spans="4:13" x14ac:dyDescent="0.2">
      <c r="D212">
        <f t="shared" si="7"/>
        <v>189</v>
      </c>
      <c r="E212" s="1">
        <f>IF($G$11=1,IF(D212&lt;=$A$15, E211+LN($C$11)-LN(60/$D$11)-LN(MIN(D212,$E$11)), E211-LN(60/$D$11)-LN(MIN(D212,$E$11))), IF(D212&lt;=$A$15, E211+LN($C$11)-LN(60/$D$11)-LN(MIN(D212,$E$11)), E211+LN($C$11)+LN(1-$G$11)-LN(60/$D$11)-LN(MIN(D212,$E$11))))</f>
        <v>165.60650526543122</v>
      </c>
      <c r="F212" s="1">
        <f t="shared" si="8"/>
        <v>-100.71956288856364</v>
      </c>
      <c r="G212" s="1">
        <f t="shared" si="6"/>
        <v>1.8115470485653801E-44</v>
      </c>
      <c r="H212" s="1">
        <f>G212/$G$21</f>
        <v>1.2703194118328876E-45</v>
      </c>
      <c r="I212">
        <f>IF($E$11&lt;=D212, IF(D212&lt;=$A$15,D212-$E$11,$F$11),0)</f>
        <v>180</v>
      </c>
      <c r="J212">
        <f>IF(D212&lt;=$A$15,0,D212-$A$15)</f>
        <v>0</v>
      </c>
      <c r="K212" s="5">
        <f>IF(D212&lt;$E$11,H212,0)</f>
        <v>0</v>
      </c>
      <c r="L212">
        <f>IF(D212&lt;$A$15,$C$11,$C$11*(1-$G$11))</f>
        <v>500</v>
      </c>
      <c r="M212">
        <f>IF(D212&lt;$A$15,0,1)</f>
        <v>0</v>
      </c>
    </row>
    <row r="213" spans="4:13" x14ac:dyDescent="0.2">
      <c r="D213">
        <f t="shared" si="7"/>
        <v>190</v>
      </c>
      <c r="E213" s="1">
        <f>IF($G$11=1,IF(D213&lt;=$A$15, E212+LN($C$11)-LN(60/$D$11)-LN(MIN(D213,$E$11)), E212-LN(60/$D$11)-LN(MIN(D213,$E$11))), IF(D213&lt;=$A$15, E212+LN($C$11)-LN(60/$D$11)-LN(MIN(D213,$E$11)), E212+LN($C$11)+LN(1-$G$11)-LN(60/$D$11)-LN(MIN(D213,$E$11))))</f>
        <v>166.44583495616925</v>
      </c>
      <c r="F213" s="1">
        <f t="shared" si="8"/>
        <v>-99.880233197825618</v>
      </c>
      <c r="G213" s="1">
        <f t="shared" si="6"/>
        <v>4.1933959457531922E-44</v>
      </c>
      <c r="H213" s="1">
        <f>G213/$G$21</f>
        <v>2.9405541940576086E-45</v>
      </c>
      <c r="I213">
        <f>IF($E$11&lt;=D213, IF(D213&lt;=$A$15,D213-$E$11,$F$11),0)</f>
        <v>181</v>
      </c>
      <c r="J213">
        <f>IF(D213&lt;=$A$15,0,D213-$A$15)</f>
        <v>0</v>
      </c>
      <c r="K213" s="5">
        <f>IF(D213&lt;$E$11,H213,0)</f>
        <v>0</v>
      </c>
      <c r="L213">
        <f>IF(D213&lt;$A$15,$C$11,$C$11*(1-$G$11))</f>
        <v>500</v>
      </c>
      <c r="M213">
        <f>IF(D213&lt;$A$15,0,1)</f>
        <v>0</v>
      </c>
    </row>
    <row r="214" spans="4:13" x14ac:dyDescent="0.2">
      <c r="D214">
        <f t="shared" si="7"/>
        <v>191</v>
      </c>
      <c r="E214" s="1">
        <f>IF($G$11=1,IF(D214&lt;=$A$15, E213+LN($C$11)-LN(60/$D$11)-LN(MIN(D214,$E$11)), E213-LN(60/$D$11)-LN(MIN(D214,$E$11))), IF(D214&lt;=$A$15, E213+LN($C$11)-LN(60/$D$11)-LN(MIN(D214,$E$11)), E213+LN($C$11)+LN(1-$G$11)-LN(60/$D$11)-LN(MIN(D214,$E$11))))</f>
        <v>167.28516464690728</v>
      </c>
      <c r="F214" s="1">
        <f t="shared" si="8"/>
        <v>-99.040903507087592</v>
      </c>
      <c r="G214" s="1">
        <f t="shared" si="6"/>
        <v>9.7069350596138641E-44</v>
      </c>
      <c r="H214" s="1">
        <f>G214/$G$21</f>
        <v>6.8068384121703855E-45</v>
      </c>
      <c r="I214">
        <f>IF($E$11&lt;=D214, IF(D214&lt;=$A$15,D214-$E$11,$F$11),0)</f>
        <v>182</v>
      </c>
      <c r="J214">
        <f>IF(D214&lt;=$A$15,0,D214-$A$15)</f>
        <v>0</v>
      </c>
      <c r="K214" s="5">
        <f>IF(D214&lt;$E$11,H214,0)</f>
        <v>0</v>
      </c>
      <c r="L214">
        <f>IF(D214&lt;$A$15,$C$11,$C$11*(1-$G$11))</f>
        <v>500</v>
      </c>
      <c r="M214">
        <f>IF(D214&lt;$A$15,0,1)</f>
        <v>0</v>
      </c>
    </row>
    <row r="215" spans="4:13" x14ac:dyDescent="0.2">
      <c r="D215">
        <f t="shared" si="7"/>
        <v>192</v>
      </c>
      <c r="E215" s="1">
        <f>IF($G$11=1,IF(D215&lt;=$A$15, E214+LN($C$11)-LN(60/$D$11)-LN(MIN(D215,$E$11)), E214-LN(60/$D$11)-LN(MIN(D215,$E$11))), IF(D215&lt;=$A$15, E214+LN($C$11)-LN(60/$D$11)-LN(MIN(D215,$E$11)), E214+LN($C$11)+LN(1-$G$11)-LN(60/$D$11)-LN(MIN(D215,$E$11))))</f>
        <v>168.1244943376453</v>
      </c>
      <c r="F215" s="1">
        <f t="shared" si="8"/>
        <v>-98.201573816349566</v>
      </c>
      <c r="G215" s="1">
        <f t="shared" si="6"/>
        <v>2.2469757082439485E-43</v>
      </c>
      <c r="H215" s="1">
        <f>G215/$G$21</f>
        <v>1.5756570398542547E-44</v>
      </c>
      <c r="I215">
        <f>IF($E$11&lt;=D215, IF(D215&lt;=$A$15,D215-$E$11,$F$11),0)</f>
        <v>183</v>
      </c>
      <c r="J215">
        <f>IF(D215&lt;=$A$15,0,D215-$A$15)</f>
        <v>0</v>
      </c>
      <c r="K215" s="5">
        <f>IF(D215&lt;$E$11,H215,0)</f>
        <v>0</v>
      </c>
      <c r="L215">
        <f>IF(D215&lt;$A$15,$C$11,$C$11*(1-$G$11))</f>
        <v>500</v>
      </c>
      <c r="M215">
        <f>IF(D215&lt;$A$15,0,1)</f>
        <v>0</v>
      </c>
    </row>
    <row r="216" spans="4:13" x14ac:dyDescent="0.2">
      <c r="D216">
        <f t="shared" si="7"/>
        <v>193</v>
      </c>
      <c r="E216" s="1">
        <f>IF($G$11=1,IF(D216&lt;=$A$15, E215+LN($C$11)-LN(60/$D$11)-LN(MIN(D216,$E$11)), E215-LN(60/$D$11)-LN(MIN(D216,$E$11))), IF(D216&lt;=$A$15, E215+LN($C$11)-LN(60/$D$11)-LN(MIN(D216,$E$11)), E215+LN($C$11)+LN(1-$G$11)-LN(60/$D$11)-LN(MIN(D216,$E$11))))</f>
        <v>168.96382402838333</v>
      </c>
      <c r="F216" s="1">
        <f t="shared" si="8"/>
        <v>-97.362244125611539</v>
      </c>
      <c r="G216" s="1">
        <f t="shared" ref="G216:G279" si="9">EXP(F216)</f>
        <v>5.2013326579720999E-43</v>
      </c>
      <c r="H216" s="1">
        <f>G216/$G$21</f>
        <v>3.6473542589218841E-44</v>
      </c>
      <c r="I216">
        <f>IF($E$11&lt;=D216, IF(D216&lt;=$A$15,D216-$E$11,$F$11),0)</f>
        <v>184</v>
      </c>
      <c r="J216">
        <f>IF(D216&lt;=$A$15,0,D216-$A$15)</f>
        <v>0</v>
      </c>
      <c r="K216" s="5">
        <f>IF(D216&lt;$E$11,H216,0)</f>
        <v>0</v>
      </c>
      <c r="L216">
        <f>IF(D216&lt;$A$15,$C$11,$C$11*(1-$G$11))</f>
        <v>500</v>
      </c>
      <c r="M216">
        <f>IF(D216&lt;$A$15,0,1)</f>
        <v>0</v>
      </c>
    </row>
    <row r="217" spans="4:13" x14ac:dyDescent="0.2">
      <c r="D217">
        <f t="shared" ref="D217:D280" si="10">1+D216</f>
        <v>194</v>
      </c>
      <c r="E217" s="1">
        <f>IF($G$11=1,IF(D217&lt;=$A$15, E216+LN($C$11)-LN(60/$D$11)-LN(MIN(D217,$E$11)), E216-LN(60/$D$11)-LN(MIN(D217,$E$11))), IF(D217&lt;=$A$15, E216+LN($C$11)-LN(60/$D$11)-LN(MIN(D217,$E$11)), E216+LN($C$11)+LN(1-$G$11)-LN(60/$D$11)-LN(MIN(D217,$E$11))))</f>
        <v>169.80315371912135</v>
      </c>
      <c r="F217" s="1">
        <f t="shared" ref="F217:F280" si="11">E217-$E$21</f>
        <v>-96.522914434873513</v>
      </c>
      <c r="G217" s="1">
        <f t="shared" si="9"/>
        <v>1.2040121893453928E-42</v>
      </c>
      <c r="H217" s="1">
        <f>G217/$G$21</f>
        <v>8.4429496734302818E-44</v>
      </c>
      <c r="I217">
        <f>IF($E$11&lt;=D217, IF(D217&lt;=$A$15,D217-$E$11,$F$11),0)</f>
        <v>185</v>
      </c>
      <c r="J217">
        <f>IF(D217&lt;=$A$15,0,D217-$A$15)</f>
        <v>0</v>
      </c>
      <c r="K217" s="5">
        <f>IF(D217&lt;$E$11,H217,0)</f>
        <v>0</v>
      </c>
      <c r="L217">
        <f>IF(D217&lt;$A$15,$C$11,$C$11*(1-$G$11))</f>
        <v>500</v>
      </c>
      <c r="M217">
        <f>IF(D217&lt;$A$15,0,1)</f>
        <v>0</v>
      </c>
    </row>
    <row r="218" spans="4:13" x14ac:dyDescent="0.2">
      <c r="D218">
        <f t="shared" si="10"/>
        <v>195</v>
      </c>
      <c r="E218" s="1">
        <f>IF($G$11=1,IF(D218&lt;=$A$15, E217+LN($C$11)-LN(60/$D$11)-LN(MIN(D218,$E$11)), E217-LN(60/$D$11)-LN(MIN(D218,$E$11))), IF(D218&lt;=$A$15, E217+LN($C$11)-LN(60/$D$11)-LN(MIN(D218,$E$11)), E217+LN($C$11)+LN(1-$G$11)-LN(60/$D$11)-LN(MIN(D218,$E$11))))</f>
        <v>170.64248340985938</v>
      </c>
      <c r="F218" s="1">
        <f t="shared" si="11"/>
        <v>-95.683584744135487</v>
      </c>
      <c r="G218" s="1">
        <f t="shared" si="9"/>
        <v>2.7870652531143333E-42</v>
      </c>
      <c r="H218" s="1">
        <f>G218/$G$21</f>
        <v>1.9543864984792307E-43</v>
      </c>
      <c r="I218">
        <f>IF($E$11&lt;=D218, IF(D218&lt;=$A$15,D218-$E$11,$F$11),0)</f>
        <v>186</v>
      </c>
      <c r="J218">
        <f>IF(D218&lt;=$A$15,0,D218-$A$15)</f>
        <v>0</v>
      </c>
      <c r="K218" s="5">
        <f>IF(D218&lt;$E$11,H218,0)</f>
        <v>0</v>
      </c>
      <c r="L218">
        <f>IF(D218&lt;$A$15,$C$11,$C$11*(1-$G$11))</f>
        <v>500</v>
      </c>
      <c r="M218">
        <f>IF(D218&lt;$A$15,0,1)</f>
        <v>0</v>
      </c>
    </row>
    <row r="219" spans="4:13" x14ac:dyDescent="0.2">
      <c r="D219">
        <f t="shared" si="10"/>
        <v>196</v>
      </c>
      <c r="E219" s="1">
        <f>IF($G$11=1,IF(D219&lt;=$A$15, E218+LN($C$11)-LN(60/$D$11)-LN(MIN(D219,$E$11)), E218-LN(60/$D$11)-LN(MIN(D219,$E$11))), IF(D219&lt;=$A$15, E218+LN($C$11)-LN(60/$D$11)-LN(MIN(D219,$E$11)), E218+LN($C$11)+LN(1-$G$11)-LN(60/$D$11)-LN(MIN(D219,$E$11))))</f>
        <v>171.48181310059741</v>
      </c>
      <c r="F219" s="1">
        <f t="shared" si="11"/>
        <v>-94.844255053397461</v>
      </c>
      <c r="G219" s="1">
        <f t="shared" si="9"/>
        <v>6.4515399377646559E-42</v>
      </c>
      <c r="H219" s="1">
        <f>G219/$G$21</f>
        <v>4.5240428205537718E-43</v>
      </c>
      <c r="I219">
        <f>IF($E$11&lt;=D219, IF(D219&lt;=$A$15,D219-$E$11,$F$11),0)</f>
        <v>187</v>
      </c>
      <c r="J219">
        <f>IF(D219&lt;=$A$15,0,D219-$A$15)</f>
        <v>0</v>
      </c>
      <c r="K219" s="5">
        <f>IF(D219&lt;$E$11,H219,0)</f>
        <v>0</v>
      </c>
      <c r="L219">
        <f>IF(D219&lt;$A$15,$C$11,$C$11*(1-$G$11))</f>
        <v>500</v>
      </c>
      <c r="M219">
        <f>IF(D219&lt;$A$15,0,1)</f>
        <v>0</v>
      </c>
    </row>
    <row r="220" spans="4:13" x14ac:dyDescent="0.2">
      <c r="D220">
        <f t="shared" si="10"/>
        <v>197</v>
      </c>
      <c r="E220" s="1">
        <f>IF($G$11=1,IF(D220&lt;=$A$15, E219+LN($C$11)-LN(60/$D$11)-LN(MIN(D220,$E$11)), E219-LN(60/$D$11)-LN(MIN(D220,$E$11))), IF(D220&lt;=$A$15, E219+LN($C$11)-LN(60/$D$11)-LN(MIN(D220,$E$11)), E219+LN($C$11)+LN(1-$G$11)-LN(60/$D$11)-LN(MIN(D220,$E$11))))</f>
        <v>172.32114279133543</v>
      </c>
      <c r="F220" s="1">
        <f t="shared" si="11"/>
        <v>-94.004925362659435</v>
      </c>
      <c r="G220" s="1">
        <f t="shared" si="9"/>
        <v>1.4934120226307065E-41</v>
      </c>
      <c r="H220" s="1">
        <f>G220/$G$21</f>
        <v>1.0472321343874465E-42</v>
      </c>
      <c r="I220">
        <f>IF($E$11&lt;=D220, IF(D220&lt;=$A$15,D220-$E$11,$F$11),0)</f>
        <v>188</v>
      </c>
      <c r="J220">
        <f>IF(D220&lt;=$A$15,0,D220-$A$15)</f>
        <v>0</v>
      </c>
      <c r="K220" s="5">
        <f>IF(D220&lt;$E$11,H220,0)</f>
        <v>0</v>
      </c>
      <c r="L220">
        <f>IF(D220&lt;$A$15,$C$11,$C$11*(1-$G$11))</f>
        <v>500</v>
      </c>
      <c r="M220">
        <f>IF(D220&lt;$A$15,0,1)</f>
        <v>0</v>
      </c>
    </row>
    <row r="221" spans="4:13" x14ac:dyDescent="0.2">
      <c r="D221">
        <f t="shared" si="10"/>
        <v>198</v>
      </c>
      <c r="E221" s="1">
        <f>IF($G$11=1,IF(D221&lt;=$A$15, E220+LN($C$11)-LN(60/$D$11)-LN(MIN(D221,$E$11)), E220-LN(60/$D$11)-LN(MIN(D221,$E$11))), IF(D221&lt;=$A$15, E220+LN($C$11)-LN(60/$D$11)-LN(MIN(D221,$E$11)), E220+LN($C$11)+LN(1-$G$11)-LN(60/$D$11)-LN(MIN(D221,$E$11))))</f>
        <v>173.16047248207346</v>
      </c>
      <c r="F221" s="1">
        <f t="shared" si="11"/>
        <v>-93.165595671921409</v>
      </c>
      <c r="G221" s="1">
        <f t="shared" si="9"/>
        <v>3.4569722746081145E-41</v>
      </c>
      <c r="H221" s="1">
        <f>G221/$G$21</f>
        <v>2.4241484592301986E-42</v>
      </c>
      <c r="I221">
        <f>IF($E$11&lt;=D221, IF(D221&lt;=$A$15,D221-$E$11,$F$11),0)</f>
        <v>189</v>
      </c>
      <c r="J221">
        <f>IF(D221&lt;=$A$15,0,D221-$A$15)</f>
        <v>0</v>
      </c>
      <c r="K221" s="5">
        <f>IF(D221&lt;$E$11,H221,0)</f>
        <v>0</v>
      </c>
      <c r="L221">
        <f>IF(D221&lt;$A$15,$C$11,$C$11*(1-$G$11))</f>
        <v>500</v>
      </c>
      <c r="M221">
        <f>IF(D221&lt;$A$15,0,1)</f>
        <v>0</v>
      </c>
    </row>
    <row r="222" spans="4:13" x14ac:dyDescent="0.2">
      <c r="D222">
        <f t="shared" si="10"/>
        <v>199</v>
      </c>
      <c r="E222" s="1">
        <f>IF($G$11=1,IF(D222&lt;=$A$15, E221+LN($C$11)-LN(60/$D$11)-LN(MIN(D222,$E$11)), E221-LN(60/$D$11)-LN(MIN(D222,$E$11))), IF(D222&lt;=$A$15, E221+LN($C$11)-LN(60/$D$11)-LN(MIN(D222,$E$11)), E221+LN($C$11)+LN(1-$G$11)-LN(60/$D$11)-LN(MIN(D222,$E$11))))</f>
        <v>173.99980217281148</v>
      </c>
      <c r="F222" s="1">
        <f t="shared" si="11"/>
        <v>-92.326265981183383</v>
      </c>
      <c r="G222" s="1">
        <f t="shared" si="9"/>
        <v>8.0022506356669273E-41</v>
      </c>
      <c r="H222" s="1">
        <f>G222/$G$21</f>
        <v>5.6114547667365672E-42</v>
      </c>
      <c r="I222">
        <f>IF($E$11&lt;=D222, IF(D222&lt;=$A$15,D222-$E$11,$F$11),0)</f>
        <v>190</v>
      </c>
      <c r="J222">
        <f>IF(D222&lt;=$A$15,0,D222-$A$15)</f>
        <v>0</v>
      </c>
      <c r="K222" s="5">
        <f>IF(D222&lt;$E$11,H222,0)</f>
        <v>0</v>
      </c>
      <c r="L222">
        <f>IF(D222&lt;$A$15,$C$11,$C$11*(1-$G$11))</f>
        <v>500</v>
      </c>
      <c r="M222">
        <f>IF(D222&lt;$A$15,0,1)</f>
        <v>0</v>
      </c>
    </row>
    <row r="223" spans="4:13" x14ac:dyDescent="0.2">
      <c r="D223">
        <f t="shared" si="10"/>
        <v>200</v>
      </c>
      <c r="E223" s="1">
        <f>IF($G$11=1,IF(D223&lt;=$A$15, E222+LN($C$11)-LN(60/$D$11)-LN(MIN(D223,$E$11)), E222-LN(60/$D$11)-LN(MIN(D223,$E$11))), IF(D223&lt;=$A$15, E222+LN($C$11)-LN(60/$D$11)-LN(MIN(D223,$E$11)), E222+LN($C$11)+LN(1-$G$11)-LN(60/$D$11)-LN(MIN(D223,$E$11))))</f>
        <v>174.83913186354951</v>
      </c>
      <c r="F223" s="1">
        <f t="shared" si="11"/>
        <v>-91.486936290445357</v>
      </c>
      <c r="G223" s="1">
        <f t="shared" si="9"/>
        <v>1.8523728323303059E-40</v>
      </c>
      <c r="H223" s="1">
        <f>G223/$G$21</f>
        <v>1.2989478626705009E-41</v>
      </c>
      <c r="I223">
        <f>IF($E$11&lt;=D223, IF(D223&lt;=$A$15,D223-$E$11,$F$11),0)</f>
        <v>191</v>
      </c>
      <c r="J223">
        <f>IF(D223&lt;=$A$15,0,D223-$A$15)</f>
        <v>0</v>
      </c>
      <c r="K223" s="5">
        <f>IF(D223&lt;$E$11,H223,0)</f>
        <v>0</v>
      </c>
      <c r="L223">
        <f>IF(D223&lt;$A$15,$C$11,$C$11*(1-$G$11))</f>
        <v>500</v>
      </c>
      <c r="M223">
        <f>IF(D223&lt;$A$15,0,1)</f>
        <v>0</v>
      </c>
    </row>
    <row r="224" spans="4:13" x14ac:dyDescent="0.2">
      <c r="D224">
        <f t="shared" si="10"/>
        <v>201</v>
      </c>
      <c r="E224" s="1">
        <f>IF($G$11=1,IF(D224&lt;=$A$15, E223+LN($C$11)-LN(60/$D$11)-LN(MIN(D224,$E$11)), E223-LN(60/$D$11)-LN(MIN(D224,$E$11))), IF(D224&lt;=$A$15, E223+LN($C$11)-LN(60/$D$11)-LN(MIN(D224,$E$11)), E223+LN($C$11)+LN(1-$G$11)-LN(60/$D$11)-LN(MIN(D224,$E$11))))</f>
        <v>175.67846155428754</v>
      </c>
      <c r="F224" s="1">
        <f t="shared" si="11"/>
        <v>-90.647606599707331</v>
      </c>
      <c r="G224" s="1">
        <f t="shared" si="9"/>
        <v>4.2879000748386689E-40</v>
      </c>
      <c r="H224" s="1">
        <f>G224/$G$21</f>
        <v>3.0068237561817134E-41</v>
      </c>
      <c r="I224">
        <f>IF($E$11&lt;=D224, IF(D224&lt;=$A$15,D224-$E$11,$F$11),0)</f>
        <v>192</v>
      </c>
      <c r="J224">
        <f>IF(D224&lt;=$A$15,0,D224-$A$15)</f>
        <v>0</v>
      </c>
      <c r="K224" s="5">
        <f>IF(D224&lt;$E$11,H224,0)</f>
        <v>0</v>
      </c>
      <c r="L224">
        <f>IF(D224&lt;$A$15,$C$11,$C$11*(1-$G$11))</f>
        <v>500</v>
      </c>
      <c r="M224">
        <f>IF(D224&lt;$A$15,0,1)</f>
        <v>0</v>
      </c>
    </row>
    <row r="225" spans="4:13" x14ac:dyDescent="0.2">
      <c r="D225">
        <f t="shared" si="10"/>
        <v>202</v>
      </c>
      <c r="E225" s="1">
        <f>IF($G$11=1,IF(D225&lt;=$A$15, E224+LN($C$11)-LN(60/$D$11)-LN(MIN(D225,$E$11)), E224-LN(60/$D$11)-LN(MIN(D225,$E$11))), IF(D225&lt;=$A$15, E224+LN($C$11)-LN(60/$D$11)-LN(MIN(D225,$E$11)), E224+LN($C$11)+LN(1-$G$11)-LN(60/$D$11)-LN(MIN(D225,$E$11))))</f>
        <v>176.51779124502556</v>
      </c>
      <c r="F225" s="1">
        <f t="shared" si="11"/>
        <v>-89.808276908969304</v>
      </c>
      <c r="G225" s="1">
        <f t="shared" si="9"/>
        <v>9.9256946176820972E-40</v>
      </c>
      <c r="H225" s="1">
        <f>G225/$G$21</f>
        <v>6.9602401763465538E-41</v>
      </c>
      <c r="I225">
        <f>IF($E$11&lt;=D225, IF(D225&lt;=$A$15,D225-$E$11,$F$11),0)</f>
        <v>193</v>
      </c>
      <c r="J225">
        <f>IF(D225&lt;=$A$15,0,D225-$A$15)</f>
        <v>0</v>
      </c>
      <c r="K225" s="5">
        <f>IF(D225&lt;$E$11,H225,0)</f>
        <v>0</v>
      </c>
      <c r="L225">
        <f>IF(D225&lt;$A$15,$C$11,$C$11*(1-$G$11))</f>
        <v>500</v>
      </c>
      <c r="M225">
        <f>IF(D225&lt;$A$15,0,1)</f>
        <v>0</v>
      </c>
    </row>
    <row r="226" spans="4:13" x14ac:dyDescent="0.2">
      <c r="D226">
        <f t="shared" si="10"/>
        <v>203</v>
      </c>
      <c r="E226" s="1">
        <f>IF($G$11=1,IF(D226&lt;=$A$15, E225+LN($C$11)-LN(60/$D$11)-LN(MIN(D226,$E$11)), E225-LN(60/$D$11)-LN(MIN(D226,$E$11))), IF(D226&lt;=$A$15, E225+LN($C$11)-LN(60/$D$11)-LN(MIN(D226,$E$11)), E225+LN($C$11)+LN(1-$G$11)-LN(60/$D$11)-LN(MIN(D226,$E$11))))</f>
        <v>177.35712093576359</v>
      </c>
      <c r="F226" s="1">
        <f t="shared" si="11"/>
        <v>-88.968947218231278</v>
      </c>
      <c r="G226" s="1">
        <f t="shared" si="9"/>
        <v>2.2976144948338174E-39</v>
      </c>
      <c r="H226" s="1">
        <f>G226/$G$21</f>
        <v>1.6111667074876273E-40</v>
      </c>
      <c r="I226">
        <f>IF($E$11&lt;=D226, IF(D226&lt;=$A$15,D226-$E$11,$F$11),0)</f>
        <v>194</v>
      </c>
      <c r="J226">
        <f>IF(D226&lt;=$A$15,0,D226-$A$15)</f>
        <v>0</v>
      </c>
      <c r="K226" s="5">
        <f>IF(D226&lt;$E$11,H226,0)</f>
        <v>0</v>
      </c>
      <c r="L226">
        <f>IF(D226&lt;$A$15,$C$11,$C$11*(1-$G$11))</f>
        <v>500</v>
      </c>
      <c r="M226">
        <f>IF(D226&lt;$A$15,0,1)</f>
        <v>0</v>
      </c>
    </row>
    <row r="227" spans="4:13" x14ac:dyDescent="0.2">
      <c r="D227">
        <f t="shared" si="10"/>
        <v>204</v>
      </c>
      <c r="E227" s="1">
        <f>IF($G$11=1,IF(D227&lt;=$A$15, E226+LN($C$11)-LN(60/$D$11)-LN(MIN(D227,$E$11)), E226-LN(60/$D$11)-LN(MIN(D227,$E$11))), IF(D227&lt;=$A$15, E226+LN($C$11)-LN(60/$D$11)-LN(MIN(D227,$E$11)), E226+LN($C$11)+LN(1-$G$11)-LN(60/$D$11)-LN(MIN(D227,$E$11))))</f>
        <v>178.19645062650162</v>
      </c>
      <c r="F227" s="1">
        <f t="shared" si="11"/>
        <v>-88.129617527493252</v>
      </c>
      <c r="G227" s="1">
        <f t="shared" si="9"/>
        <v>5.3185520713745738E-39</v>
      </c>
      <c r="H227" s="1">
        <f>G227/$G$21</f>
        <v>3.729552563628764E-40</v>
      </c>
      <c r="I227">
        <f>IF($E$11&lt;=D227, IF(D227&lt;=$A$15,D227-$E$11,$F$11),0)</f>
        <v>195</v>
      </c>
      <c r="J227">
        <f>IF(D227&lt;=$A$15,0,D227-$A$15)</f>
        <v>0</v>
      </c>
      <c r="K227" s="5">
        <f>IF(D227&lt;$E$11,H227,0)</f>
        <v>0</v>
      </c>
      <c r="L227">
        <f>IF(D227&lt;$A$15,$C$11,$C$11*(1-$G$11))</f>
        <v>500</v>
      </c>
      <c r="M227">
        <f>IF(D227&lt;$A$15,0,1)</f>
        <v>0</v>
      </c>
    </row>
    <row r="228" spans="4:13" x14ac:dyDescent="0.2">
      <c r="D228">
        <f t="shared" si="10"/>
        <v>205</v>
      </c>
      <c r="E228" s="1">
        <f>IF($G$11=1,IF(D228&lt;=$A$15, E227+LN($C$11)-LN(60/$D$11)-LN(MIN(D228,$E$11)), E227-LN(60/$D$11)-LN(MIN(D228,$E$11))), IF(D228&lt;=$A$15, E227+LN($C$11)-LN(60/$D$11)-LN(MIN(D228,$E$11)), E227+LN($C$11)+LN(1-$G$11)-LN(60/$D$11)-LN(MIN(D228,$E$11))))</f>
        <v>179.03578031723964</v>
      </c>
      <c r="F228" s="1">
        <f t="shared" si="11"/>
        <v>-87.290287836755226</v>
      </c>
      <c r="G228" s="1">
        <f t="shared" si="9"/>
        <v>1.2311463128181876E-38</v>
      </c>
      <c r="H228" s="1">
        <f>G228/$G$21</f>
        <v>8.633223526918431E-40</v>
      </c>
      <c r="I228">
        <f>IF($E$11&lt;=D228, IF(D228&lt;=$A$15,D228-$E$11,$F$11),0)</f>
        <v>196</v>
      </c>
      <c r="J228">
        <f>IF(D228&lt;=$A$15,0,D228-$A$15)</f>
        <v>0</v>
      </c>
      <c r="K228" s="5">
        <f>IF(D228&lt;$E$11,H228,0)</f>
        <v>0</v>
      </c>
      <c r="L228">
        <f>IF(D228&lt;$A$15,$C$11,$C$11*(1-$G$11))</f>
        <v>500</v>
      </c>
      <c r="M228">
        <f>IF(D228&lt;$A$15,0,1)</f>
        <v>0</v>
      </c>
    </row>
    <row r="229" spans="4:13" x14ac:dyDescent="0.2">
      <c r="D229">
        <f t="shared" si="10"/>
        <v>206</v>
      </c>
      <c r="E229" s="1">
        <f>IF($G$11=1,IF(D229&lt;=$A$15, E228+LN($C$11)-LN(60/$D$11)-LN(MIN(D229,$E$11)), E228-LN(60/$D$11)-LN(MIN(D229,$E$11))), IF(D229&lt;=$A$15, E228+LN($C$11)-LN(60/$D$11)-LN(MIN(D229,$E$11)), E228+LN($C$11)+LN(1-$G$11)-LN(60/$D$11)-LN(MIN(D229,$E$11))))</f>
        <v>179.87511000797767</v>
      </c>
      <c r="F229" s="1">
        <f t="shared" si="11"/>
        <v>-86.4509581460172</v>
      </c>
      <c r="G229" s="1">
        <f t="shared" si="9"/>
        <v>2.8498757241161733E-38</v>
      </c>
      <c r="H229" s="1">
        <f>G229/$G$21</f>
        <v>1.9984313719718578E-39</v>
      </c>
      <c r="I229">
        <f>IF($E$11&lt;=D229, IF(D229&lt;=$A$15,D229-$E$11,$F$11),0)</f>
        <v>197</v>
      </c>
      <c r="J229">
        <f>IF(D229&lt;=$A$15,0,D229-$A$15)</f>
        <v>0</v>
      </c>
      <c r="K229" s="5">
        <f>IF(D229&lt;$E$11,H229,0)</f>
        <v>0</v>
      </c>
      <c r="L229">
        <f>IF(D229&lt;$A$15,$C$11,$C$11*(1-$G$11))</f>
        <v>500</v>
      </c>
      <c r="M229">
        <f>IF(D229&lt;$A$15,0,1)</f>
        <v>0</v>
      </c>
    </row>
    <row r="230" spans="4:13" x14ac:dyDescent="0.2">
      <c r="D230">
        <f t="shared" si="10"/>
        <v>207</v>
      </c>
      <c r="E230" s="1">
        <f>IF($G$11=1,IF(D230&lt;=$A$15, E229+LN($C$11)-LN(60/$D$11)-LN(MIN(D230,$E$11)), E229-LN(60/$D$11)-LN(MIN(D230,$E$11))), IF(D230&lt;=$A$15, E229+LN($C$11)-LN(60/$D$11)-LN(MIN(D230,$E$11)), E229+LN($C$11)+LN(1-$G$11)-LN(60/$D$11)-LN(MIN(D230,$E$11))))</f>
        <v>180.71443969871569</v>
      </c>
      <c r="F230" s="1">
        <f t="shared" si="11"/>
        <v>-85.611628455279174</v>
      </c>
      <c r="G230" s="1">
        <f t="shared" si="9"/>
        <v>6.5969345465652108E-38</v>
      </c>
      <c r="H230" s="1">
        <f>G230/$G$21</f>
        <v>4.6259985462311482E-39</v>
      </c>
      <c r="I230">
        <f>IF($E$11&lt;=D230, IF(D230&lt;=$A$15,D230-$E$11,$F$11),0)</f>
        <v>198</v>
      </c>
      <c r="J230">
        <f>IF(D230&lt;=$A$15,0,D230-$A$15)</f>
        <v>0</v>
      </c>
      <c r="K230" s="5">
        <f>IF(D230&lt;$E$11,H230,0)</f>
        <v>0</v>
      </c>
      <c r="L230">
        <f>IF(D230&lt;$A$15,$C$11,$C$11*(1-$G$11))</f>
        <v>500</v>
      </c>
      <c r="M230">
        <f>IF(D230&lt;$A$15,0,1)</f>
        <v>0</v>
      </c>
    </row>
    <row r="231" spans="4:13" x14ac:dyDescent="0.2">
      <c r="D231">
        <f t="shared" si="10"/>
        <v>208</v>
      </c>
      <c r="E231" s="1">
        <f>IF($G$11=1,IF(D231&lt;=$A$15, E230+LN($C$11)-LN(60/$D$11)-LN(MIN(D231,$E$11)), E230-LN(60/$D$11)-LN(MIN(D231,$E$11))), IF(D231&lt;=$A$15, E230+LN($C$11)-LN(60/$D$11)-LN(MIN(D231,$E$11)), E230+LN($C$11)+LN(1-$G$11)-LN(60/$D$11)-LN(MIN(D231,$E$11))))</f>
        <v>181.55376938945372</v>
      </c>
      <c r="F231" s="1">
        <f t="shared" si="11"/>
        <v>-84.772298764541148</v>
      </c>
      <c r="G231" s="1">
        <f t="shared" si="9"/>
        <v>1.5270681820752794E-37</v>
      </c>
      <c r="H231" s="1">
        <f>G231/$G$21</f>
        <v>1.0708329968127652E-38</v>
      </c>
      <c r="I231">
        <f>IF($E$11&lt;=D231, IF(D231&lt;=$A$15,D231-$E$11,$F$11),0)</f>
        <v>199</v>
      </c>
      <c r="J231">
        <f>IF(D231&lt;=$A$15,0,D231-$A$15)</f>
        <v>0</v>
      </c>
      <c r="K231" s="5">
        <f>IF(D231&lt;$E$11,H231,0)</f>
        <v>0</v>
      </c>
      <c r="L231">
        <f>IF(D231&lt;$A$15,$C$11,$C$11*(1-$G$11))</f>
        <v>500</v>
      </c>
      <c r="M231">
        <f>IF(D231&lt;$A$15,0,1)</f>
        <v>0</v>
      </c>
    </row>
    <row r="232" spans="4:13" x14ac:dyDescent="0.2">
      <c r="D232">
        <f t="shared" si="10"/>
        <v>209</v>
      </c>
      <c r="E232" s="1">
        <f>IF($G$11=1,IF(D232&lt;=$A$15, E231+LN($C$11)-LN(60/$D$11)-LN(MIN(D232,$E$11)), E231-LN(60/$D$11)-LN(MIN(D232,$E$11))), IF(D232&lt;=$A$15, E231+LN($C$11)-LN(60/$D$11)-LN(MIN(D232,$E$11)), E231+LN($C$11)+LN(1-$G$11)-LN(60/$D$11)-LN(MIN(D232,$E$11))))</f>
        <v>182.39309908019175</v>
      </c>
      <c r="F232" s="1">
        <f t="shared" si="11"/>
        <v>-83.932969073803122</v>
      </c>
      <c r="G232" s="1">
        <f t="shared" si="9"/>
        <v>3.5348800511001815E-37</v>
      </c>
      <c r="H232" s="1">
        <f>G232/$G$21</f>
        <v>2.4787800852147325E-38</v>
      </c>
      <c r="I232">
        <f>IF($E$11&lt;=D232, IF(D232&lt;=$A$15,D232-$E$11,$F$11),0)</f>
        <v>200</v>
      </c>
      <c r="J232">
        <f>IF(D232&lt;=$A$15,0,D232-$A$15)</f>
        <v>0</v>
      </c>
      <c r="K232" s="5">
        <f>IF(D232&lt;$E$11,H232,0)</f>
        <v>0</v>
      </c>
      <c r="L232">
        <f>IF(D232&lt;$A$15,$C$11,$C$11*(1-$G$11))</f>
        <v>500</v>
      </c>
      <c r="M232">
        <f>IF(D232&lt;$A$15,0,1)</f>
        <v>0</v>
      </c>
    </row>
    <row r="233" spans="4:13" x14ac:dyDescent="0.2">
      <c r="D233">
        <f t="shared" si="10"/>
        <v>210</v>
      </c>
      <c r="E233" s="1">
        <f>IF($G$11=1,IF(D233&lt;=$A$15, E232+LN($C$11)-LN(60/$D$11)-LN(MIN(D233,$E$11)), E232-LN(60/$D$11)-LN(MIN(D233,$E$11))), IF(D233&lt;=$A$15, E232+LN($C$11)-LN(60/$D$11)-LN(MIN(D233,$E$11)), E232+LN($C$11)+LN(1-$G$11)-LN(60/$D$11)-LN(MIN(D233,$E$11))))</f>
        <v>183.23242877092977</v>
      </c>
      <c r="F233" s="1">
        <f t="shared" si="11"/>
        <v>-83.093639383065096</v>
      </c>
      <c r="G233" s="1">
        <f t="shared" si="9"/>
        <v>8.1825927108800439E-37</v>
      </c>
      <c r="H233" s="1">
        <f>G233/$G$21</f>
        <v>5.7379168639229883E-38</v>
      </c>
      <c r="I233">
        <f>IF($E$11&lt;=D233, IF(D233&lt;=$A$15,D233-$E$11,$F$11),0)</f>
        <v>201</v>
      </c>
      <c r="J233">
        <f>IF(D233&lt;=$A$15,0,D233-$A$15)</f>
        <v>0</v>
      </c>
      <c r="K233" s="5">
        <f>IF(D233&lt;$E$11,H233,0)</f>
        <v>0</v>
      </c>
      <c r="L233">
        <f>IF(D233&lt;$A$15,$C$11,$C$11*(1-$G$11))</f>
        <v>500</v>
      </c>
      <c r="M233">
        <f>IF(D233&lt;$A$15,0,1)</f>
        <v>0</v>
      </c>
    </row>
    <row r="234" spans="4:13" x14ac:dyDescent="0.2">
      <c r="D234">
        <f t="shared" si="10"/>
        <v>211</v>
      </c>
      <c r="E234" s="1">
        <f>IF($G$11=1,IF(D234&lt;=$A$15, E233+LN($C$11)-LN(60/$D$11)-LN(MIN(D234,$E$11)), E233-LN(60/$D$11)-LN(MIN(D234,$E$11))), IF(D234&lt;=$A$15, E233+LN($C$11)-LN(60/$D$11)-LN(MIN(D234,$E$11)), E233+LN($C$11)+LN(1-$G$11)-LN(60/$D$11)-LN(MIN(D234,$E$11))))</f>
        <v>184.0717584616678</v>
      </c>
      <c r="F234" s="1">
        <f t="shared" si="11"/>
        <v>-82.25430969232707</v>
      </c>
      <c r="G234" s="1">
        <f t="shared" si="9"/>
        <v>1.8941186830740832E-36</v>
      </c>
      <c r="H234" s="1">
        <f>G234/$G$21</f>
        <v>1.3282214962784688E-37</v>
      </c>
      <c r="I234">
        <f>IF($E$11&lt;=D234, IF(D234&lt;=$A$15,D234-$E$11,$F$11),0)</f>
        <v>202</v>
      </c>
      <c r="J234">
        <f>IF(D234&lt;=$A$15,0,D234-$A$15)</f>
        <v>0</v>
      </c>
      <c r="K234" s="5">
        <f>IF(D234&lt;$E$11,H234,0)</f>
        <v>0</v>
      </c>
      <c r="L234">
        <f>IF(D234&lt;$A$15,$C$11,$C$11*(1-$G$11))</f>
        <v>500</v>
      </c>
      <c r="M234">
        <f>IF(D234&lt;$A$15,0,1)</f>
        <v>0</v>
      </c>
    </row>
    <row r="235" spans="4:13" x14ac:dyDescent="0.2">
      <c r="D235">
        <f t="shared" si="10"/>
        <v>212</v>
      </c>
      <c r="E235" s="1">
        <f>IF($G$11=1,IF(D235&lt;=$A$15, E234+LN($C$11)-LN(60/$D$11)-LN(MIN(D235,$E$11)), E234-LN(60/$D$11)-LN(MIN(D235,$E$11))), IF(D235&lt;=$A$15, E234+LN($C$11)-LN(60/$D$11)-LN(MIN(D235,$E$11)), E234+LN($C$11)+LN(1-$G$11)-LN(60/$D$11)-LN(MIN(D235,$E$11))))</f>
        <v>184.91108815240582</v>
      </c>
      <c r="F235" s="1">
        <f t="shared" si="11"/>
        <v>-81.414980001589043</v>
      </c>
      <c r="G235" s="1">
        <f t="shared" si="9"/>
        <v>4.3845339885974122E-36</v>
      </c>
      <c r="H235" s="1">
        <f>G235/$G$21</f>
        <v>3.0745867969408981E-37</v>
      </c>
      <c r="I235">
        <f>IF($E$11&lt;=D235, IF(D235&lt;=$A$15,D235-$E$11,$F$11),0)</f>
        <v>203</v>
      </c>
      <c r="J235">
        <f>IF(D235&lt;=$A$15,0,D235-$A$15)</f>
        <v>0</v>
      </c>
      <c r="K235" s="5">
        <f>IF(D235&lt;$E$11,H235,0)</f>
        <v>0</v>
      </c>
      <c r="L235">
        <f>IF(D235&lt;$A$15,$C$11,$C$11*(1-$G$11))</f>
        <v>500</v>
      </c>
      <c r="M235">
        <f>IF(D235&lt;$A$15,0,1)</f>
        <v>0</v>
      </c>
    </row>
    <row r="236" spans="4:13" x14ac:dyDescent="0.2">
      <c r="D236">
        <f t="shared" si="10"/>
        <v>213</v>
      </c>
      <c r="E236" s="1">
        <f>IF($G$11=1,IF(D236&lt;=$A$15, E235+LN($C$11)-LN(60/$D$11)-LN(MIN(D236,$E$11)), E235-LN(60/$D$11)-LN(MIN(D236,$E$11))), IF(D236&lt;=$A$15, E235+LN($C$11)-LN(60/$D$11)-LN(MIN(D236,$E$11)), E235+LN($C$11)+LN(1-$G$11)-LN(60/$D$11)-LN(MIN(D236,$E$11))))</f>
        <v>185.75041784314385</v>
      </c>
      <c r="F236" s="1">
        <f t="shared" si="11"/>
        <v>-80.575650310851017</v>
      </c>
      <c r="G236" s="1">
        <f t="shared" si="9"/>
        <v>1.0149384232864374E-35</v>
      </c>
      <c r="H236" s="1">
        <f>G236/$G$21</f>
        <v>7.1170990669928156E-37</v>
      </c>
      <c r="I236">
        <f>IF($E$11&lt;=D236, IF(D236&lt;=$A$15,D236-$E$11,$F$11),0)</f>
        <v>204</v>
      </c>
      <c r="J236">
        <f>IF(D236&lt;=$A$15,0,D236-$A$15)</f>
        <v>0</v>
      </c>
      <c r="K236" s="5">
        <f>IF(D236&lt;$E$11,H236,0)</f>
        <v>0</v>
      </c>
      <c r="L236">
        <f>IF(D236&lt;$A$15,$C$11,$C$11*(1-$G$11))</f>
        <v>500</v>
      </c>
      <c r="M236">
        <f>IF(D236&lt;$A$15,0,1)</f>
        <v>0</v>
      </c>
    </row>
    <row r="237" spans="4:13" x14ac:dyDescent="0.2">
      <c r="D237">
        <f t="shared" si="10"/>
        <v>214</v>
      </c>
      <c r="E237" s="1">
        <f>IF($G$11=1,IF(D237&lt;=$A$15, E236+LN($C$11)-LN(60/$D$11)-LN(MIN(D237,$E$11)), E236-LN(60/$D$11)-LN(MIN(D237,$E$11))), IF(D237&lt;=$A$15, E236+LN($C$11)-LN(60/$D$11)-LN(MIN(D237,$E$11)), E236+LN($C$11)+LN(1-$G$11)-LN(60/$D$11)-LN(MIN(D237,$E$11))))</f>
        <v>186.58974753388188</v>
      </c>
      <c r="F237" s="1">
        <f t="shared" si="11"/>
        <v>-79.736320620112991</v>
      </c>
      <c r="G237" s="1">
        <f t="shared" si="9"/>
        <v>2.349394498348233E-35</v>
      </c>
      <c r="H237" s="1">
        <f>G237/$G$21</f>
        <v>1.6474766358779654E-36</v>
      </c>
      <c r="I237">
        <f>IF($E$11&lt;=D237, IF(D237&lt;=$A$15,D237-$E$11,$F$11),0)</f>
        <v>205</v>
      </c>
      <c r="J237">
        <f>IF(D237&lt;=$A$15,0,D237-$A$15)</f>
        <v>0</v>
      </c>
      <c r="K237" s="5">
        <f>IF(D237&lt;$E$11,H237,0)</f>
        <v>0</v>
      </c>
      <c r="L237">
        <f>IF(D237&lt;$A$15,$C$11,$C$11*(1-$G$11))</f>
        <v>500</v>
      </c>
      <c r="M237">
        <f>IF(D237&lt;$A$15,0,1)</f>
        <v>0</v>
      </c>
    </row>
    <row r="238" spans="4:13" x14ac:dyDescent="0.2">
      <c r="D238">
        <f t="shared" si="10"/>
        <v>215</v>
      </c>
      <c r="E238" s="1">
        <f>IF($G$11=1,IF(D238&lt;=$A$15, E237+LN($C$11)-LN(60/$D$11)-LN(MIN(D238,$E$11)), E237-LN(60/$D$11)-LN(MIN(D238,$E$11))), IF(D238&lt;=$A$15, E237+LN($C$11)-LN(60/$D$11)-LN(MIN(D238,$E$11)), E237+LN($C$11)+LN(1-$G$11)-LN(60/$D$11)-LN(MIN(D238,$E$11))))</f>
        <v>187.4290772246199</v>
      </c>
      <c r="F238" s="1">
        <f t="shared" si="11"/>
        <v>-78.896990929374965</v>
      </c>
      <c r="G238" s="1">
        <f t="shared" si="9"/>
        <v>5.4384131906209063E-35</v>
      </c>
      <c r="H238" s="1">
        <f>G238/$G$21</f>
        <v>3.8136033237915841E-36</v>
      </c>
      <c r="I238">
        <f>IF($E$11&lt;=D238, IF(D238&lt;=$A$15,D238-$E$11,$F$11),0)</f>
        <v>206</v>
      </c>
      <c r="J238">
        <f>IF(D238&lt;=$A$15,0,D238-$A$15)</f>
        <v>0</v>
      </c>
      <c r="K238" s="5">
        <f>IF(D238&lt;$E$11,H238,0)</f>
        <v>0</v>
      </c>
      <c r="L238">
        <f>IF(D238&lt;$A$15,$C$11,$C$11*(1-$G$11))</f>
        <v>500</v>
      </c>
      <c r="M238">
        <f>IF(D238&lt;$A$15,0,1)</f>
        <v>0</v>
      </c>
    </row>
    <row r="239" spans="4:13" x14ac:dyDescent="0.2">
      <c r="D239">
        <f t="shared" si="10"/>
        <v>216</v>
      </c>
      <c r="E239" s="1">
        <f>IF($G$11=1,IF(D239&lt;=$A$15, E238+LN($C$11)-LN(60/$D$11)-LN(MIN(D239,$E$11)), E238-LN(60/$D$11)-LN(MIN(D239,$E$11))), IF(D239&lt;=$A$15, E238+LN($C$11)-LN(60/$D$11)-LN(MIN(D239,$E$11)), E238+LN($C$11)+LN(1-$G$11)-LN(60/$D$11)-LN(MIN(D239,$E$11))))</f>
        <v>188.26840691535793</v>
      </c>
      <c r="F239" s="1">
        <f t="shared" si="11"/>
        <v>-78.057661238636939</v>
      </c>
      <c r="G239" s="1">
        <f t="shared" si="9"/>
        <v>1.2588919422733571E-34</v>
      </c>
      <c r="H239" s="1">
        <f>G239/$G$21</f>
        <v>8.8277854717397712E-36</v>
      </c>
      <c r="I239">
        <f>IF($E$11&lt;=D239, IF(D239&lt;=$A$15,D239-$E$11,$F$11),0)</f>
        <v>207</v>
      </c>
      <c r="J239">
        <f>IF(D239&lt;=$A$15,0,D239-$A$15)</f>
        <v>0</v>
      </c>
      <c r="K239" s="5">
        <f>IF(D239&lt;$E$11,H239,0)</f>
        <v>0</v>
      </c>
      <c r="L239">
        <f>IF(D239&lt;$A$15,$C$11,$C$11*(1-$G$11))</f>
        <v>500</v>
      </c>
      <c r="M239">
        <f>IF(D239&lt;$A$15,0,1)</f>
        <v>0</v>
      </c>
    </row>
    <row r="240" spans="4:13" x14ac:dyDescent="0.2">
      <c r="D240">
        <f t="shared" si="10"/>
        <v>217</v>
      </c>
      <c r="E240" s="1">
        <f>IF($G$11=1,IF(D240&lt;=$A$15, E239+LN($C$11)-LN(60/$D$11)-LN(MIN(D240,$E$11)), E239-LN(60/$D$11)-LN(MIN(D240,$E$11))), IF(D240&lt;=$A$15, E239+LN($C$11)-LN(60/$D$11)-LN(MIN(D240,$E$11)), E239+LN($C$11)+LN(1-$G$11)-LN(60/$D$11)-LN(MIN(D240,$E$11))))</f>
        <v>189.10773660609595</v>
      </c>
      <c r="F240" s="1">
        <f t="shared" si="11"/>
        <v>-77.218331547898913</v>
      </c>
      <c r="G240" s="1">
        <f t="shared" si="9"/>
        <v>2.9141017182253618E-34</v>
      </c>
      <c r="H240" s="1">
        <f>G240/$G$21</f>
        <v>2.04346885919902E-35</v>
      </c>
      <c r="I240">
        <f>IF($E$11&lt;=D240, IF(D240&lt;=$A$15,D240-$E$11,$F$11),0)</f>
        <v>208</v>
      </c>
      <c r="J240">
        <f>IF(D240&lt;=$A$15,0,D240-$A$15)</f>
        <v>0</v>
      </c>
      <c r="K240" s="5">
        <f>IF(D240&lt;$E$11,H240,0)</f>
        <v>0</v>
      </c>
      <c r="L240">
        <f>IF(D240&lt;$A$15,$C$11,$C$11*(1-$G$11))</f>
        <v>500</v>
      </c>
      <c r="M240">
        <f>IF(D240&lt;$A$15,0,1)</f>
        <v>0</v>
      </c>
    </row>
    <row r="241" spans="4:13" x14ac:dyDescent="0.2">
      <c r="D241">
        <f t="shared" si="10"/>
        <v>218</v>
      </c>
      <c r="E241" s="1">
        <f>IF($G$11=1,IF(D241&lt;=$A$15, E240+LN($C$11)-LN(60/$D$11)-LN(MIN(D241,$E$11)), E240-LN(60/$D$11)-LN(MIN(D241,$E$11))), IF(D241&lt;=$A$15, E240+LN($C$11)-LN(60/$D$11)-LN(MIN(D241,$E$11)), E240+LN($C$11)+LN(1-$G$11)-LN(60/$D$11)-LN(MIN(D241,$E$11))))</f>
        <v>189.94706629683398</v>
      </c>
      <c r="F241" s="1">
        <f t="shared" si="11"/>
        <v>-76.379001857160887</v>
      </c>
      <c r="G241" s="1">
        <f t="shared" si="9"/>
        <v>6.7456058292253708E-34</v>
      </c>
      <c r="H241" s="1">
        <f>G241/$G$21</f>
        <v>4.7302519888866176E-35</v>
      </c>
      <c r="I241">
        <f>IF($E$11&lt;=D241, IF(D241&lt;=$A$15,D241-$E$11,$F$11),0)</f>
        <v>209</v>
      </c>
      <c r="J241">
        <f>IF(D241&lt;=$A$15,0,D241-$A$15)</f>
        <v>0</v>
      </c>
      <c r="K241" s="5">
        <f>IF(D241&lt;$E$11,H241,0)</f>
        <v>0</v>
      </c>
      <c r="L241">
        <f>IF(D241&lt;$A$15,$C$11,$C$11*(1-$G$11))</f>
        <v>500</v>
      </c>
      <c r="M241">
        <f>IF(D241&lt;$A$15,0,1)</f>
        <v>0</v>
      </c>
    </row>
    <row r="242" spans="4:13" x14ac:dyDescent="0.2">
      <c r="D242">
        <f t="shared" si="10"/>
        <v>219</v>
      </c>
      <c r="E242" s="1">
        <f>IF($G$11=1,IF(D242&lt;=$A$15, E241+LN($C$11)-LN(60/$D$11)-LN(MIN(D242,$E$11)), E241-LN(60/$D$11)-LN(MIN(D242,$E$11))), IF(D242&lt;=$A$15, E241+LN($C$11)-LN(60/$D$11)-LN(MIN(D242,$E$11)), E241+LN($C$11)+LN(1-$G$11)-LN(60/$D$11)-LN(MIN(D242,$E$11))))</f>
        <v>190.78639598757201</v>
      </c>
      <c r="F242" s="1">
        <f t="shared" si="11"/>
        <v>-75.539672166422861</v>
      </c>
      <c r="G242" s="1">
        <f t="shared" si="9"/>
        <v>1.5614828308392051E-33</v>
      </c>
      <c r="H242" s="1">
        <f>G242/$G$21</f>
        <v>1.0949657381681976E-34</v>
      </c>
      <c r="I242">
        <f>IF($E$11&lt;=D242, IF(D242&lt;=$A$15,D242-$E$11,$F$11),0)</f>
        <v>210</v>
      </c>
      <c r="J242">
        <f>IF(D242&lt;=$A$15,0,D242-$A$15)</f>
        <v>0</v>
      </c>
      <c r="K242" s="5">
        <f>IF(D242&lt;$E$11,H242,0)</f>
        <v>0</v>
      </c>
      <c r="L242">
        <f>IF(D242&lt;$A$15,$C$11,$C$11*(1-$G$11))</f>
        <v>500</v>
      </c>
      <c r="M242">
        <f>IF(D242&lt;$A$15,0,1)</f>
        <v>0</v>
      </c>
    </row>
    <row r="243" spans="4:13" x14ac:dyDescent="0.2">
      <c r="D243">
        <f t="shared" si="10"/>
        <v>220</v>
      </c>
      <c r="E243" s="1">
        <f>IF($G$11=1,IF(D243&lt;=$A$15, E242+LN($C$11)-LN(60/$D$11)-LN(MIN(D243,$E$11)), E242-LN(60/$D$11)-LN(MIN(D243,$E$11))), IF(D243&lt;=$A$15, E242+LN($C$11)-LN(60/$D$11)-LN(MIN(D243,$E$11)), E242+LN($C$11)+LN(1-$G$11)-LN(60/$D$11)-LN(MIN(D243,$E$11))))</f>
        <v>191.62572567831003</v>
      </c>
      <c r="F243" s="1">
        <f t="shared" si="11"/>
        <v>-74.700342475684835</v>
      </c>
      <c r="G243" s="1">
        <f t="shared" si="9"/>
        <v>3.614543589905565E-33</v>
      </c>
      <c r="H243" s="1">
        <f>G243/$G$21</f>
        <v>2.534642912426382E-34</v>
      </c>
      <c r="I243">
        <f>IF($E$11&lt;=D243, IF(D243&lt;=$A$15,D243-$E$11,$F$11),0)</f>
        <v>211</v>
      </c>
      <c r="J243">
        <f>IF(D243&lt;=$A$15,0,D243-$A$15)</f>
        <v>0</v>
      </c>
      <c r="K243" s="5">
        <f>IF(D243&lt;$E$11,H243,0)</f>
        <v>0</v>
      </c>
      <c r="L243">
        <f>IF(D243&lt;$A$15,$C$11,$C$11*(1-$G$11))</f>
        <v>500</v>
      </c>
      <c r="M243">
        <f>IF(D243&lt;$A$15,0,1)</f>
        <v>0</v>
      </c>
    </row>
    <row r="244" spans="4:13" x14ac:dyDescent="0.2">
      <c r="D244">
        <f t="shared" si="10"/>
        <v>221</v>
      </c>
      <c r="E244" s="1">
        <f>IF($G$11=1,IF(D244&lt;=$A$15, E243+LN($C$11)-LN(60/$D$11)-LN(MIN(D244,$E$11)), E243-LN(60/$D$11)-LN(MIN(D244,$E$11))), IF(D244&lt;=$A$15, E243+LN($C$11)-LN(60/$D$11)-LN(MIN(D244,$E$11)), E243+LN($C$11)+LN(1-$G$11)-LN(60/$D$11)-LN(MIN(D244,$E$11))))</f>
        <v>192.46505536904806</v>
      </c>
      <c r="F244" s="1">
        <f t="shared" si="11"/>
        <v>-73.861012784946809</v>
      </c>
      <c r="G244" s="1">
        <f t="shared" si="9"/>
        <v>8.366999050707321E-33</v>
      </c>
      <c r="H244" s="1">
        <f>G244/$G$21</f>
        <v>5.8672289639499549E-34</v>
      </c>
      <c r="I244">
        <f>IF($E$11&lt;=D244, IF(D244&lt;=$A$15,D244-$E$11,$F$11),0)</f>
        <v>212</v>
      </c>
      <c r="J244">
        <f>IF(D244&lt;=$A$15,0,D244-$A$15)</f>
        <v>0</v>
      </c>
      <c r="K244" s="5">
        <f>IF(D244&lt;$E$11,H244,0)</f>
        <v>0</v>
      </c>
      <c r="L244">
        <f>IF(D244&lt;$A$15,$C$11,$C$11*(1-$G$11))</f>
        <v>500</v>
      </c>
      <c r="M244">
        <f>IF(D244&lt;$A$15,0,1)</f>
        <v>0</v>
      </c>
    </row>
    <row r="245" spans="4:13" x14ac:dyDescent="0.2">
      <c r="D245">
        <f t="shared" si="10"/>
        <v>222</v>
      </c>
      <c r="E245" s="1">
        <f>IF($G$11=1,IF(D245&lt;=$A$15, E244+LN($C$11)-LN(60/$D$11)-LN(MIN(D245,$E$11)), E244-LN(60/$D$11)-LN(MIN(D245,$E$11))), IF(D245&lt;=$A$15, E244+LN($C$11)-LN(60/$D$11)-LN(MIN(D245,$E$11)), E244+LN($C$11)+LN(1-$G$11)-LN(60/$D$11)-LN(MIN(D245,$E$11))))</f>
        <v>193.30438505978609</v>
      </c>
      <c r="F245" s="1">
        <f t="shared" si="11"/>
        <v>-73.021683094208782</v>
      </c>
      <c r="G245" s="1">
        <f t="shared" si="9"/>
        <v>1.9368053358118787E-32</v>
      </c>
      <c r="H245" s="1">
        <f>G245/$G$21</f>
        <v>1.3581548527661923E-33</v>
      </c>
      <c r="I245">
        <f>IF($E$11&lt;=D245, IF(D245&lt;=$A$15,D245-$E$11,$F$11),0)</f>
        <v>213</v>
      </c>
      <c r="J245">
        <f>IF(D245&lt;=$A$15,0,D245-$A$15)</f>
        <v>0</v>
      </c>
      <c r="K245" s="5">
        <f>IF(D245&lt;$E$11,H245,0)</f>
        <v>0</v>
      </c>
      <c r="L245">
        <f>IF(D245&lt;$A$15,$C$11,$C$11*(1-$G$11))</f>
        <v>500</v>
      </c>
      <c r="M245">
        <f>IF(D245&lt;$A$15,0,1)</f>
        <v>0</v>
      </c>
    </row>
    <row r="246" spans="4:13" x14ac:dyDescent="0.2">
      <c r="D246">
        <f t="shared" si="10"/>
        <v>223</v>
      </c>
      <c r="E246" s="1">
        <f>IF($G$11=1,IF(D246&lt;=$A$15, E245+LN($C$11)-LN(60/$D$11)-LN(MIN(D246,$E$11)), E245-LN(60/$D$11)-LN(MIN(D246,$E$11))), IF(D246&lt;=$A$15, E245+LN($C$11)-LN(60/$D$11)-LN(MIN(D246,$E$11)), E245+LN($C$11)+LN(1-$G$11)-LN(60/$D$11)-LN(MIN(D246,$E$11))))</f>
        <v>194.14371475052411</v>
      </c>
      <c r="F246" s="1">
        <f t="shared" si="11"/>
        <v>-72.182353403470756</v>
      </c>
      <c r="G246" s="1">
        <f t="shared" si="9"/>
        <v>4.4833456847497165E-32</v>
      </c>
      <c r="H246" s="1">
        <f>G246/$G$21</f>
        <v>3.1438769739958136E-33</v>
      </c>
      <c r="I246">
        <f>IF($E$11&lt;=D246, IF(D246&lt;=$A$15,D246-$E$11,$F$11),0)</f>
        <v>214</v>
      </c>
      <c r="J246">
        <f>IF(D246&lt;=$A$15,0,D246-$A$15)</f>
        <v>0</v>
      </c>
      <c r="K246" s="5">
        <f>IF(D246&lt;$E$11,H246,0)</f>
        <v>0</v>
      </c>
      <c r="L246">
        <f>IF(D246&lt;$A$15,$C$11,$C$11*(1-$G$11))</f>
        <v>500</v>
      </c>
      <c r="M246">
        <f>IF(D246&lt;$A$15,0,1)</f>
        <v>0</v>
      </c>
    </row>
    <row r="247" spans="4:13" x14ac:dyDescent="0.2">
      <c r="D247">
        <f t="shared" si="10"/>
        <v>224</v>
      </c>
      <c r="E247" s="1">
        <f>IF($G$11=1,IF(D247&lt;=$A$15, E246+LN($C$11)-LN(60/$D$11)-LN(MIN(D247,$E$11)), E246-LN(60/$D$11)-LN(MIN(D247,$E$11))), IF(D247&lt;=$A$15, E246+LN($C$11)-LN(60/$D$11)-LN(MIN(D247,$E$11)), E246+LN($C$11)+LN(1-$G$11)-LN(60/$D$11)-LN(MIN(D247,$E$11))))</f>
        <v>194.98304444126214</v>
      </c>
      <c r="F247" s="1">
        <f t="shared" si="11"/>
        <v>-71.34302371273273</v>
      </c>
      <c r="G247" s="1">
        <f t="shared" si="9"/>
        <v>1.0378115010994708E-31</v>
      </c>
      <c r="H247" s="1">
        <f>G247/$G$21</f>
        <v>7.2774929953606753E-33</v>
      </c>
      <c r="I247">
        <f>IF($E$11&lt;=D247, IF(D247&lt;=$A$15,D247-$E$11,$F$11),0)</f>
        <v>215</v>
      </c>
      <c r="J247">
        <f>IF(D247&lt;=$A$15,0,D247-$A$15)</f>
        <v>0</v>
      </c>
      <c r="K247" s="5">
        <f>IF(D247&lt;$E$11,H247,0)</f>
        <v>0</v>
      </c>
      <c r="L247">
        <f>IF(D247&lt;$A$15,$C$11,$C$11*(1-$G$11))</f>
        <v>500</v>
      </c>
      <c r="M247">
        <f>IF(D247&lt;$A$15,0,1)</f>
        <v>0</v>
      </c>
    </row>
    <row r="248" spans="4:13" x14ac:dyDescent="0.2">
      <c r="D248">
        <f t="shared" si="10"/>
        <v>225</v>
      </c>
      <c r="E248" s="1">
        <f>IF($G$11=1,IF(D248&lt;=$A$15, E247+LN($C$11)-LN(60/$D$11)-LN(MIN(D248,$E$11)), E247-LN(60/$D$11)-LN(MIN(D248,$E$11))), IF(D248&lt;=$A$15, E247+LN($C$11)-LN(60/$D$11)-LN(MIN(D248,$E$11)), E247+LN($C$11)+LN(1-$G$11)-LN(60/$D$11)-LN(MIN(D248,$E$11))))</f>
        <v>195.82237413200016</v>
      </c>
      <c r="F248" s="1">
        <f t="shared" si="11"/>
        <v>-70.503694021994704</v>
      </c>
      <c r="G248" s="1">
        <f t="shared" si="9"/>
        <v>2.4023414377302547E-31</v>
      </c>
      <c r="H248" s="1">
        <f>G248/$G$21</f>
        <v>1.6846048600371921E-32</v>
      </c>
      <c r="I248">
        <f>IF($E$11&lt;=D248, IF(D248&lt;=$A$15,D248-$E$11,$F$11),0)</f>
        <v>216</v>
      </c>
      <c r="J248">
        <f>IF(D248&lt;=$A$15,0,D248-$A$15)</f>
        <v>0</v>
      </c>
      <c r="K248" s="5">
        <f>IF(D248&lt;$E$11,H248,0)</f>
        <v>0</v>
      </c>
      <c r="L248">
        <f>IF(D248&lt;$A$15,$C$11,$C$11*(1-$G$11))</f>
        <v>500</v>
      </c>
      <c r="M248">
        <f>IF(D248&lt;$A$15,0,1)</f>
        <v>0</v>
      </c>
    </row>
    <row r="249" spans="4:13" x14ac:dyDescent="0.2">
      <c r="D249">
        <f t="shared" si="10"/>
        <v>226</v>
      </c>
      <c r="E249" s="1">
        <f>IF($G$11=1,IF(D249&lt;=$A$15, E248+LN($C$11)-LN(60/$D$11)-LN(MIN(D249,$E$11)), E248-LN(60/$D$11)-LN(MIN(D249,$E$11))), IF(D249&lt;=$A$15, E248+LN($C$11)-LN(60/$D$11)-LN(MIN(D249,$E$11)), E248+LN($C$11)+LN(1-$G$11)-LN(60/$D$11)-LN(MIN(D249,$E$11))))</f>
        <v>196.66170382273819</v>
      </c>
      <c r="F249" s="1">
        <f t="shared" si="11"/>
        <v>-69.664364331256678</v>
      </c>
      <c r="G249" s="1">
        <f t="shared" si="9"/>
        <v>5.5609755503015121E-31</v>
      </c>
      <c r="H249" s="1">
        <f>G249/$G$21</f>
        <v>3.8995482871231275E-32</v>
      </c>
      <c r="I249">
        <f>IF($E$11&lt;=D249, IF(D249&lt;=$A$15,D249-$E$11,$F$11),0)</f>
        <v>217</v>
      </c>
      <c r="J249">
        <f>IF(D249&lt;=$A$15,0,D249-$A$15)</f>
        <v>0</v>
      </c>
      <c r="K249" s="5">
        <f>IF(D249&lt;$E$11,H249,0)</f>
        <v>0</v>
      </c>
      <c r="L249">
        <f>IF(D249&lt;$A$15,$C$11,$C$11*(1-$G$11))</f>
        <v>500</v>
      </c>
      <c r="M249">
        <f>IF(D249&lt;$A$15,0,1)</f>
        <v>0</v>
      </c>
    </row>
    <row r="250" spans="4:13" x14ac:dyDescent="0.2">
      <c r="D250">
        <f t="shared" si="10"/>
        <v>227</v>
      </c>
      <c r="E250" s="1">
        <f>IF($G$11=1,IF(D250&lt;=$A$15, E249+LN($C$11)-LN(60/$D$11)-LN(MIN(D250,$E$11)), E249-LN(60/$D$11)-LN(MIN(D250,$E$11))), IF(D250&lt;=$A$15, E249+LN($C$11)-LN(60/$D$11)-LN(MIN(D250,$E$11)), E249+LN($C$11)+LN(1-$G$11)-LN(60/$D$11)-LN(MIN(D250,$E$11))))</f>
        <v>197.50103351347622</v>
      </c>
      <c r="F250" s="1">
        <f t="shared" si="11"/>
        <v>-68.825034640518652</v>
      </c>
      <c r="G250" s="1">
        <f t="shared" si="9"/>
        <v>1.2872628588660899E-30</v>
      </c>
      <c r="H250" s="1">
        <f>G250/$G$21</f>
        <v>9.0267321461183458E-32</v>
      </c>
      <c r="I250">
        <f>IF($E$11&lt;=D250, IF(D250&lt;=$A$15,D250-$E$11,$F$11),0)</f>
        <v>218</v>
      </c>
      <c r="J250">
        <f>IF(D250&lt;=$A$15,0,D250-$A$15)</f>
        <v>0</v>
      </c>
      <c r="K250" s="5">
        <f>IF(D250&lt;$E$11,H250,0)</f>
        <v>0</v>
      </c>
      <c r="L250">
        <f>IF(D250&lt;$A$15,$C$11,$C$11*(1-$G$11))</f>
        <v>500</v>
      </c>
      <c r="M250">
        <f>IF(D250&lt;$A$15,0,1)</f>
        <v>0</v>
      </c>
    </row>
    <row r="251" spans="4:13" x14ac:dyDescent="0.2">
      <c r="D251">
        <f t="shared" si="10"/>
        <v>228</v>
      </c>
      <c r="E251" s="1">
        <f>IF($G$11=1,IF(D251&lt;=$A$15, E250+LN($C$11)-LN(60/$D$11)-LN(MIN(D251,$E$11)), E250-LN(60/$D$11)-LN(MIN(D251,$E$11))), IF(D251&lt;=$A$15, E250+LN($C$11)-LN(60/$D$11)-LN(MIN(D251,$E$11)), E250+LN($C$11)+LN(1-$G$11)-LN(60/$D$11)-LN(MIN(D251,$E$11))))</f>
        <v>198.34036320421424</v>
      </c>
      <c r="F251" s="1">
        <f t="shared" si="11"/>
        <v>-67.985704949780626</v>
      </c>
      <c r="G251" s="1">
        <f t="shared" si="9"/>
        <v>2.9797751362640951E-30</v>
      </c>
      <c r="H251" s="1">
        <f>G251/$G$21</f>
        <v>2.0895213301199859E-31</v>
      </c>
      <c r="I251">
        <f>IF($E$11&lt;=D251, IF(D251&lt;=$A$15,D251-$E$11,$F$11),0)</f>
        <v>219</v>
      </c>
      <c r="J251">
        <f>IF(D251&lt;=$A$15,0,D251-$A$15)</f>
        <v>0</v>
      </c>
      <c r="K251" s="5">
        <f>IF(D251&lt;$E$11,H251,0)</f>
        <v>0</v>
      </c>
      <c r="L251">
        <f>IF(D251&lt;$A$15,$C$11,$C$11*(1-$G$11))</f>
        <v>500</v>
      </c>
      <c r="M251">
        <f>IF(D251&lt;$A$15,0,1)</f>
        <v>0</v>
      </c>
    </row>
    <row r="252" spans="4:13" x14ac:dyDescent="0.2">
      <c r="D252">
        <f t="shared" si="10"/>
        <v>229</v>
      </c>
      <c r="E252" s="1">
        <f>IF($G$11=1,IF(D252&lt;=$A$15, E251+LN($C$11)-LN(60/$D$11)-LN(MIN(D252,$E$11)), E251-LN(60/$D$11)-LN(MIN(D252,$E$11))), IF(D252&lt;=$A$15, E251+LN($C$11)-LN(60/$D$11)-LN(MIN(D252,$E$11)), E251+LN($C$11)+LN(1-$G$11)-LN(60/$D$11)-LN(MIN(D252,$E$11))))</f>
        <v>199.17969289495227</v>
      </c>
      <c r="F252" s="1">
        <f t="shared" si="11"/>
        <v>-67.1463752590426</v>
      </c>
      <c r="G252" s="1">
        <f t="shared" si="9"/>
        <v>6.8976276302409572E-30</v>
      </c>
      <c r="H252" s="1">
        <f>G252/$G$21</f>
        <v>4.8368549308332982E-31</v>
      </c>
      <c r="I252">
        <f>IF($E$11&lt;=D252, IF(D252&lt;=$A$15,D252-$E$11,$F$11),0)</f>
        <v>220</v>
      </c>
      <c r="J252">
        <f>IF(D252&lt;=$A$15,0,D252-$A$15)</f>
        <v>0</v>
      </c>
      <c r="K252" s="5">
        <f>IF(D252&lt;$E$11,H252,0)</f>
        <v>0</v>
      </c>
      <c r="L252">
        <f>IF(D252&lt;$A$15,$C$11,$C$11*(1-$G$11))</f>
        <v>500</v>
      </c>
      <c r="M252">
        <f>IF(D252&lt;$A$15,0,1)</f>
        <v>0</v>
      </c>
    </row>
    <row r="253" spans="4:13" x14ac:dyDescent="0.2">
      <c r="D253">
        <f t="shared" si="10"/>
        <v>230</v>
      </c>
      <c r="E253" s="1">
        <f>IF($G$11=1,IF(D253&lt;=$A$15, E252+LN($C$11)-LN(60/$D$11)-LN(MIN(D253,$E$11)), E252-LN(60/$D$11)-LN(MIN(D253,$E$11))), IF(D253&lt;=$A$15, E252+LN($C$11)-LN(60/$D$11)-LN(MIN(D253,$E$11)), E252+LN($C$11)+LN(1-$G$11)-LN(60/$D$11)-LN(MIN(D253,$E$11))))</f>
        <v>200.01902258569029</v>
      </c>
      <c r="F253" s="1">
        <f t="shared" si="11"/>
        <v>-66.307045568304574</v>
      </c>
      <c r="G253" s="1">
        <f t="shared" si="9"/>
        <v>1.596673062555776E-29</v>
      </c>
      <c r="H253" s="1">
        <f>G253/$G$21</f>
        <v>1.1196423451002996E-30</v>
      </c>
      <c r="I253">
        <f>IF($E$11&lt;=D253, IF(D253&lt;=$A$15,D253-$E$11,$F$11),0)</f>
        <v>221</v>
      </c>
      <c r="J253">
        <f>IF(D253&lt;=$A$15,0,D253-$A$15)</f>
        <v>0</v>
      </c>
      <c r="K253" s="5">
        <f>IF(D253&lt;$E$11,H253,0)</f>
        <v>0</v>
      </c>
      <c r="L253">
        <f>IF(D253&lt;$A$15,$C$11,$C$11*(1-$G$11))</f>
        <v>500</v>
      </c>
      <c r="M253">
        <f>IF(D253&lt;$A$15,0,1)</f>
        <v>0</v>
      </c>
    </row>
    <row r="254" spans="4:13" x14ac:dyDescent="0.2">
      <c r="D254">
        <f t="shared" si="10"/>
        <v>231</v>
      </c>
      <c r="E254" s="1">
        <f>IF($G$11=1,IF(D254&lt;=$A$15, E253+LN($C$11)-LN(60/$D$11)-LN(MIN(D254,$E$11)), E253-LN(60/$D$11)-LN(MIN(D254,$E$11))), IF(D254&lt;=$A$15, E253+LN($C$11)-LN(60/$D$11)-LN(MIN(D254,$E$11)), E253+LN($C$11)+LN(1-$G$11)-LN(60/$D$11)-LN(MIN(D254,$E$11))))</f>
        <v>200.85835227642832</v>
      </c>
      <c r="F254" s="1">
        <f t="shared" si="11"/>
        <v>-65.467715877566548</v>
      </c>
      <c r="G254" s="1">
        <f t="shared" si="9"/>
        <v>3.6960024596198497E-29</v>
      </c>
      <c r="H254" s="1">
        <f>G254/$G$21</f>
        <v>2.591764687732174E-30</v>
      </c>
      <c r="I254">
        <f>IF($E$11&lt;=D254, IF(D254&lt;=$A$15,D254-$E$11,$F$11),0)</f>
        <v>222</v>
      </c>
      <c r="J254">
        <f>IF(D254&lt;=$A$15,0,D254-$A$15)</f>
        <v>0</v>
      </c>
      <c r="K254" s="5">
        <f>IF(D254&lt;$E$11,H254,0)</f>
        <v>0</v>
      </c>
      <c r="L254">
        <f>IF(D254&lt;$A$15,$C$11,$C$11*(1-$G$11))</f>
        <v>500</v>
      </c>
      <c r="M254">
        <f>IF(D254&lt;$A$15,0,1)</f>
        <v>0</v>
      </c>
    </row>
    <row r="255" spans="4:13" x14ac:dyDescent="0.2">
      <c r="D255">
        <f t="shared" si="10"/>
        <v>232</v>
      </c>
      <c r="E255" s="1">
        <f>IF($G$11=1,IF(D255&lt;=$A$15, E254+LN($C$11)-LN(60/$D$11)-LN(MIN(D255,$E$11)), E254-LN(60/$D$11)-LN(MIN(D255,$E$11))), IF(D255&lt;=$A$15, E254+LN($C$11)-LN(60/$D$11)-LN(MIN(D255,$E$11)), E254+LN($C$11)+LN(1-$G$11)-LN(60/$D$11)-LN(MIN(D255,$E$11))))</f>
        <v>201.69768196716635</v>
      </c>
      <c r="F255" s="1">
        <f t="shared" si="11"/>
        <v>-64.628386186828521</v>
      </c>
      <c r="G255" s="1">
        <f t="shared" si="9"/>
        <v>8.5555612491200168E-29</v>
      </c>
      <c r="H255" s="1">
        <f>G255/$G$21</f>
        <v>5.9994552956763242E-30</v>
      </c>
      <c r="I255">
        <f>IF($E$11&lt;=D255, IF(D255&lt;=$A$15,D255-$E$11,$F$11),0)</f>
        <v>223</v>
      </c>
      <c r="J255">
        <f>IF(D255&lt;=$A$15,0,D255-$A$15)</f>
        <v>0</v>
      </c>
      <c r="K255" s="5">
        <f>IF(D255&lt;$E$11,H255,0)</f>
        <v>0</v>
      </c>
      <c r="L255">
        <f>IF(D255&lt;$A$15,$C$11,$C$11*(1-$G$11))</f>
        <v>500</v>
      </c>
      <c r="M255">
        <f>IF(D255&lt;$A$15,0,1)</f>
        <v>0</v>
      </c>
    </row>
    <row r="256" spans="4:13" x14ac:dyDescent="0.2">
      <c r="D256">
        <f t="shared" si="10"/>
        <v>233</v>
      </c>
      <c r="E256" s="1">
        <f>IF($G$11=1,IF(D256&lt;=$A$15, E255+LN($C$11)-LN(60/$D$11)-LN(MIN(D256,$E$11)), E255-LN(60/$D$11)-LN(MIN(D256,$E$11))), IF(D256&lt;=$A$15, E255+LN($C$11)-LN(60/$D$11)-LN(MIN(D256,$E$11)), E255+LN($C$11)+LN(1-$G$11)-LN(60/$D$11)-LN(MIN(D256,$E$11))))</f>
        <v>202.53701165790437</v>
      </c>
      <c r="F256" s="1">
        <f t="shared" si="11"/>
        <v>-63.789056496090495</v>
      </c>
      <c r="G256" s="1">
        <f t="shared" si="9"/>
        <v>1.9804539928518545E-28</v>
      </c>
      <c r="H256" s="1">
        <f>G256/$G$21</f>
        <v>1.3887627999250742E-29</v>
      </c>
      <c r="I256">
        <f>IF($E$11&lt;=D256, IF(D256&lt;=$A$15,D256-$E$11,$F$11),0)</f>
        <v>224</v>
      </c>
      <c r="J256">
        <f>IF(D256&lt;=$A$15,0,D256-$A$15)</f>
        <v>0</v>
      </c>
      <c r="K256" s="5">
        <f>IF(D256&lt;$E$11,H256,0)</f>
        <v>0</v>
      </c>
      <c r="L256">
        <f>IF(D256&lt;$A$15,$C$11,$C$11*(1-$G$11))</f>
        <v>500</v>
      </c>
      <c r="M256">
        <f>IF(D256&lt;$A$15,0,1)</f>
        <v>0</v>
      </c>
    </row>
    <row r="257" spans="4:13" x14ac:dyDescent="0.2">
      <c r="D257">
        <f t="shared" si="10"/>
        <v>234</v>
      </c>
      <c r="E257" s="1">
        <f>IF($G$11=1,IF(D257&lt;=$A$15, E256+LN($C$11)-LN(60/$D$11)-LN(MIN(D257,$E$11)), E256-LN(60/$D$11)-LN(MIN(D257,$E$11))), IF(D257&lt;=$A$15, E256+LN($C$11)-LN(60/$D$11)-LN(MIN(D257,$E$11)), E256+LN($C$11)+LN(1-$G$11)-LN(60/$D$11)-LN(MIN(D257,$E$11))))</f>
        <v>203.3763413486424</v>
      </c>
      <c r="F257" s="1">
        <f t="shared" si="11"/>
        <v>-62.949726805352469</v>
      </c>
      <c r="G257" s="1">
        <f t="shared" si="9"/>
        <v>4.5843842427126233E-28</v>
      </c>
      <c r="H257" s="1">
        <f>G257/$G$21</f>
        <v>3.2147287035302624E-29</v>
      </c>
      <c r="I257">
        <f>IF($E$11&lt;=D257, IF(D257&lt;=$A$15,D257-$E$11,$F$11),0)</f>
        <v>225</v>
      </c>
      <c r="J257">
        <f>IF(D257&lt;=$A$15,0,D257-$A$15)</f>
        <v>0</v>
      </c>
      <c r="K257" s="5">
        <f>IF(D257&lt;$E$11,H257,0)</f>
        <v>0</v>
      </c>
      <c r="L257">
        <f>IF(D257&lt;$A$15,$C$11,$C$11*(1-$G$11))</f>
        <v>500</v>
      </c>
      <c r="M257">
        <f>IF(D257&lt;$A$15,0,1)</f>
        <v>0</v>
      </c>
    </row>
    <row r="258" spans="4:13" x14ac:dyDescent="0.2">
      <c r="D258">
        <f t="shared" si="10"/>
        <v>235</v>
      </c>
      <c r="E258" s="1">
        <f>IF($G$11=1,IF(D258&lt;=$A$15, E257+LN($C$11)-LN(60/$D$11)-LN(MIN(D258,$E$11)), E257-LN(60/$D$11)-LN(MIN(D258,$E$11))), IF(D258&lt;=$A$15, E257+LN($C$11)-LN(60/$D$11)-LN(MIN(D258,$E$11)), E257+LN($C$11)+LN(1-$G$11)-LN(60/$D$11)-LN(MIN(D258,$E$11))))</f>
        <v>204.21567103938042</v>
      </c>
      <c r="F258" s="1">
        <f t="shared" si="11"/>
        <v>-62.110397114614443</v>
      </c>
      <c r="G258" s="1">
        <f t="shared" si="9"/>
        <v>1.0612000561834769E-27</v>
      </c>
      <c r="H258" s="1">
        <f>G258/$G$21</f>
        <v>7.4415016285422693E-29</v>
      </c>
      <c r="I258">
        <f>IF($E$11&lt;=D258, IF(D258&lt;=$A$15,D258-$E$11,$F$11),0)</f>
        <v>226</v>
      </c>
      <c r="J258">
        <f>IF(D258&lt;=$A$15,0,D258-$A$15)</f>
        <v>0</v>
      </c>
      <c r="K258" s="5">
        <f>IF(D258&lt;$E$11,H258,0)</f>
        <v>0</v>
      </c>
      <c r="L258">
        <f>IF(D258&lt;$A$15,$C$11,$C$11*(1-$G$11))</f>
        <v>500</v>
      </c>
      <c r="M258">
        <f>IF(D258&lt;$A$15,0,1)</f>
        <v>0</v>
      </c>
    </row>
    <row r="259" spans="4:13" x14ac:dyDescent="0.2">
      <c r="D259">
        <f t="shared" si="10"/>
        <v>236</v>
      </c>
      <c r="E259" s="1">
        <f>IF($G$11=1,IF(D259&lt;=$A$15, E258+LN($C$11)-LN(60/$D$11)-LN(MIN(D259,$E$11)), E258-LN(60/$D$11)-LN(MIN(D259,$E$11))), IF(D259&lt;=$A$15, E258+LN($C$11)-LN(60/$D$11)-LN(MIN(D259,$E$11)), E258+LN($C$11)+LN(1-$G$11)-LN(60/$D$11)-LN(MIN(D259,$E$11))))</f>
        <v>205.05500073011845</v>
      </c>
      <c r="F259" s="1">
        <f t="shared" si="11"/>
        <v>-61.271067423876417</v>
      </c>
      <c r="G259" s="1">
        <f t="shared" si="9"/>
        <v>2.4564816115358244E-27</v>
      </c>
      <c r="H259" s="1">
        <f>G259/$G$21</f>
        <v>1.7225698214218202E-28</v>
      </c>
      <c r="I259">
        <f>IF($E$11&lt;=D259, IF(D259&lt;=$A$15,D259-$E$11,$F$11),0)</f>
        <v>227</v>
      </c>
      <c r="J259">
        <f>IF(D259&lt;=$A$15,0,D259-$A$15)</f>
        <v>0</v>
      </c>
      <c r="K259" s="5">
        <f>IF(D259&lt;$E$11,H259,0)</f>
        <v>0</v>
      </c>
      <c r="L259">
        <f>IF(D259&lt;$A$15,$C$11,$C$11*(1-$G$11))</f>
        <v>500</v>
      </c>
      <c r="M259">
        <f>IF(D259&lt;$A$15,0,1)</f>
        <v>0</v>
      </c>
    </row>
    <row r="260" spans="4:13" x14ac:dyDescent="0.2">
      <c r="D260">
        <f t="shared" si="10"/>
        <v>237</v>
      </c>
      <c r="E260" s="1">
        <f>IF($G$11=1,IF(D260&lt;=$A$15, E259+LN($C$11)-LN(60/$D$11)-LN(MIN(D260,$E$11)), E259-LN(60/$D$11)-LN(MIN(D260,$E$11))), IF(D260&lt;=$A$15, E259+LN($C$11)-LN(60/$D$11)-LN(MIN(D260,$E$11)), E259+LN($C$11)+LN(1-$G$11)-LN(60/$D$11)-LN(MIN(D260,$E$11))))</f>
        <v>205.89433042085648</v>
      </c>
      <c r="F260" s="1">
        <f t="shared" si="11"/>
        <v>-60.431737733138391</v>
      </c>
      <c r="G260" s="1">
        <f t="shared" si="9"/>
        <v>5.6863000267032937E-27</v>
      </c>
      <c r="H260" s="1">
        <f>G260/$G$21</f>
        <v>3.987430142180137E-28</v>
      </c>
      <c r="I260">
        <f>IF($E$11&lt;=D260, IF(D260&lt;=$A$15,D260-$E$11,$F$11),0)</f>
        <v>228</v>
      </c>
      <c r="J260">
        <f>IF(D260&lt;=$A$15,0,D260-$A$15)</f>
        <v>0</v>
      </c>
      <c r="K260" s="5">
        <f>IF(D260&lt;$E$11,H260,0)</f>
        <v>0</v>
      </c>
      <c r="L260">
        <f>IF(D260&lt;$A$15,$C$11,$C$11*(1-$G$11))</f>
        <v>500</v>
      </c>
      <c r="M260">
        <f>IF(D260&lt;$A$15,0,1)</f>
        <v>0</v>
      </c>
    </row>
    <row r="261" spans="4:13" x14ac:dyDescent="0.2">
      <c r="D261">
        <f t="shared" si="10"/>
        <v>238</v>
      </c>
      <c r="E261" s="1">
        <f>IF($G$11=1,IF(D261&lt;=$A$15, E260+LN($C$11)-LN(60/$D$11)-LN(MIN(D261,$E$11)), E260-LN(60/$D$11)-LN(MIN(D261,$E$11))), IF(D261&lt;=$A$15, E260+LN($C$11)-LN(60/$D$11)-LN(MIN(D261,$E$11)), E260+LN($C$11)+LN(1-$G$11)-LN(60/$D$11)-LN(MIN(D261,$E$11))))</f>
        <v>206.7336601115945</v>
      </c>
      <c r="F261" s="1">
        <f t="shared" si="11"/>
        <v>-59.592408042400365</v>
      </c>
      <c r="G261" s="1">
        <f t="shared" si="9"/>
        <v>1.3162731543294654E-26</v>
      </c>
      <c r="H261" s="1">
        <f>G261/$G$21</f>
        <v>9.2301623661577205E-28</v>
      </c>
      <c r="I261">
        <f>IF($E$11&lt;=D261, IF(D261&lt;=$A$15,D261-$E$11,$F$11),0)</f>
        <v>229</v>
      </c>
      <c r="J261">
        <f>IF(D261&lt;=$A$15,0,D261-$A$15)</f>
        <v>0</v>
      </c>
      <c r="K261" s="5">
        <f>IF(D261&lt;$E$11,H261,0)</f>
        <v>0</v>
      </c>
      <c r="L261">
        <f>IF(D261&lt;$A$15,$C$11,$C$11*(1-$G$11))</f>
        <v>500</v>
      </c>
      <c r="M261">
        <f>IF(D261&lt;$A$15,0,1)</f>
        <v>0</v>
      </c>
    </row>
    <row r="262" spans="4:13" x14ac:dyDescent="0.2">
      <c r="D262">
        <f t="shared" si="10"/>
        <v>239</v>
      </c>
      <c r="E262" s="1">
        <f>IF($G$11=1,IF(D262&lt;=$A$15, E261+LN($C$11)-LN(60/$D$11)-LN(MIN(D262,$E$11)), E261-LN(60/$D$11)-LN(MIN(D262,$E$11))), IF(D262&lt;=$A$15, E261+LN($C$11)-LN(60/$D$11)-LN(MIN(D262,$E$11)), E261+LN($C$11)+LN(1-$G$11)-LN(60/$D$11)-LN(MIN(D262,$E$11))))</f>
        <v>207.57298980233253</v>
      </c>
      <c r="F262" s="1">
        <f t="shared" si="11"/>
        <v>-58.753078351662339</v>
      </c>
      <c r="G262" s="1">
        <f t="shared" si="9"/>
        <v>3.0469285979848716E-26</v>
      </c>
      <c r="H262" s="1">
        <f>G262/$G$21</f>
        <v>2.1366116588328042E-27</v>
      </c>
      <c r="I262">
        <f>IF($E$11&lt;=D262, IF(D262&lt;=$A$15,D262-$E$11,$F$11),0)</f>
        <v>230</v>
      </c>
      <c r="J262">
        <f>IF(D262&lt;=$A$15,0,D262-$A$15)</f>
        <v>0</v>
      </c>
      <c r="K262" s="5">
        <f>IF(D262&lt;$E$11,H262,0)</f>
        <v>0</v>
      </c>
      <c r="L262">
        <f>IF(D262&lt;$A$15,$C$11,$C$11*(1-$G$11))</f>
        <v>500</v>
      </c>
      <c r="M262">
        <f>IF(D262&lt;$A$15,0,1)</f>
        <v>0</v>
      </c>
    </row>
    <row r="263" spans="4:13" x14ac:dyDescent="0.2">
      <c r="D263">
        <f t="shared" si="10"/>
        <v>240</v>
      </c>
      <c r="E263" s="1">
        <f>IF($G$11=1,IF(D263&lt;=$A$15, E262+LN($C$11)-LN(60/$D$11)-LN(MIN(D263,$E$11)), E262-LN(60/$D$11)-LN(MIN(D263,$E$11))), IF(D263&lt;=$A$15, E262+LN($C$11)-LN(60/$D$11)-LN(MIN(D263,$E$11)), E262+LN($C$11)+LN(1-$G$11)-LN(60/$D$11)-LN(MIN(D263,$E$11))))</f>
        <v>208.41231949307056</v>
      </c>
      <c r="F263" s="1">
        <f t="shared" si="11"/>
        <v>-57.913748660924313</v>
      </c>
      <c r="G263" s="1">
        <f t="shared" si="9"/>
        <v>7.0530754582983097E-26</v>
      </c>
      <c r="H263" s="1">
        <f>G263/$G$21</f>
        <v>4.9458603213722284E-27</v>
      </c>
      <c r="I263">
        <f>IF($E$11&lt;=D263, IF(D263&lt;=$A$15,D263-$E$11,$F$11),0)</f>
        <v>231</v>
      </c>
      <c r="J263">
        <f>IF(D263&lt;=$A$15,0,D263-$A$15)</f>
        <v>0</v>
      </c>
      <c r="K263" s="5">
        <f>IF(D263&lt;$E$11,H263,0)</f>
        <v>0</v>
      </c>
      <c r="L263">
        <f>IF(D263&lt;$A$15,$C$11,$C$11*(1-$G$11))</f>
        <v>500</v>
      </c>
      <c r="M263">
        <f>IF(D263&lt;$A$15,0,1)</f>
        <v>0</v>
      </c>
    </row>
    <row r="264" spans="4:13" x14ac:dyDescent="0.2">
      <c r="D264">
        <f t="shared" si="10"/>
        <v>241</v>
      </c>
      <c r="E264" s="1">
        <f>IF($G$11=1,IF(D264&lt;=$A$15, E263+LN($C$11)-LN(60/$D$11)-LN(MIN(D264,$E$11)), E263-LN(60/$D$11)-LN(MIN(D264,$E$11))), IF(D264&lt;=$A$15, E263+LN($C$11)-LN(60/$D$11)-LN(MIN(D264,$E$11)), E263+LN($C$11)+LN(1-$G$11)-LN(60/$D$11)-LN(MIN(D264,$E$11))))</f>
        <v>209.25164918380858</v>
      </c>
      <c r="F264" s="1">
        <f t="shared" si="11"/>
        <v>-57.074418970186287</v>
      </c>
      <c r="G264" s="1">
        <f t="shared" si="9"/>
        <v>1.6326563560875706E-25</v>
      </c>
      <c r="H264" s="1">
        <f>G264/$G$21</f>
        <v>1.1448750743917188E-26</v>
      </c>
      <c r="I264">
        <f>IF($E$11&lt;=D264, IF(D264&lt;=$A$15,D264-$E$11,$F$11),0)</f>
        <v>232</v>
      </c>
      <c r="J264">
        <f>IF(D264&lt;=$A$15,0,D264-$A$15)</f>
        <v>0</v>
      </c>
      <c r="K264" s="5">
        <f>IF(D264&lt;$E$11,H264,0)</f>
        <v>0</v>
      </c>
      <c r="L264">
        <f>IF(D264&lt;$A$15,$C$11,$C$11*(1-$G$11))</f>
        <v>500</v>
      </c>
      <c r="M264">
        <f>IF(D264&lt;$A$15,0,1)</f>
        <v>0</v>
      </c>
    </row>
    <row r="265" spans="4:13" x14ac:dyDescent="0.2">
      <c r="D265">
        <f t="shared" si="10"/>
        <v>242</v>
      </c>
      <c r="E265" s="1">
        <f>IF($G$11=1,IF(D265&lt;=$A$15, E264+LN($C$11)-LN(60/$D$11)-LN(MIN(D265,$E$11)), E264-LN(60/$D$11)-LN(MIN(D265,$E$11))), IF(D265&lt;=$A$15, E264+LN($C$11)-LN(60/$D$11)-LN(MIN(D265,$E$11)), E264+LN($C$11)+LN(1-$G$11)-LN(60/$D$11)-LN(MIN(D265,$E$11))))</f>
        <v>210.09097887454661</v>
      </c>
      <c r="F265" s="1">
        <f t="shared" si="11"/>
        <v>-56.23508927944826</v>
      </c>
      <c r="G265" s="1">
        <f t="shared" si="9"/>
        <v>3.7792971205730776E-25</v>
      </c>
      <c r="H265" s="1">
        <f>G265/$G$21</f>
        <v>2.6501737833141625E-26</v>
      </c>
      <c r="I265">
        <f>IF($E$11&lt;=D265, IF(D265&lt;=$A$15,D265-$E$11,$F$11),0)</f>
        <v>233</v>
      </c>
      <c r="J265">
        <f>IF(D265&lt;=$A$15,0,D265-$A$15)</f>
        <v>0</v>
      </c>
      <c r="K265" s="5">
        <f>IF(D265&lt;$E$11,H265,0)</f>
        <v>0</v>
      </c>
      <c r="L265">
        <f>IF(D265&lt;$A$15,$C$11,$C$11*(1-$G$11))</f>
        <v>500</v>
      </c>
      <c r="M265">
        <f>IF(D265&lt;$A$15,0,1)</f>
        <v>0</v>
      </c>
    </row>
    <row r="266" spans="4:13" x14ac:dyDescent="0.2">
      <c r="D266">
        <f t="shared" si="10"/>
        <v>243</v>
      </c>
      <c r="E266" s="1">
        <f>IF($G$11=1,IF(D266&lt;=$A$15, E265+LN($C$11)-LN(60/$D$11)-LN(MIN(D266,$E$11)), E265-LN(60/$D$11)-LN(MIN(D266,$E$11))), IF(D266&lt;=$A$15, E265+LN($C$11)-LN(60/$D$11)-LN(MIN(D266,$E$11)), E265+LN($C$11)+LN(1-$G$11)-LN(60/$D$11)-LN(MIN(D266,$E$11))))</f>
        <v>210.93030856528463</v>
      </c>
      <c r="F266" s="1">
        <f t="shared" si="11"/>
        <v>-55.395759588710234</v>
      </c>
      <c r="G266" s="1">
        <f t="shared" si="9"/>
        <v>8.7483729642895251E-25</v>
      </c>
      <c r="H266" s="1">
        <f>G266/$G$21</f>
        <v>6.134661535449445E-26</v>
      </c>
      <c r="I266">
        <f>IF($E$11&lt;=D266, IF(D266&lt;=$A$15,D266-$E$11,$F$11),0)</f>
        <v>234</v>
      </c>
      <c r="J266">
        <f>IF(D266&lt;=$A$15,0,D266-$A$15)</f>
        <v>0</v>
      </c>
      <c r="K266" s="5">
        <f>IF(D266&lt;$E$11,H266,0)</f>
        <v>0</v>
      </c>
      <c r="L266">
        <f>IF(D266&lt;$A$15,$C$11,$C$11*(1-$G$11))</f>
        <v>500</v>
      </c>
      <c r="M266">
        <f>IF(D266&lt;$A$15,0,1)</f>
        <v>0</v>
      </c>
    </row>
    <row r="267" spans="4:13" x14ac:dyDescent="0.2">
      <c r="D267">
        <f t="shared" si="10"/>
        <v>244</v>
      </c>
      <c r="E267" s="1">
        <f>IF($G$11=1,IF(D267&lt;=$A$15, E266+LN($C$11)-LN(60/$D$11)-LN(MIN(D267,$E$11)), E266-LN(60/$D$11)-LN(MIN(D267,$E$11))), IF(D267&lt;=$A$15, E266+LN($C$11)-LN(60/$D$11)-LN(MIN(D267,$E$11)), E266+LN($C$11)+LN(1-$G$11)-LN(60/$D$11)-LN(MIN(D267,$E$11))))</f>
        <v>211.76963825602266</v>
      </c>
      <c r="F267" s="1">
        <f t="shared" si="11"/>
        <v>-54.556429897972208</v>
      </c>
      <c r="G267" s="1">
        <f t="shared" si="9"/>
        <v>2.0250863343262779E-24</v>
      </c>
      <c r="H267" s="1">
        <f>G267/$G$21</f>
        <v>1.4200605406132967E-25</v>
      </c>
      <c r="I267">
        <f>IF($E$11&lt;=D267, IF(D267&lt;=$A$15,D267-$E$11,$F$11),0)</f>
        <v>235</v>
      </c>
      <c r="J267">
        <f>IF(D267&lt;=$A$15,0,D267-$A$15)</f>
        <v>0</v>
      </c>
      <c r="K267" s="5">
        <f>IF(D267&lt;$E$11,H267,0)</f>
        <v>0</v>
      </c>
      <c r="L267">
        <f>IF(D267&lt;$A$15,$C$11,$C$11*(1-$G$11))</f>
        <v>500</v>
      </c>
      <c r="M267">
        <f>IF(D267&lt;$A$15,0,1)</f>
        <v>0</v>
      </c>
    </row>
    <row r="268" spans="4:13" x14ac:dyDescent="0.2">
      <c r="D268">
        <f t="shared" si="10"/>
        <v>245</v>
      </c>
      <c r="E268" s="1">
        <f>IF($G$11=1,IF(D268&lt;=$A$15, E267+LN($C$11)-LN(60/$D$11)-LN(MIN(D268,$E$11)), E267-LN(60/$D$11)-LN(MIN(D268,$E$11))), IF(D268&lt;=$A$15, E267+LN($C$11)-LN(60/$D$11)-LN(MIN(D268,$E$11)), E267+LN($C$11)+LN(1-$G$11)-LN(60/$D$11)-LN(MIN(D268,$E$11))))</f>
        <v>212.60896794676069</v>
      </c>
      <c r="F268" s="1">
        <f t="shared" si="11"/>
        <v>-53.717100207234182</v>
      </c>
      <c r="G268" s="1">
        <f t="shared" si="9"/>
        <v>4.6876998479774916E-24</v>
      </c>
      <c r="H268" s="1">
        <f>G268/$G$21</f>
        <v>3.2871771773455919E-25</v>
      </c>
      <c r="I268">
        <f>IF($E$11&lt;=D268, IF(D268&lt;=$A$15,D268-$E$11,$F$11),0)</f>
        <v>236</v>
      </c>
      <c r="J268">
        <f>IF(D268&lt;=$A$15,0,D268-$A$15)</f>
        <v>0</v>
      </c>
      <c r="K268" s="5">
        <f>IF(D268&lt;$E$11,H268,0)</f>
        <v>0</v>
      </c>
      <c r="L268">
        <f>IF(D268&lt;$A$15,$C$11,$C$11*(1-$G$11))</f>
        <v>500</v>
      </c>
      <c r="M268">
        <f>IF(D268&lt;$A$15,0,1)</f>
        <v>0</v>
      </c>
    </row>
    <row r="269" spans="4:13" x14ac:dyDescent="0.2">
      <c r="D269">
        <f t="shared" si="10"/>
        <v>246</v>
      </c>
      <c r="E269" s="1">
        <f>IF($G$11=1,IF(D269&lt;=$A$15, E268+LN($C$11)-LN(60/$D$11)-LN(MIN(D269,$E$11)), E268-LN(60/$D$11)-LN(MIN(D269,$E$11))), IF(D269&lt;=$A$15, E268+LN($C$11)-LN(60/$D$11)-LN(MIN(D269,$E$11)), E268+LN($C$11)+LN(1-$G$11)-LN(60/$D$11)-LN(MIN(D269,$E$11))))</f>
        <v>213.44829763749871</v>
      </c>
      <c r="F269" s="1">
        <f t="shared" si="11"/>
        <v>-52.877770516496156</v>
      </c>
      <c r="G269" s="1">
        <f t="shared" si="9"/>
        <v>1.0851157055503446E-23</v>
      </c>
      <c r="H269" s="1">
        <f>G269/$G$21</f>
        <v>7.6092064290407171E-25</v>
      </c>
      <c r="I269">
        <f>IF($E$11&lt;=D269, IF(D269&lt;=$A$15,D269-$E$11,$F$11),0)</f>
        <v>237</v>
      </c>
      <c r="J269">
        <f>IF(D269&lt;=$A$15,0,D269-$A$15)</f>
        <v>0</v>
      </c>
      <c r="K269" s="5">
        <f>IF(D269&lt;$E$11,H269,0)</f>
        <v>0</v>
      </c>
      <c r="L269">
        <f>IF(D269&lt;$A$15,$C$11,$C$11*(1-$G$11))</f>
        <v>500</v>
      </c>
      <c r="M269">
        <f>IF(D269&lt;$A$15,0,1)</f>
        <v>0</v>
      </c>
    </row>
    <row r="270" spans="4:13" x14ac:dyDescent="0.2">
      <c r="D270">
        <f t="shared" si="10"/>
        <v>247</v>
      </c>
      <c r="E270" s="1">
        <f>IF($G$11=1,IF(D270&lt;=$A$15, E269+LN($C$11)-LN(60/$D$11)-LN(MIN(D270,$E$11)), E269-LN(60/$D$11)-LN(MIN(D270,$E$11))), IF(D270&lt;=$A$15, E269+LN($C$11)-LN(60/$D$11)-LN(MIN(D270,$E$11)), E269+LN($C$11)+LN(1-$G$11)-LN(60/$D$11)-LN(MIN(D270,$E$11))))</f>
        <v>214.28762732823674</v>
      </c>
      <c r="F270" s="1">
        <f t="shared" si="11"/>
        <v>-52.03844082575813</v>
      </c>
      <c r="G270" s="1">
        <f t="shared" si="9"/>
        <v>2.5118419109961665E-23</v>
      </c>
      <c r="H270" s="1">
        <f>G270/$G$21</f>
        <v>1.7613903770927575E-24</v>
      </c>
      <c r="I270">
        <f>IF($E$11&lt;=D270, IF(D270&lt;=$A$15,D270-$E$11,$F$11),0)</f>
        <v>238</v>
      </c>
      <c r="J270">
        <f>IF(D270&lt;=$A$15,0,D270-$A$15)</f>
        <v>0</v>
      </c>
      <c r="K270" s="5">
        <f>IF(D270&lt;$E$11,H270,0)</f>
        <v>0</v>
      </c>
      <c r="L270">
        <f>IF(D270&lt;$A$15,$C$11,$C$11*(1-$G$11))</f>
        <v>500</v>
      </c>
      <c r="M270">
        <f>IF(D270&lt;$A$15,0,1)</f>
        <v>0</v>
      </c>
    </row>
    <row r="271" spans="4:13" x14ac:dyDescent="0.2">
      <c r="D271">
        <f t="shared" si="10"/>
        <v>248</v>
      </c>
      <c r="E271" s="1">
        <f>IF($G$11=1,IF(D271&lt;=$A$15, E270+LN($C$11)-LN(60/$D$11)-LN(MIN(D271,$E$11)), E270-LN(60/$D$11)-LN(MIN(D271,$E$11))), IF(D271&lt;=$A$15, E270+LN($C$11)-LN(60/$D$11)-LN(MIN(D271,$E$11)), E270+LN($C$11)+LN(1-$G$11)-LN(60/$D$11)-LN(MIN(D271,$E$11))))</f>
        <v>215.12695701897476</v>
      </c>
      <c r="F271" s="1">
        <f t="shared" si="11"/>
        <v>-51.199111135020104</v>
      </c>
      <c r="G271" s="1">
        <f t="shared" si="9"/>
        <v>5.8144488680466786E-23</v>
      </c>
      <c r="H271" s="1">
        <f>G271/$G$21</f>
        <v>4.0772925395665661E-24</v>
      </c>
      <c r="I271">
        <f>IF($E$11&lt;=D271, IF(D271&lt;=$A$15,D271-$E$11,$F$11),0)</f>
        <v>239</v>
      </c>
      <c r="J271">
        <f>IF(D271&lt;=$A$15,0,D271-$A$15)</f>
        <v>0</v>
      </c>
      <c r="K271" s="5">
        <f>IF(D271&lt;$E$11,H271,0)</f>
        <v>0</v>
      </c>
      <c r="L271">
        <f>IF(D271&lt;$A$15,$C$11,$C$11*(1-$G$11))</f>
        <v>500</v>
      </c>
      <c r="M271">
        <f>IF(D271&lt;$A$15,0,1)</f>
        <v>0</v>
      </c>
    </row>
    <row r="272" spans="4:13" x14ac:dyDescent="0.2">
      <c r="D272">
        <f t="shared" si="10"/>
        <v>249</v>
      </c>
      <c r="E272" s="1">
        <f>IF($G$11=1,IF(D272&lt;=$A$15, E271+LN($C$11)-LN(60/$D$11)-LN(MIN(D272,$E$11)), E271-LN(60/$D$11)-LN(MIN(D272,$E$11))), IF(D272&lt;=$A$15, E271+LN($C$11)-LN(60/$D$11)-LN(MIN(D272,$E$11)), E271+LN($C$11)+LN(1-$G$11)-LN(60/$D$11)-LN(MIN(D272,$E$11))))</f>
        <v>215.96628670971279</v>
      </c>
      <c r="F272" s="1">
        <f t="shared" si="11"/>
        <v>-50.359781444282078</v>
      </c>
      <c r="G272" s="1">
        <f t="shared" si="9"/>
        <v>1.3459372379737672E-22</v>
      </c>
      <c r="H272" s="1">
        <f>G272/$G$21</f>
        <v>9.4381771749225998E-24</v>
      </c>
      <c r="I272">
        <f>IF($E$11&lt;=D272, IF(D272&lt;=$A$15,D272-$E$11,$F$11),0)</f>
        <v>240</v>
      </c>
      <c r="J272">
        <f>IF(D272&lt;=$A$15,0,D272-$A$15)</f>
        <v>0</v>
      </c>
      <c r="K272" s="5">
        <f>IF(D272&lt;$E$11,H272,0)</f>
        <v>0</v>
      </c>
      <c r="L272">
        <f>IF(D272&lt;$A$15,$C$11,$C$11*(1-$G$11))</f>
        <v>500</v>
      </c>
      <c r="M272">
        <f>IF(D272&lt;$A$15,0,1)</f>
        <v>0</v>
      </c>
    </row>
    <row r="273" spans="4:13" x14ac:dyDescent="0.2">
      <c r="D273">
        <f t="shared" si="10"/>
        <v>250</v>
      </c>
      <c r="E273" s="1">
        <f>IF($G$11=1,IF(D273&lt;=$A$15, E272+LN($C$11)-LN(60/$D$11)-LN(MIN(D273,$E$11)), E272-LN(60/$D$11)-LN(MIN(D273,$E$11))), IF(D273&lt;=$A$15, E272+LN($C$11)-LN(60/$D$11)-LN(MIN(D273,$E$11)), E272+LN($C$11)+LN(1-$G$11)-LN(60/$D$11)-LN(MIN(D273,$E$11))))</f>
        <v>216.80561640045082</v>
      </c>
      <c r="F273" s="1">
        <f t="shared" si="11"/>
        <v>-49.520451753544052</v>
      </c>
      <c r="G273" s="1">
        <f t="shared" si="9"/>
        <v>3.1155954582726074E-22</v>
      </c>
      <c r="H273" s="1">
        <f>G273/$G$21</f>
        <v>2.1847632349357857E-23</v>
      </c>
      <c r="I273">
        <f>IF($E$11&lt;=D273, IF(D273&lt;=$A$15,D273-$E$11,$F$11),0)</f>
        <v>241</v>
      </c>
      <c r="J273">
        <f>IF(D273&lt;=$A$15,0,D273-$A$15)</f>
        <v>0</v>
      </c>
      <c r="K273" s="5">
        <f>IF(D273&lt;$E$11,H273,0)</f>
        <v>0</v>
      </c>
      <c r="L273">
        <f>IF(D273&lt;$A$15,$C$11,$C$11*(1-$G$11))</f>
        <v>500</v>
      </c>
      <c r="M273">
        <f>IF(D273&lt;$A$15,0,1)</f>
        <v>0</v>
      </c>
    </row>
    <row r="274" spans="4:13" x14ac:dyDescent="0.2">
      <c r="D274">
        <f t="shared" si="10"/>
        <v>251</v>
      </c>
      <c r="E274" s="1">
        <f>IF($G$11=1,IF(D274&lt;=$A$15, E273+LN($C$11)-LN(60/$D$11)-LN(MIN(D274,$E$11)), E273-LN(60/$D$11)-LN(MIN(D274,$E$11))), IF(D274&lt;=$A$15, E273+LN($C$11)-LN(60/$D$11)-LN(MIN(D274,$E$11)), E273+LN($C$11)+LN(1-$G$11)-LN(60/$D$11)-LN(MIN(D274,$E$11))))</f>
        <v>217.64494609118884</v>
      </c>
      <c r="F274" s="1">
        <f t="shared" si="11"/>
        <v>-48.681122062806025</v>
      </c>
      <c r="G274" s="1">
        <f t="shared" si="9"/>
        <v>7.2120265237791794E-22</v>
      </c>
      <c r="H274" s="1">
        <f>G274/$G$21</f>
        <v>5.0573223030920931E-23</v>
      </c>
      <c r="I274">
        <f>IF($E$11&lt;=D274, IF(D274&lt;=$A$15,D274-$E$11,$F$11),0)</f>
        <v>242</v>
      </c>
      <c r="J274">
        <f>IF(D274&lt;=$A$15,0,D274-$A$15)</f>
        <v>0</v>
      </c>
      <c r="K274" s="5">
        <f>IF(D274&lt;$E$11,H274,0)</f>
        <v>0</v>
      </c>
      <c r="L274">
        <f>IF(D274&lt;$A$15,$C$11,$C$11*(1-$G$11))</f>
        <v>500</v>
      </c>
      <c r="M274">
        <f>IF(D274&lt;$A$15,0,1)</f>
        <v>0</v>
      </c>
    </row>
    <row r="275" spans="4:13" x14ac:dyDescent="0.2">
      <c r="D275">
        <f t="shared" si="10"/>
        <v>252</v>
      </c>
      <c r="E275" s="1">
        <f>IF($G$11=1,IF(D275&lt;=$A$15, E274+LN($C$11)-LN(60/$D$11)-LN(MIN(D275,$E$11)), E274-LN(60/$D$11)-LN(MIN(D275,$E$11))), IF(D275&lt;=$A$15, E274+LN($C$11)-LN(60/$D$11)-LN(MIN(D275,$E$11)), E274+LN($C$11)+LN(1-$G$11)-LN(60/$D$11)-LN(MIN(D275,$E$11))))</f>
        <v>218.48427578192687</v>
      </c>
      <c r="F275" s="1">
        <f t="shared" si="11"/>
        <v>-47.841792372067999</v>
      </c>
      <c r="G275" s="1">
        <f t="shared" si="9"/>
        <v>1.6694505842081422E-21</v>
      </c>
      <c r="H275" s="1">
        <f>G275/$G$21</f>
        <v>1.170676459049095E-22</v>
      </c>
      <c r="I275">
        <f>IF($E$11&lt;=D275, IF(D275&lt;=$A$15,D275-$E$11,$F$11),0)</f>
        <v>243</v>
      </c>
      <c r="J275">
        <f>IF(D275&lt;=$A$15,0,D275-$A$15)</f>
        <v>0</v>
      </c>
      <c r="K275" s="5">
        <f>IF(D275&lt;$E$11,H275,0)</f>
        <v>0</v>
      </c>
      <c r="L275">
        <f>IF(D275&lt;$A$15,$C$11,$C$11*(1-$G$11))</f>
        <v>500</v>
      </c>
      <c r="M275">
        <f>IF(D275&lt;$A$15,0,1)</f>
        <v>0</v>
      </c>
    </row>
    <row r="276" spans="4:13" x14ac:dyDescent="0.2">
      <c r="D276">
        <f t="shared" si="10"/>
        <v>253</v>
      </c>
      <c r="E276" s="1">
        <f>IF($G$11=1,IF(D276&lt;=$A$15, E275+LN($C$11)-LN(60/$D$11)-LN(MIN(D276,$E$11)), E275-LN(60/$D$11)-LN(MIN(D276,$E$11))), IF(D276&lt;=$A$15, E275+LN($C$11)-LN(60/$D$11)-LN(MIN(D276,$E$11)), E275+LN($C$11)+LN(1-$G$11)-LN(60/$D$11)-LN(MIN(D276,$E$11))))</f>
        <v>219.32360547266489</v>
      </c>
      <c r="F276" s="1">
        <f t="shared" si="11"/>
        <v>-47.002462681329973</v>
      </c>
      <c r="G276" s="1">
        <f t="shared" si="9"/>
        <v>3.8644689449262525E-21</v>
      </c>
      <c r="H276" s="1">
        <f>G276/$G$21</f>
        <v>2.7098992107617918E-22</v>
      </c>
      <c r="I276">
        <f>IF($E$11&lt;=D276, IF(D276&lt;=$A$15,D276-$E$11,$F$11),0)</f>
        <v>244</v>
      </c>
      <c r="J276">
        <f>IF(D276&lt;=$A$15,0,D276-$A$15)</f>
        <v>0</v>
      </c>
      <c r="K276" s="5">
        <f>IF(D276&lt;$E$11,H276,0)</f>
        <v>0</v>
      </c>
      <c r="L276">
        <f>IF(D276&lt;$A$15,$C$11,$C$11*(1-$G$11))</f>
        <v>500</v>
      </c>
      <c r="M276">
        <f>IF(D276&lt;$A$15,0,1)</f>
        <v>0</v>
      </c>
    </row>
    <row r="277" spans="4:13" x14ac:dyDescent="0.2">
      <c r="D277">
        <f t="shared" si="10"/>
        <v>254</v>
      </c>
      <c r="E277" s="1">
        <f>IF($G$11=1,IF(D277&lt;=$A$15, E276+LN($C$11)-LN(60/$D$11)-LN(MIN(D277,$E$11)), E276-LN(60/$D$11)-LN(MIN(D277,$E$11))), IF(D277&lt;=$A$15, E276+LN($C$11)-LN(60/$D$11)-LN(MIN(D277,$E$11)), E276+LN($C$11)+LN(1-$G$11)-LN(60/$D$11)-LN(MIN(D277,$E$11))))</f>
        <v>220.16293516340292</v>
      </c>
      <c r="F277" s="1">
        <f t="shared" si="11"/>
        <v>-46.163132990591947</v>
      </c>
      <c r="G277" s="1">
        <f t="shared" si="9"/>
        <v>8.9455299651070602E-21</v>
      </c>
      <c r="H277" s="1">
        <f>G277/$G$21</f>
        <v>6.2729148397263656E-22</v>
      </c>
      <c r="I277">
        <f>IF($E$11&lt;=D277, IF(D277&lt;=$A$15,D277-$E$11,$F$11),0)</f>
        <v>245</v>
      </c>
      <c r="J277">
        <f>IF(D277&lt;=$A$15,0,D277-$A$15)</f>
        <v>0</v>
      </c>
      <c r="K277" s="5">
        <f>IF(D277&lt;$E$11,H277,0)</f>
        <v>0</v>
      </c>
      <c r="L277">
        <f>IF(D277&lt;$A$15,$C$11,$C$11*(1-$G$11))</f>
        <v>500</v>
      </c>
      <c r="M277">
        <f>IF(D277&lt;$A$15,0,1)</f>
        <v>0</v>
      </c>
    </row>
    <row r="278" spans="4:13" x14ac:dyDescent="0.2">
      <c r="D278">
        <f t="shared" si="10"/>
        <v>255</v>
      </c>
      <c r="E278" s="1">
        <f>IF($G$11=1,IF(D278&lt;=$A$15, E277+LN($C$11)-LN(60/$D$11)-LN(MIN(D278,$E$11)), E277-LN(60/$D$11)-LN(MIN(D278,$E$11))), IF(D278&lt;=$A$15, E277+LN($C$11)-LN(60/$D$11)-LN(MIN(D278,$E$11)), E277+LN($C$11)+LN(1-$G$11)-LN(60/$D$11)-LN(MIN(D278,$E$11))))</f>
        <v>221.00226485414095</v>
      </c>
      <c r="F278" s="1">
        <f t="shared" si="11"/>
        <v>-45.323803299853921</v>
      </c>
      <c r="G278" s="1">
        <f t="shared" si="9"/>
        <v>2.0707245289599666E-20</v>
      </c>
      <c r="H278" s="1">
        <f>G278/$G$21</f>
        <v>1.4520636203070285E-21</v>
      </c>
      <c r="I278">
        <f>IF($E$11&lt;=D278, IF(D278&lt;=$A$15,D278-$E$11,$F$11),0)</f>
        <v>246</v>
      </c>
      <c r="J278">
        <f>IF(D278&lt;=$A$15,0,D278-$A$15)</f>
        <v>0</v>
      </c>
      <c r="K278" s="5">
        <f>IF(D278&lt;$E$11,H278,0)</f>
        <v>0</v>
      </c>
      <c r="L278">
        <f>IF(D278&lt;$A$15,$C$11,$C$11*(1-$G$11))</f>
        <v>500</v>
      </c>
      <c r="M278">
        <f>IF(D278&lt;$A$15,0,1)</f>
        <v>0</v>
      </c>
    </row>
    <row r="279" spans="4:13" x14ac:dyDescent="0.2">
      <c r="D279">
        <f t="shared" si="10"/>
        <v>256</v>
      </c>
      <c r="E279" s="1">
        <f>IF($G$11=1,IF(D279&lt;=$A$15, E278+LN($C$11)-LN(60/$D$11)-LN(MIN(D279,$E$11)), E278-LN(60/$D$11)-LN(MIN(D279,$E$11))), IF(D279&lt;=$A$15, E278+LN($C$11)-LN(60/$D$11)-LN(MIN(D279,$E$11)), E278+LN($C$11)+LN(1-$G$11)-LN(60/$D$11)-LN(MIN(D279,$E$11))))</f>
        <v>221.84159454487897</v>
      </c>
      <c r="F279" s="1">
        <f t="shared" si="11"/>
        <v>-44.484473609115895</v>
      </c>
      <c r="G279" s="1">
        <f t="shared" si="9"/>
        <v>4.7933438170369564E-20</v>
      </c>
      <c r="H279" s="1">
        <f>G279/$G$21</f>
        <v>3.361258380340341E-21</v>
      </c>
      <c r="I279">
        <f>IF($E$11&lt;=D279, IF(D279&lt;=$A$15,D279-$E$11,$F$11),0)</f>
        <v>247</v>
      </c>
      <c r="J279">
        <f>IF(D279&lt;=$A$15,0,D279-$A$15)</f>
        <v>0</v>
      </c>
      <c r="K279" s="5">
        <f>IF(D279&lt;$E$11,H279,0)</f>
        <v>0</v>
      </c>
      <c r="L279">
        <f>IF(D279&lt;$A$15,$C$11,$C$11*(1-$G$11))</f>
        <v>500</v>
      </c>
      <c r="M279">
        <f>IF(D279&lt;$A$15,0,1)</f>
        <v>0</v>
      </c>
    </row>
    <row r="280" spans="4:13" x14ac:dyDescent="0.2">
      <c r="D280">
        <f t="shared" si="10"/>
        <v>257</v>
      </c>
      <c r="E280" s="1">
        <f>IF($G$11=1,IF(D280&lt;=$A$15, E279+LN($C$11)-LN(60/$D$11)-LN(MIN(D280,$E$11)), E279-LN(60/$D$11)-LN(MIN(D280,$E$11))), IF(D280&lt;=$A$15, E279+LN($C$11)-LN(60/$D$11)-LN(MIN(D280,$E$11)), E279+LN($C$11)+LN(1-$G$11)-LN(60/$D$11)-LN(MIN(D280,$E$11))))</f>
        <v>222.680924235617</v>
      </c>
      <c r="F280" s="1">
        <f t="shared" si="11"/>
        <v>-43.645143918377869</v>
      </c>
      <c r="G280" s="1">
        <f t="shared" ref="G280:G343" si="12">EXP(F280)</f>
        <v>1.1095703280178133E-19</v>
      </c>
      <c r="H280" s="1">
        <f>G280/$G$21</f>
        <v>7.780690695232267E-21</v>
      </c>
      <c r="I280">
        <f>IF($E$11&lt;=D280, IF(D280&lt;=$A$15,D280-$E$11,$F$11),0)</f>
        <v>248</v>
      </c>
      <c r="J280">
        <f>IF(D280&lt;=$A$15,0,D280-$A$15)</f>
        <v>0</v>
      </c>
      <c r="K280" s="5">
        <f>IF(D280&lt;$E$11,H280,0)</f>
        <v>0</v>
      </c>
      <c r="L280">
        <f>IF(D280&lt;$A$15,$C$11,$C$11*(1-$G$11))</f>
        <v>500</v>
      </c>
      <c r="M280">
        <f>IF(D280&lt;$A$15,0,1)</f>
        <v>0</v>
      </c>
    </row>
    <row r="281" spans="4:13" x14ac:dyDescent="0.2">
      <c r="D281">
        <f t="shared" ref="D281:D344" si="13">1+D280</f>
        <v>258</v>
      </c>
      <c r="E281" s="1">
        <f>IF($G$11=1,IF(D281&lt;=$A$15, E280+LN($C$11)-LN(60/$D$11)-LN(MIN(D281,$E$11)), E280-LN(60/$D$11)-LN(MIN(D281,$E$11))), IF(D281&lt;=$A$15, E280+LN($C$11)-LN(60/$D$11)-LN(MIN(D281,$E$11)), E280+LN($C$11)+LN(1-$G$11)-LN(60/$D$11)-LN(MIN(D281,$E$11))))</f>
        <v>223.52025392635502</v>
      </c>
      <c r="F281" s="1">
        <f t="shared" ref="F281:F344" si="14">E281-$E$21</f>
        <v>-42.805814227639843</v>
      </c>
      <c r="G281" s="1">
        <f t="shared" si="12"/>
        <v>2.5684498333745659E-19</v>
      </c>
      <c r="H281" s="1">
        <f>G281/$G$21</f>
        <v>1.8010858090815419E-20</v>
      </c>
      <c r="I281">
        <f>IF($E$11&lt;=D281, IF(D281&lt;=$A$15,D281-$E$11,$F$11),0)</f>
        <v>249</v>
      </c>
      <c r="J281">
        <f>IF(D281&lt;=$A$15,0,D281-$A$15)</f>
        <v>0</v>
      </c>
      <c r="K281" s="5">
        <f>IF(D281&lt;$E$11,H281,0)</f>
        <v>0</v>
      </c>
      <c r="L281">
        <f>IF(D281&lt;$A$15,$C$11,$C$11*(1-$G$11))</f>
        <v>500</v>
      </c>
      <c r="M281">
        <f>IF(D281&lt;$A$15,0,1)</f>
        <v>0</v>
      </c>
    </row>
    <row r="282" spans="4:13" x14ac:dyDescent="0.2">
      <c r="D282">
        <f t="shared" si="13"/>
        <v>259</v>
      </c>
      <c r="E282" s="1">
        <f>IF($G$11=1,IF(D282&lt;=$A$15, E281+LN($C$11)-LN(60/$D$11)-LN(MIN(D282,$E$11)), E281-LN(60/$D$11)-LN(MIN(D282,$E$11))), IF(D282&lt;=$A$15, E281+LN($C$11)-LN(60/$D$11)-LN(MIN(D282,$E$11)), E281+LN($C$11)+LN(1-$G$11)-LN(60/$D$11)-LN(MIN(D282,$E$11))))</f>
        <v>224.35958361709305</v>
      </c>
      <c r="F282" s="1">
        <f t="shared" si="14"/>
        <v>-41.966484536901817</v>
      </c>
      <c r="G282" s="1">
        <f t="shared" si="12"/>
        <v>5.9454857254040847E-19</v>
      </c>
      <c r="H282" s="1">
        <f>G282/$G$21</f>
        <v>4.1691801136146781E-20</v>
      </c>
      <c r="I282">
        <f>IF($E$11&lt;=D282, IF(D282&lt;=$A$15,D282-$E$11,$F$11),0)</f>
        <v>250</v>
      </c>
      <c r="J282">
        <f>IF(D282&lt;=$A$15,0,D282-$A$15)</f>
        <v>0</v>
      </c>
      <c r="K282" s="5">
        <f>IF(D282&lt;$E$11,H282,0)</f>
        <v>0</v>
      </c>
      <c r="L282">
        <f>IF(D282&lt;$A$15,$C$11,$C$11*(1-$G$11))</f>
        <v>500</v>
      </c>
      <c r="M282">
        <f>IF(D282&lt;$A$15,0,1)</f>
        <v>0</v>
      </c>
    </row>
    <row r="283" spans="4:13" x14ac:dyDescent="0.2">
      <c r="D283">
        <f t="shared" si="13"/>
        <v>260</v>
      </c>
      <c r="E283" s="1">
        <f>IF($G$11=1,IF(D283&lt;=$A$15, E282+LN($C$11)-LN(60/$D$11)-LN(MIN(D283,$E$11)), E282-LN(60/$D$11)-LN(MIN(D283,$E$11))), IF(D283&lt;=$A$15, E282+LN($C$11)-LN(60/$D$11)-LN(MIN(D283,$E$11)), E282+LN($C$11)+LN(1-$G$11)-LN(60/$D$11)-LN(MIN(D283,$E$11))))</f>
        <v>225.19891330783108</v>
      </c>
      <c r="F283" s="1">
        <f t="shared" si="14"/>
        <v>-41.127154846163791</v>
      </c>
      <c r="G283" s="1">
        <f t="shared" si="12"/>
        <v>1.3762698438435372E-18</v>
      </c>
      <c r="H283" s="1">
        <f>G283/$G$21</f>
        <v>9.650879892626563E-20</v>
      </c>
      <c r="I283">
        <f>IF($E$11&lt;=D283, IF(D283&lt;=$A$15,D283-$E$11,$F$11),0)</f>
        <v>251</v>
      </c>
      <c r="J283">
        <f>IF(D283&lt;=$A$15,0,D283-$A$15)</f>
        <v>0</v>
      </c>
      <c r="K283" s="5">
        <f>IF(D283&lt;$E$11,H283,0)</f>
        <v>0</v>
      </c>
      <c r="L283">
        <f>IF(D283&lt;$A$15,$C$11,$C$11*(1-$G$11))</f>
        <v>500</v>
      </c>
      <c r="M283">
        <f>IF(D283&lt;$A$15,0,1)</f>
        <v>0</v>
      </c>
    </row>
    <row r="284" spans="4:13" x14ac:dyDescent="0.2">
      <c r="D284">
        <f t="shared" si="13"/>
        <v>261</v>
      </c>
      <c r="E284" s="1">
        <f>IF($G$11=1,IF(D284&lt;=$A$15, E283+LN($C$11)-LN(60/$D$11)-LN(MIN(D284,$E$11)), E283-LN(60/$D$11)-LN(MIN(D284,$E$11))), IF(D284&lt;=$A$15, E283+LN($C$11)-LN(60/$D$11)-LN(MIN(D284,$E$11)), E283+LN($C$11)+LN(1-$G$11)-LN(60/$D$11)-LN(MIN(D284,$E$11))))</f>
        <v>226.0382429985691</v>
      </c>
      <c r="F284" s="1">
        <f t="shared" si="14"/>
        <v>-40.287825155425764</v>
      </c>
      <c r="G284" s="1">
        <f t="shared" si="12"/>
        <v>3.1858098237118897E-18</v>
      </c>
      <c r="H284" s="1">
        <f>G284/$G$21</f>
        <v>2.2339999751450363E-19</v>
      </c>
      <c r="I284">
        <f>IF($E$11&lt;=D284, IF(D284&lt;=$A$15,D284-$E$11,$F$11),0)</f>
        <v>252</v>
      </c>
      <c r="J284">
        <f>IF(D284&lt;=$A$15,0,D284-$A$15)</f>
        <v>0</v>
      </c>
      <c r="K284" s="5">
        <f>IF(D284&lt;$E$11,H284,0)</f>
        <v>0</v>
      </c>
      <c r="L284">
        <f>IF(D284&lt;$A$15,$C$11,$C$11*(1-$G$11))</f>
        <v>500</v>
      </c>
      <c r="M284">
        <f>IF(D284&lt;$A$15,0,1)</f>
        <v>0</v>
      </c>
    </row>
    <row r="285" spans="4:13" x14ac:dyDescent="0.2">
      <c r="D285">
        <f t="shared" si="13"/>
        <v>262</v>
      </c>
      <c r="E285" s="1">
        <f>IF($G$11=1,IF(D285&lt;=$A$15, E284+LN($C$11)-LN(60/$D$11)-LN(MIN(D285,$E$11)), E284-LN(60/$D$11)-LN(MIN(D285,$E$11))), IF(D285&lt;=$A$15, E284+LN($C$11)-LN(60/$D$11)-LN(MIN(D285,$E$11)), E284+LN($C$11)+LN(1-$G$11)-LN(60/$D$11)-LN(MIN(D285,$E$11))))</f>
        <v>226.87757268930713</v>
      </c>
      <c r="F285" s="1">
        <f t="shared" si="14"/>
        <v>-39.448495464687738</v>
      </c>
      <c r="G285" s="1">
        <f t="shared" si="12"/>
        <v>7.3745597771108506E-18</v>
      </c>
      <c r="H285" s="1">
        <f>G285/$G$21</f>
        <v>5.1712962387616548E-19</v>
      </c>
      <c r="I285">
        <f>IF($E$11&lt;=D285, IF(D285&lt;=$A$15,D285-$E$11,$F$11),0)</f>
        <v>253</v>
      </c>
      <c r="J285">
        <f>IF(D285&lt;=$A$15,0,D285-$A$15)</f>
        <v>0</v>
      </c>
      <c r="K285" s="5">
        <f>IF(D285&lt;$E$11,H285,0)</f>
        <v>0</v>
      </c>
      <c r="L285">
        <f>IF(D285&lt;$A$15,$C$11,$C$11*(1-$G$11))</f>
        <v>500</v>
      </c>
      <c r="M285">
        <f>IF(D285&lt;$A$15,0,1)</f>
        <v>0</v>
      </c>
    </row>
    <row r="286" spans="4:13" x14ac:dyDescent="0.2">
      <c r="D286">
        <f t="shared" si="13"/>
        <v>263</v>
      </c>
      <c r="E286" s="1">
        <f>IF($G$11=1,IF(D286&lt;=$A$15, E285+LN($C$11)-LN(60/$D$11)-LN(MIN(D286,$E$11)), E285-LN(60/$D$11)-LN(MIN(D286,$E$11))), IF(D286&lt;=$A$15, E285+LN($C$11)-LN(60/$D$11)-LN(MIN(D286,$E$11)), E285+LN($C$11)+LN(1-$G$11)-LN(60/$D$11)-LN(MIN(D286,$E$11))))</f>
        <v>227.71690238004516</v>
      </c>
      <c r="F286" s="1">
        <f t="shared" si="14"/>
        <v>-38.609165773949712</v>
      </c>
      <c r="G286" s="1">
        <f t="shared" si="12"/>
        <v>1.7070740224793626E-17</v>
      </c>
      <c r="H286" s="1">
        <f>G286/$G$21</f>
        <v>1.1970593145281601E-18</v>
      </c>
      <c r="I286">
        <f>IF($E$11&lt;=D286, IF(D286&lt;=$A$15,D286-$E$11,$F$11),0)</f>
        <v>254</v>
      </c>
      <c r="J286">
        <f>IF(D286&lt;=$A$15,0,D286-$A$15)</f>
        <v>0</v>
      </c>
      <c r="K286" s="5">
        <f>IF(D286&lt;$E$11,H286,0)</f>
        <v>0</v>
      </c>
      <c r="L286">
        <f>IF(D286&lt;$A$15,$C$11,$C$11*(1-$G$11))</f>
        <v>500</v>
      </c>
      <c r="M286">
        <f>IF(D286&lt;$A$15,0,1)</f>
        <v>0</v>
      </c>
    </row>
    <row r="287" spans="4:13" x14ac:dyDescent="0.2">
      <c r="D287">
        <f t="shared" si="13"/>
        <v>264</v>
      </c>
      <c r="E287" s="1">
        <f>IF($G$11=1,IF(D287&lt;=$A$15, E286+LN($C$11)-LN(60/$D$11)-LN(MIN(D287,$E$11)), E286-LN(60/$D$11)-LN(MIN(D287,$E$11))), IF(D287&lt;=$A$15, E286+LN($C$11)-LN(60/$D$11)-LN(MIN(D287,$E$11)), E286+LN($C$11)+LN(1-$G$11)-LN(60/$D$11)-LN(MIN(D287,$E$11))))</f>
        <v>228.55623207078318</v>
      </c>
      <c r="F287" s="1">
        <f t="shared" si="14"/>
        <v>-37.769836083211686</v>
      </c>
      <c r="G287" s="1">
        <f t="shared" si="12"/>
        <v>3.9515602372207438E-17</v>
      </c>
      <c r="H287" s="1">
        <f>G287/$G$21</f>
        <v>2.7709706354818502E-18</v>
      </c>
      <c r="I287">
        <f>IF($E$11&lt;=D287, IF(D287&lt;=$A$15,D287-$E$11,$F$11),0)</f>
        <v>255</v>
      </c>
      <c r="J287">
        <f>IF(D287&lt;=$A$15,0,D287-$A$15)</f>
        <v>0</v>
      </c>
      <c r="K287" s="5">
        <f>IF(D287&lt;$E$11,H287,0)</f>
        <v>0</v>
      </c>
      <c r="L287">
        <f>IF(D287&lt;$A$15,$C$11,$C$11*(1-$G$11))</f>
        <v>500</v>
      </c>
      <c r="M287">
        <f>IF(D287&lt;$A$15,0,1)</f>
        <v>0</v>
      </c>
    </row>
    <row r="288" spans="4:13" x14ac:dyDescent="0.2">
      <c r="D288">
        <f t="shared" si="13"/>
        <v>265</v>
      </c>
      <c r="E288" s="1">
        <f>IF($G$11=1,IF(D288&lt;=$A$15, E287+LN($C$11)-LN(60/$D$11)-LN(MIN(D288,$E$11)), E287-LN(60/$D$11)-LN(MIN(D288,$E$11))), IF(D288&lt;=$A$15, E287+LN($C$11)-LN(60/$D$11)-LN(MIN(D288,$E$11)), E287+LN($C$11)+LN(1-$G$11)-LN(60/$D$11)-LN(MIN(D288,$E$11))))</f>
        <v>229.39556176152121</v>
      </c>
      <c r="F288" s="1">
        <f t="shared" si="14"/>
        <v>-36.93050639247366</v>
      </c>
      <c r="G288" s="1">
        <f t="shared" si="12"/>
        <v>9.147130178751716E-17</v>
      </c>
      <c r="H288" s="1">
        <f>G288/$G$21</f>
        <v>6.4142838784302043E-18</v>
      </c>
      <c r="I288">
        <f>IF($E$11&lt;=D288, IF(D288&lt;=$A$15,D288-$E$11,$F$11),0)</f>
        <v>256</v>
      </c>
      <c r="J288">
        <f>IF(D288&lt;=$A$15,0,D288-$A$15)</f>
        <v>0</v>
      </c>
      <c r="K288" s="5">
        <f>IF(D288&lt;$E$11,H288,0)</f>
        <v>0</v>
      </c>
      <c r="L288">
        <f>IF(D288&lt;$A$15,$C$11,$C$11*(1-$G$11))</f>
        <v>500</v>
      </c>
      <c r="M288">
        <f>IF(D288&lt;$A$15,0,1)</f>
        <v>0</v>
      </c>
    </row>
    <row r="289" spans="4:13" x14ac:dyDescent="0.2">
      <c r="D289">
        <f t="shared" si="13"/>
        <v>266</v>
      </c>
      <c r="E289" s="1">
        <f>IF($G$11=1,IF(D289&lt;=$A$15, E288+LN($C$11)-LN(60/$D$11)-LN(MIN(D289,$E$11)), E288-LN(60/$D$11)-LN(MIN(D289,$E$11))), IF(D289&lt;=$A$15, E288+LN($C$11)-LN(60/$D$11)-LN(MIN(D289,$E$11)), E288+LN($C$11)+LN(1-$G$11)-LN(60/$D$11)-LN(MIN(D289,$E$11))))</f>
        <v>230.23489145225923</v>
      </c>
      <c r="F289" s="1">
        <f t="shared" si="14"/>
        <v>-36.091176701735634</v>
      </c>
      <c r="G289" s="1">
        <f t="shared" si="12"/>
        <v>2.1173912450814145E-16</v>
      </c>
      <c r="H289" s="1">
        <f>G289/$G$21</f>
        <v>1.4847879348218058E-17</v>
      </c>
      <c r="I289">
        <f>IF($E$11&lt;=D289, IF(D289&lt;=$A$15,D289-$E$11,$F$11),0)</f>
        <v>257</v>
      </c>
      <c r="J289">
        <f>IF(D289&lt;=$A$15,0,D289-$A$15)</f>
        <v>0</v>
      </c>
      <c r="K289" s="5">
        <f>IF(D289&lt;$E$11,H289,0)</f>
        <v>0</v>
      </c>
      <c r="L289">
        <f>IF(D289&lt;$A$15,$C$11,$C$11*(1-$G$11))</f>
        <v>500</v>
      </c>
      <c r="M289">
        <f>IF(D289&lt;$A$15,0,1)</f>
        <v>0</v>
      </c>
    </row>
    <row r="290" spans="4:13" x14ac:dyDescent="0.2">
      <c r="D290">
        <f t="shared" si="13"/>
        <v>267</v>
      </c>
      <c r="E290" s="1">
        <f>IF($G$11=1,IF(D290&lt;=$A$15, E289+LN($C$11)-LN(60/$D$11)-LN(MIN(D290,$E$11)), E289-LN(60/$D$11)-LN(MIN(D290,$E$11))), IF(D290&lt;=$A$15, E289+LN($C$11)-LN(60/$D$11)-LN(MIN(D290,$E$11)), E289+LN($C$11)+LN(1-$G$11)-LN(60/$D$11)-LN(MIN(D290,$E$11))))</f>
        <v>231.07422114299726</v>
      </c>
      <c r="F290" s="1">
        <f t="shared" si="14"/>
        <v>-35.251847010997608</v>
      </c>
      <c r="G290" s="1">
        <f t="shared" si="12"/>
        <v>4.9013686228736411E-16</v>
      </c>
      <c r="H290" s="1">
        <f>G290/$G$21</f>
        <v>3.4370091083838068E-17</v>
      </c>
      <c r="I290">
        <f>IF($E$11&lt;=D290, IF(D290&lt;=$A$15,D290-$E$11,$F$11),0)</f>
        <v>258</v>
      </c>
      <c r="J290">
        <f>IF(D290&lt;=$A$15,0,D290-$A$15)</f>
        <v>0</v>
      </c>
      <c r="K290" s="5">
        <f>IF(D290&lt;$E$11,H290,0)</f>
        <v>0</v>
      </c>
      <c r="L290">
        <f>IF(D290&lt;$A$15,$C$11,$C$11*(1-$G$11))</f>
        <v>500</v>
      </c>
      <c r="M290">
        <f>IF(D290&lt;$A$15,0,1)</f>
        <v>0</v>
      </c>
    </row>
    <row r="291" spans="4:13" x14ac:dyDescent="0.2">
      <c r="D291">
        <f t="shared" si="13"/>
        <v>268</v>
      </c>
      <c r="E291" s="1">
        <f>IF($G$11=1,IF(D291&lt;=$A$15, E290+LN($C$11)-LN(60/$D$11)-LN(MIN(D291,$E$11)), E290-LN(60/$D$11)-LN(MIN(D291,$E$11))), IF(D291&lt;=$A$15, E290+LN($C$11)-LN(60/$D$11)-LN(MIN(D291,$E$11)), E290+LN($C$11)+LN(1-$G$11)-LN(60/$D$11)-LN(MIN(D291,$E$11))))</f>
        <v>231.91355083373529</v>
      </c>
      <c r="F291" s="1">
        <f t="shared" si="14"/>
        <v>-34.412517320259582</v>
      </c>
      <c r="G291" s="1">
        <f t="shared" si="12"/>
        <v>1.1345760701096386E-15</v>
      </c>
      <c r="H291" s="1">
        <f>G291/$G$21</f>
        <v>7.9560396027402898E-17</v>
      </c>
      <c r="I291">
        <f>IF($E$11&lt;=D291, IF(D291&lt;=$A$15,D291-$E$11,$F$11),0)</f>
        <v>259</v>
      </c>
      <c r="J291">
        <f>IF(D291&lt;=$A$15,0,D291-$A$15)</f>
        <v>0</v>
      </c>
      <c r="K291" s="5">
        <f>IF(D291&lt;$E$11,H291,0)</f>
        <v>0</v>
      </c>
      <c r="L291">
        <f>IF(D291&lt;$A$15,$C$11,$C$11*(1-$G$11))</f>
        <v>500</v>
      </c>
      <c r="M291">
        <f>IF(D291&lt;$A$15,0,1)</f>
        <v>0</v>
      </c>
    </row>
    <row r="292" spans="4:13" x14ac:dyDescent="0.2">
      <c r="D292">
        <f t="shared" si="13"/>
        <v>269</v>
      </c>
      <c r="E292" s="1">
        <f>IF($G$11=1,IF(D292&lt;=$A$15, E291+LN($C$11)-LN(60/$D$11)-LN(MIN(D292,$E$11)), E291-LN(60/$D$11)-LN(MIN(D292,$E$11))), IF(D292&lt;=$A$15, E291+LN($C$11)-LN(60/$D$11)-LN(MIN(D292,$E$11)), E291+LN($C$11)+LN(1-$G$11)-LN(60/$D$11)-LN(MIN(D292,$E$11))))</f>
        <v>232.75288052447331</v>
      </c>
      <c r="F292" s="1">
        <f t="shared" si="14"/>
        <v>-33.573187629521556</v>
      </c>
      <c r="G292" s="1">
        <f t="shared" si="12"/>
        <v>2.6263334956241617E-15</v>
      </c>
      <c r="H292" s="1">
        <f>G292/$G$21</f>
        <v>1.8416758339676587E-16</v>
      </c>
      <c r="I292">
        <f>IF($E$11&lt;=D292, IF(D292&lt;=$A$15,D292-$E$11,$F$11),0)</f>
        <v>260</v>
      </c>
      <c r="J292">
        <f>IF(D292&lt;=$A$15,0,D292-$A$15)</f>
        <v>0</v>
      </c>
      <c r="K292" s="5">
        <f>IF(D292&lt;$E$11,H292,0)</f>
        <v>0</v>
      </c>
      <c r="L292">
        <f>IF(D292&lt;$A$15,$C$11,$C$11*(1-$G$11))</f>
        <v>500</v>
      </c>
      <c r="M292">
        <f>IF(D292&lt;$A$15,0,1)</f>
        <v>0</v>
      </c>
    </row>
    <row r="293" spans="4:13" x14ac:dyDescent="0.2">
      <c r="D293">
        <f t="shared" si="13"/>
        <v>270</v>
      </c>
      <c r="E293" s="1">
        <f>IF($G$11=1,IF(D293&lt;=$A$15, E292+LN($C$11)-LN(60/$D$11)-LN(MIN(D293,$E$11)), E292-LN(60/$D$11)-LN(MIN(D293,$E$11))), IF(D293&lt;=$A$15, E292+LN($C$11)-LN(60/$D$11)-LN(MIN(D293,$E$11)), E292+LN($C$11)+LN(1-$G$11)-LN(60/$D$11)-LN(MIN(D293,$E$11))))</f>
        <v>233.59221021521134</v>
      </c>
      <c r="F293" s="1">
        <f t="shared" si="14"/>
        <v>-32.73385793878353</v>
      </c>
      <c r="G293" s="1">
        <f t="shared" si="12"/>
        <v>6.079475684315185E-15</v>
      </c>
      <c r="H293" s="1">
        <f>G293/$G$21</f>
        <v>4.2631385045547622E-16</v>
      </c>
      <c r="I293">
        <f>IF($E$11&lt;=D293, IF(D293&lt;=$A$15,D293-$E$11,$F$11),0)</f>
        <v>261</v>
      </c>
      <c r="J293">
        <f>IF(D293&lt;=$A$15,0,D293-$A$15)</f>
        <v>0</v>
      </c>
      <c r="K293" s="5">
        <f>IF(D293&lt;$E$11,H293,0)</f>
        <v>0</v>
      </c>
      <c r="L293">
        <f>IF(D293&lt;$A$15,$C$11,$C$11*(1-$G$11))</f>
        <v>500</v>
      </c>
      <c r="M293">
        <f>IF(D293&lt;$A$15,0,1)</f>
        <v>0</v>
      </c>
    </row>
    <row r="294" spans="4:13" x14ac:dyDescent="0.2">
      <c r="D294">
        <f t="shared" si="13"/>
        <v>271</v>
      </c>
      <c r="E294" s="1">
        <f>IF($G$11=1,IF(D294&lt;=$A$15, E293+LN($C$11)-LN(60/$D$11)-LN(MIN(D294,$E$11)), E293-LN(60/$D$11)-LN(MIN(D294,$E$11))), IF(D294&lt;=$A$15, E293+LN($C$11)-LN(60/$D$11)-LN(MIN(D294,$E$11)), E293+LN($C$11)+LN(1-$G$11)-LN(60/$D$11)-LN(MIN(D294,$E$11))))</f>
        <v>234.43153990594936</v>
      </c>
      <c r="F294" s="1">
        <f t="shared" si="14"/>
        <v>-31.894528248045503</v>
      </c>
      <c r="G294" s="1">
        <f t="shared" si="12"/>
        <v>1.4072860380359215E-14</v>
      </c>
      <c r="H294" s="1">
        <f>G294/$G$21</f>
        <v>9.8683761679508328E-16</v>
      </c>
      <c r="I294">
        <f>IF($E$11&lt;=D294, IF(D294&lt;=$A$15,D294-$E$11,$F$11),0)</f>
        <v>262</v>
      </c>
      <c r="J294">
        <f>IF(D294&lt;=$A$15,0,D294-$A$15)</f>
        <v>0</v>
      </c>
      <c r="K294" s="5">
        <f>IF(D294&lt;$E$11,H294,0)</f>
        <v>0</v>
      </c>
      <c r="L294">
        <f>IF(D294&lt;$A$15,$C$11,$C$11*(1-$G$11))</f>
        <v>500</v>
      </c>
      <c r="M294">
        <f>IF(D294&lt;$A$15,0,1)</f>
        <v>0</v>
      </c>
    </row>
    <row r="295" spans="4:13" x14ac:dyDescent="0.2">
      <c r="D295">
        <f t="shared" si="13"/>
        <v>272</v>
      </c>
      <c r="E295" s="1">
        <f>IF($G$11=1,IF(D295&lt;=$A$15, E294+LN($C$11)-LN(60/$D$11)-LN(MIN(D295,$E$11)), E294-LN(60/$D$11)-LN(MIN(D295,$E$11))), IF(D295&lt;=$A$15, E294+LN($C$11)-LN(60/$D$11)-LN(MIN(D295,$E$11)), E294+LN($C$11)+LN(1-$G$11)-LN(60/$D$11)-LN(MIN(D295,$E$11))))</f>
        <v>235.27086959668739</v>
      </c>
      <c r="F295" s="1">
        <f t="shared" si="14"/>
        <v>-31.055198557307477</v>
      </c>
      <c r="G295" s="1">
        <f t="shared" si="12"/>
        <v>3.2576065695275938E-14</v>
      </c>
      <c r="H295" s="1">
        <f>G295/$G$21</f>
        <v>2.2843463351738022E-15</v>
      </c>
      <c r="I295">
        <f>IF($E$11&lt;=D295, IF(D295&lt;=$A$15,D295-$E$11,$F$11),0)</f>
        <v>263</v>
      </c>
      <c r="J295">
        <f>IF(D295&lt;=$A$15,0,D295-$A$15)</f>
        <v>0</v>
      </c>
      <c r="K295" s="5">
        <f>IF(D295&lt;$E$11,H295,0)</f>
        <v>0</v>
      </c>
      <c r="L295">
        <f>IF(D295&lt;$A$15,$C$11,$C$11*(1-$G$11))</f>
        <v>500</v>
      </c>
      <c r="M295">
        <f>IF(D295&lt;$A$15,0,1)</f>
        <v>0</v>
      </c>
    </row>
    <row r="296" spans="4:13" x14ac:dyDescent="0.2">
      <c r="D296">
        <f t="shared" si="13"/>
        <v>273</v>
      </c>
      <c r="E296" s="1">
        <f>IF($G$11=1,IF(D296&lt;=$A$15, E295+LN($C$11)-LN(60/$D$11)-LN(MIN(D296,$E$11)), E295-LN(60/$D$11)-LN(MIN(D296,$E$11))), IF(D296&lt;=$A$15, E295+LN($C$11)-LN(60/$D$11)-LN(MIN(D296,$E$11)), E295+LN($C$11)+LN(1-$G$11)-LN(60/$D$11)-LN(MIN(D296,$E$11))))</f>
        <v>236.11019928742542</v>
      </c>
      <c r="F296" s="1">
        <f t="shared" si="14"/>
        <v>-30.215868866569451</v>
      </c>
      <c r="G296" s="1">
        <f t="shared" si="12"/>
        <v>7.5407559479805367E-14</v>
      </c>
      <c r="H296" s="1">
        <f>G296/$G$21</f>
        <v>5.2878387388282424E-15</v>
      </c>
      <c r="I296">
        <f>IF($E$11&lt;=D296, IF(D296&lt;=$A$15,D296-$E$11,$F$11),0)</f>
        <v>264</v>
      </c>
      <c r="J296">
        <f>IF(D296&lt;=$A$15,0,D296-$A$15)</f>
        <v>0</v>
      </c>
      <c r="K296" s="5">
        <f>IF(D296&lt;$E$11,H296,0)</f>
        <v>0</v>
      </c>
      <c r="L296">
        <f>IF(D296&lt;$A$15,$C$11,$C$11*(1-$G$11))</f>
        <v>500</v>
      </c>
      <c r="M296">
        <f>IF(D296&lt;$A$15,0,1)</f>
        <v>0</v>
      </c>
    </row>
    <row r="297" spans="4:13" x14ac:dyDescent="0.2">
      <c r="D297">
        <f t="shared" si="13"/>
        <v>274</v>
      </c>
      <c r="E297" s="1">
        <f>IF($G$11=1,IF(D297&lt;=$A$15, E296+LN($C$11)-LN(60/$D$11)-LN(MIN(D297,$E$11)), E296-LN(60/$D$11)-LN(MIN(D297,$E$11))), IF(D297&lt;=$A$15, E296+LN($C$11)-LN(60/$D$11)-LN(MIN(D297,$E$11)), E296+LN($C$11)+LN(1-$G$11)-LN(60/$D$11)-LN(MIN(D297,$E$11))))</f>
        <v>236.94952897816344</v>
      </c>
      <c r="F297" s="1">
        <f t="shared" si="14"/>
        <v>-29.376539175831425</v>
      </c>
      <c r="G297" s="1">
        <f t="shared" si="12"/>
        <v>1.745545358328827E-13</v>
      </c>
      <c r="H297" s="1">
        <f>G297/$G$21</f>
        <v>1.2240367450991295E-14</v>
      </c>
      <c r="I297">
        <f>IF($E$11&lt;=D297, IF(D297&lt;=$A$15,D297-$E$11,$F$11),0)</f>
        <v>265</v>
      </c>
      <c r="J297">
        <f>IF(D297&lt;=$A$15,0,D297-$A$15)</f>
        <v>0</v>
      </c>
      <c r="K297" s="5">
        <f>IF(D297&lt;$E$11,H297,0)</f>
        <v>0</v>
      </c>
      <c r="L297">
        <f>IF(D297&lt;$A$15,$C$11,$C$11*(1-$G$11))</f>
        <v>500</v>
      </c>
      <c r="M297">
        <f>IF(D297&lt;$A$15,0,1)</f>
        <v>0</v>
      </c>
    </row>
    <row r="298" spans="4:13" x14ac:dyDescent="0.2">
      <c r="D298">
        <f t="shared" si="13"/>
        <v>275</v>
      </c>
      <c r="E298" s="1">
        <f>IF($G$11=1,IF(D298&lt;=$A$15, E297+LN($C$11)-LN(60/$D$11)-LN(MIN(D298,$E$11)), E297-LN(60/$D$11)-LN(MIN(D298,$E$11))), IF(D298&lt;=$A$15, E297+LN($C$11)-LN(60/$D$11)-LN(MIN(D298,$E$11)), E297+LN($C$11)+LN(1-$G$11)-LN(60/$D$11)-LN(MIN(D298,$E$11))))</f>
        <v>237.78885866890147</v>
      </c>
      <c r="F298" s="1">
        <f t="shared" si="14"/>
        <v>-28.537209485093399</v>
      </c>
      <c r="G298" s="1">
        <f t="shared" si="12"/>
        <v>4.0406142553908004E-13</v>
      </c>
      <c r="H298" s="1">
        <f>G298/$G$21</f>
        <v>2.8334183914331683E-14</v>
      </c>
      <c r="I298">
        <f>IF($E$11&lt;=D298, IF(D298&lt;=$A$15,D298-$E$11,$F$11),0)</f>
        <v>266</v>
      </c>
      <c r="J298">
        <f>IF(D298&lt;=$A$15,0,D298-$A$15)</f>
        <v>0</v>
      </c>
      <c r="K298" s="5">
        <f>IF(D298&lt;$E$11,H298,0)</f>
        <v>0</v>
      </c>
      <c r="L298">
        <f>IF(D298&lt;$A$15,$C$11,$C$11*(1-$G$11))</f>
        <v>500</v>
      </c>
      <c r="M298">
        <f>IF(D298&lt;$A$15,0,1)</f>
        <v>0</v>
      </c>
    </row>
    <row r="299" spans="4:13" x14ac:dyDescent="0.2">
      <c r="D299">
        <f t="shared" si="13"/>
        <v>276</v>
      </c>
      <c r="E299" s="1">
        <f>IF($G$11=1,IF(D299&lt;=$A$15, E298+LN($C$11)-LN(60/$D$11)-LN(MIN(D299,$E$11)), E298-LN(60/$D$11)-LN(MIN(D299,$E$11))), IF(D299&lt;=$A$15, E298+LN($C$11)-LN(60/$D$11)-LN(MIN(D299,$E$11)), E298+LN($C$11)+LN(1-$G$11)-LN(60/$D$11)-LN(MIN(D299,$E$11))))</f>
        <v>238.62818835963949</v>
      </c>
      <c r="F299" s="1">
        <f t="shared" si="14"/>
        <v>-27.697879794355373</v>
      </c>
      <c r="G299" s="1">
        <f t="shared" si="12"/>
        <v>9.3532737393305506E-13</v>
      </c>
      <c r="H299" s="1">
        <f>G299/$G$21</f>
        <v>6.5588388690582557E-14</v>
      </c>
      <c r="I299">
        <f>IF($E$11&lt;=D299, IF(D299&lt;=$A$15,D299-$E$11,$F$11),0)</f>
        <v>267</v>
      </c>
      <c r="J299">
        <f>IF(D299&lt;=$A$15,0,D299-$A$15)</f>
        <v>0</v>
      </c>
      <c r="K299" s="5">
        <f>IF(D299&lt;$E$11,H299,0)</f>
        <v>0</v>
      </c>
      <c r="L299">
        <f>IF(D299&lt;$A$15,$C$11,$C$11*(1-$G$11))</f>
        <v>500</v>
      </c>
      <c r="M299">
        <f>IF(D299&lt;$A$15,0,1)</f>
        <v>0</v>
      </c>
    </row>
    <row r="300" spans="4:13" x14ac:dyDescent="0.2">
      <c r="D300">
        <f t="shared" si="13"/>
        <v>277</v>
      </c>
      <c r="E300" s="1">
        <f>IF($G$11=1,IF(D300&lt;=$A$15, E299+LN($C$11)-LN(60/$D$11)-LN(MIN(D300,$E$11)), E299-LN(60/$D$11)-LN(MIN(D300,$E$11))), IF(D300&lt;=$A$15, E299+LN($C$11)-LN(60/$D$11)-LN(MIN(D300,$E$11)), E299+LN($C$11)+LN(1-$G$11)-LN(60/$D$11)-LN(MIN(D300,$E$11))))</f>
        <v>239.46751805037752</v>
      </c>
      <c r="F300" s="1">
        <f t="shared" si="14"/>
        <v>-26.858550103617347</v>
      </c>
      <c r="G300" s="1">
        <f t="shared" si="12"/>
        <v>2.1651096618820707E-12</v>
      </c>
      <c r="H300" s="1">
        <f>G300/$G$21</f>
        <v>1.5182497382079287E-13</v>
      </c>
      <c r="I300">
        <f>IF($E$11&lt;=D300, IF(D300&lt;=$A$15,D300-$E$11,$F$11),0)</f>
        <v>268</v>
      </c>
      <c r="J300">
        <f>IF(D300&lt;=$A$15,0,D300-$A$15)</f>
        <v>0</v>
      </c>
      <c r="K300" s="5">
        <f>IF(D300&lt;$E$11,H300,0)</f>
        <v>0</v>
      </c>
      <c r="L300">
        <f>IF(D300&lt;$A$15,$C$11,$C$11*(1-$G$11))</f>
        <v>500</v>
      </c>
      <c r="M300">
        <f>IF(D300&lt;$A$15,0,1)</f>
        <v>0</v>
      </c>
    </row>
    <row r="301" spans="4:13" x14ac:dyDescent="0.2">
      <c r="D301">
        <f t="shared" si="13"/>
        <v>278</v>
      </c>
      <c r="E301" s="1">
        <f>IF($G$11=1,IF(D301&lt;=$A$15, E300+LN($C$11)-LN(60/$D$11)-LN(MIN(D301,$E$11)), E300-LN(60/$D$11)-LN(MIN(D301,$E$11))), IF(D301&lt;=$A$15, E300+LN($C$11)-LN(60/$D$11)-LN(MIN(D301,$E$11)), E300+LN($C$11)+LN(1-$G$11)-LN(60/$D$11)-LN(MIN(D301,$E$11))))</f>
        <v>240.30684774111555</v>
      </c>
      <c r="F301" s="1">
        <f t="shared" si="14"/>
        <v>-26.019220412879321</v>
      </c>
      <c r="G301" s="1">
        <f t="shared" si="12"/>
        <v>5.0118279210233083E-12</v>
      </c>
      <c r="H301" s="1">
        <f>G301/$G$21</f>
        <v>3.5144669865924251E-13</v>
      </c>
      <c r="I301">
        <f>IF($E$11&lt;=D301, IF(D301&lt;=$A$15,D301-$E$11,$F$11),0)</f>
        <v>269</v>
      </c>
      <c r="J301">
        <f>IF(D301&lt;=$A$15,0,D301-$A$15)</f>
        <v>0</v>
      </c>
      <c r="K301" s="5">
        <f>IF(D301&lt;$E$11,H301,0)</f>
        <v>0</v>
      </c>
      <c r="L301">
        <f>IF(D301&lt;$A$15,$C$11,$C$11*(1-$G$11))</f>
        <v>500</v>
      </c>
      <c r="M301">
        <f>IF(D301&lt;$A$15,0,1)</f>
        <v>0</v>
      </c>
    </row>
    <row r="302" spans="4:13" x14ac:dyDescent="0.2">
      <c r="D302">
        <f t="shared" si="13"/>
        <v>279</v>
      </c>
      <c r="E302" s="1">
        <f>IF($G$11=1,IF(D302&lt;=$A$15, E301+LN($C$11)-LN(60/$D$11)-LN(MIN(D302,$E$11)), E301-LN(60/$D$11)-LN(MIN(D302,$E$11))), IF(D302&lt;=$A$15, E301+LN($C$11)-LN(60/$D$11)-LN(MIN(D302,$E$11)), E301+LN($C$11)+LN(1-$G$11)-LN(60/$D$11)-LN(MIN(D302,$E$11))))</f>
        <v>241.14617743185357</v>
      </c>
      <c r="F302" s="1">
        <f t="shared" si="14"/>
        <v>-25.179890722141295</v>
      </c>
      <c r="G302" s="1">
        <f t="shared" si="12"/>
        <v>1.1601453520887279E-11</v>
      </c>
      <c r="H302" s="1">
        <f>G302/$G$21</f>
        <v>8.1353402467417189E-13</v>
      </c>
      <c r="I302">
        <f>IF($E$11&lt;=D302, IF(D302&lt;=$A$15,D302-$E$11,$F$11),0)</f>
        <v>270</v>
      </c>
      <c r="J302">
        <f>IF(D302&lt;=$A$15,0,D302-$A$15)</f>
        <v>0</v>
      </c>
      <c r="K302" s="5">
        <f>IF(D302&lt;$E$11,H302,0)</f>
        <v>0</v>
      </c>
      <c r="L302">
        <f>IF(D302&lt;$A$15,$C$11,$C$11*(1-$G$11))</f>
        <v>500</v>
      </c>
      <c r="M302">
        <f>IF(D302&lt;$A$15,0,1)</f>
        <v>0</v>
      </c>
    </row>
    <row r="303" spans="4:13" x14ac:dyDescent="0.2">
      <c r="D303">
        <f t="shared" si="13"/>
        <v>280</v>
      </c>
      <c r="E303" s="1">
        <f>IF($G$11=1,IF(D303&lt;=$A$15, E302+LN($C$11)-LN(60/$D$11)-LN(MIN(D303,$E$11)), E302-LN(60/$D$11)-LN(MIN(D303,$E$11))), IF(D303&lt;=$A$15, E302+LN($C$11)-LN(60/$D$11)-LN(MIN(D303,$E$11)), E302+LN($C$11)+LN(1-$G$11)-LN(60/$D$11)-LN(MIN(D303,$E$11))))</f>
        <v>241.9855071225916</v>
      </c>
      <c r="F303" s="1">
        <f t="shared" si="14"/>
        <v>-24.340561031403269</v>
      </c>
      <c r="G303" s="1">
        <f t="shared" si="12"/>
        <v>2.6855216483535354E-11</v>
      </c>
      <c r="H303" s="1">
        <f>G303/$G$21</f>
        <v>1.8831806126716933E-12</v>
      </c>
      <c r="I303">
        <f>IF($E$11&lt;=D303, IF(D303&lt;=$A$15,D303-$E$11,$F$11),0)</f>
        <v>271</v>
      </c>
      <c r="J303">
        <f>IF(D303&lt;=$A$15,0,D303-$A$15)</f>
        <v>0</v>
      </c>
      <c r="K303" s="5">
        <f>IF(D303&lt;$E$11,H303,0)</f>
        <v>0</v>
      </c>
      <c r="L303">
        <f>IF(D303&lt;$A$15,$C$11,$C$11*(1-$G$11))</f>
        <v>500</v>
      </c>
      <c r="M303">
        <f>IF(D303&lt;$A$15,0,1)</f>
        <v>0</v>
      </c>
    </row>
    <row r="304" spans="4:13" x14ac:dyDescent="0.2">
      <c r="D304">
        <f t="shared" si="13"/>
        <v>281</v>
      </c>
      <c r="E304" s="1">
        <f>IF($G$11=1,IF(D304&lt;=$A$15, E303+LN($C$11)-LN(60/$D$11)-LN(MIN(D304,$E$11)), E303-LN(60/$D$11)-LN(MIN(D304,$E$11))), IF(D304&lt;=$A$15, E303+LN($C$11)-LN(60/$D$11)-LN(MIN(D304,$E$11)), E303+LN($C$11)+LN(1-$G$11)-LN(60/$D$11)-LN(MIN(D304,$E$11))))</f>
        <v>242.82483681332963</v>
      </c>
      <c r="F304" s="1">
        <f t="shared" si="14"/>
        <v>-23.501231340665242</v>
      </c>
      <c r="G304" s="1">
        <f t="shared" si="12"/>
        <v>6.2164852971146608E-11</v>
      </c>
      <c r="H304" s="1">
        <f>G304/$G$21</f>
        <v>4.3592143811844721E-12</v>
      </c>
      <c r="I304">
        <f>IF($E$11&lt;=D304, IF(D304&lt;=$A$15,D304-$E$11,$F$11),0)</f>
        <v>272</v>
      </c>
      <c r="J304">
        <f>IF(D304&lt;=$A$15,0,D304-$A$15)</f>
        <v>0</v>
      </c>
      <c r="K304" s="5">
        <f>IF(D304&lt;$E$11,H304,0)</f>
        <v>0</v>
      </c>
      <c r="L304">
        <f>IF(D304&lt;$A$15,$C$11,$C$11*(1-$G$11))</f>
        <v>500</v>
      </c>
      <c r="M304">
        <f>IF(D304&lt;$A$15,0,1)</f>
        <v>0</v>
      </c>
    </row>
    <row r="305" spans="4:13" x14ac:dyDescent="0.2">
      <c r="D305">
        <f t="shared" si="13"/>
        <v>282</v>
      </c>
      <c r="E305" s="1">
        <f>IF($G$11=1,IF(D305&lt;=$A$15, E304+LN($C$11)-LN(60/$D$11)-LN(MIN(D305,$E$11)), E304-LN(60/$D$11)-LN(MIN(D305,$E$11))), IF(D305&lt;=$A$15, E304+LN($C$11)-LN(60/$D$11)-LN(MIN(D305,$E$11)), E304+LN($C$11)+LN(1-$G$11)-LN(60/$D$11)-LN(MIN(D305,$E$11))))</f>
        <v>243.66416650406765</v>
      </c>
      <c r="F305" s="1">
        <f t="shared" si="14"/>
        <v>-22.661901649927216</v>
      </c>
      <c r="G305" s="1">
        <f t="shared" si="12"/>
        <v>1.4390012261839484E-10</v>
      </c>
      <c r="H305" s="1">
        <f>G305/$G$21</f>
        <v>1.0090774030519604E-11</v>
      </c>
      <c r="I305">
        <f>IF($E$11&lt;=D305, IF(D305&lt;=$A$15,D305-$E$11,$F$11),0)</f>
        <v>273</v>
      </c>
      <c r="J305">
        <f>IF(D305&lt;=$A$15,0,D305-$A$15)</f>
        <v>0</v>
      </c>
      <c r="K305" s="5">
        <f>IF(D305&lt;$E$11,H305,0)</f>
        <v>0</v>
      </c>
      <c r="L305">
        <f>IF(D305&lt;$A$15,$C$11,$C$11*(1-$G$11))</f>
        <v>500</v>
      </c>
      <c r="M305">
        <f>IF(D305&lt;$A$15,0,1)</f>
        <v>0</v>
      </c>
    </row>
    <row r="306" spans="4:13" x14ac:dyDescent="0.2">
      <c r="D306">
        <f t="shared" si="13"/>
        <v>283</v>
      </c>
      <c r="E306" s="1">
        <f>IF($G$11=1,IF(D306&lt;=$A$15, E305+LN($C$11)-LN(60/$D$11)-LN(MIN(D306,$E$11)), E305-LN(60/$D$11)-LN(MIN(D306,$E$11))), IF(D306&lt;=$A$15, E305+LN($C$11)-LN(60/$D$11)-LN(MIN(D306,$E$11)), E305+LN($C$11)+LN(1-$G$11)-LN(60/$D$11)-LN(MIN(D306,$E$11))))</f>
        <v>244.50349619480568</v>
      </c>
      <c r="F306" s="1">
        <f t="shared" si="14"/>
        <v>-21.82257195918919</v>
      </c>
      <c r="G306" s="1">
        <f t="shared" si="12"/>
        <v>3.331021356907286E-10</v>
      </c>
      <c r="H306" s="1">
        <f>G306/$G$21</f>
        <v>2.3358273218795368E-11</v>
      </c>
      <c r="I306">
        <f>IF($E$11&lt;=D306, IF(D306&lt;=$A$15,D306-$E$11,$F$11),0)</f>
        <v>274</v>
      </c>
      <c r="J306">
        <f>IF(D306&lt;=$A$15,0,D306-$A$15)</f>
        <v>0</v>
      </c>
      <c r="K306" s="5">
        <f>IF(D306&lt;$E$11,H306,0)</f>
        <v>0</v>
      </c>
      <c r="L306">
        <f>IF(D306&lt;$A$15,$C$11,$C$11*(1-$G$11))</f>
        <v>500</v>
      </c>
      <c r="M306">
        <f>IF(D306&lt;$A$15,0,1)</f>
        <v>0</v>
      </c>
    </row>
    <row r="307" spans="4:13" x14ac:dyDescent="0.2">
      <c r="D307">
        <f t="shared" si="13"/>
        <v>284</v>
      </c>
      <c r="E307" s="1">
        <f>IF($G$11=1,IF(D307&lt;=$A$15, E306+LN($C$11)-LN(60/$D$11)-LN(MIN(D307,$E$11)), E306-LN(60/$D$11)-LN(MIN(D307,$E$11))), IF(D307&lt;=$A$15, E306+LN($C$11)-LN(60/$D$11)-LN(MIN(D307,$E$11)), E306+LN($C$11)+LN(1-$G$11)-LN(60/$D$11)-LN(MIN(D307,$E$11))))</f>
        <v>245.3428258855437</v>
      </c>
      <c r="F307" s="1">
        <f t="shared" si="14"/>
        <v>-20.983242268451164</v>
      </c>
      <c r="G307" s="1">
        <f t="shared" si="12"/>
        <v>7.710697585433527E-10</v>
      </c>
      <c r="H307" s="1">
        <f>G307/$G$21</f>
        <v>5.407007689535961E-11</v>
      </c>
      <c r="I307">
        <f>IF($E$11&lt;=D307, IF(D307&lt;=$A$15,D307-$E$11,$F$11),0)</f>
        <v>275</v>
      </c>
      <c r="J307">
        <f>IF(D307&lt;=$A$15,0,D307-$A$15)</f>
        <v>0</v>
      </c>
      <c r="K307" s="5">
        <f>IF(D307&lt;$E$11,H307,0)</f>
        <v>0</v>
      </c>
      <c r="L307">
        <f>IF(D307&lt;$A$15,$C$11,$C$11*(1-$G$11))</f>
        <v>500</v>
      </c>
      <c r="M307">
        <f>IF(D307&lt;$A$15,0,1)</f>
        <v>0</v>
      </c>
    </row>
    <row r="308" spans="4:13" x14ac:dyDescent="0.2">
      <c r="D308">
        <f t="shared" si="13"/>
        <v>285</v>
      </c>
      <c r="E308" s="1">
        <f>IF($G$11=1,IF(D308&lt;=$A$15, E307+LN($C$11)-LN(60/$D$11)-LN(MIN(D308,$E$11)), E307-LN(60/$D$11)-LN(MIN(D308,$E$11))), IF(D308&lt;=$A$15, E307+LN($C$11)-LN(60/$D$11)-LN(MIN(D308,$E$11)), E307+LN($C$11)+LN(1-$G$11)-LN(60/$D$11)-LN(MIN(D308,$E$11))))</f>
        <v>246.18215557628173</v>
      </c>
      <c r="F308" s="1">
        <f t="shared" si="14"/>
        <v>-20.143912577713138</v>
      </c>
      <c r="G308" s="1">
        <f t="shared" si="12"/>
        <v>1.7848837003318339E-9</v>
      </c>
      <c r="H308" s="1">
        <f>G308/$G$21</f>
        <v>1.2516221503555458E-10</v>
      </c>
      <c r="I308">
        <f>IF($E$11&lt;=D308, IF(D308&lt;=$A$15,D308-$E$11,$F$11),0)</f>
        <v>276</v>
      </c>
      <c r="J308">
        <f>IF(D308&lt;=$A$15,0,D308-$A$15)</f>
        <v>0</v>
      </c>
      <c r="K308" s="5">
        <f>IF(D308&lt;$E$11,H308,0)</f>
        <v>0</v>
      </c>
      <c r="L308">
        <f>IF(D308&lt;$A$15,$C$11,$C$11*(1-$G$11))</f>
        <v>500</v>
      </c>
      <c r="M308">
        <f>IF(D308&lt;$A$15,0,1)</f>
        <v>0</v>
      </c>
    </row>
    <row r="309" spans="4:13" x14ac:dyDescent="0.2">
      <c r="D309">
        <f t="shared" si="13"/>
        <v>286</v>
      </c>
      <c r="E309" s="1">
        <f>IF($G$11=1,IF(D309&lt;=$A$15, E308+LN($C$11)-LN(60/$D$11)-LN(MIN(D309,$E$11)), E308-LN(60/$D$11)-LN(MIN(D309,$E$11))), IF(D309&lt;=$A$15, E308+LN($C$11)-LN(60/$D$11)-LN(MIN(D309,$E$11)), E308+LN($C$11)+LN(1-$G$11)-LN(60/$D$11)-LN(MIN(D309,$E$11))))</f>
        <v>247.02148526701976</v>
      </c>
      <c r="F309" s="1">
        <f t="shared" si="14"/>
        <v>-19.304582886975112</v>
      </c>
      <c r="G309" s="1">
        <f t="shared" si="12"/>
        <v>4.1316752322496132E-9</v>
      </c>
      <c r="H309" s="1">
        <f>G309/$G$21</f>
        <v>2.8972734961933911E-10</v>
      </c>
      <c r="I309">
        <f>IF($E$11&lt;=D309, IF(D309&lt;=$A$15,D309-$E$11,$F$11),0)</f>
        <v>277</v>
      </c>
      <c r="J309">
        <f>IF(D309&lt;=$A$15,0,D309-$A$15)</f>
        <v>0</v>
      </c>
      <c r="K309" s="5">
        <f>IF(D309&lt;$E$11,H309,0)</f>
        <v>0</v>
      </c>
      <c r="L309">
        <f>IF(D309&lt;$A$15,$C$11,$C$11*(1-$G$11))</f>
        <v>500</v>
      </c>
      <c r="M309">
        <f>IF(D309&lt;$A$15,0,1)</f>
        <v>0</v>
      </c>
    </row>
    <row r="310" spans="4:13" x14ac:dyDescent="0.2">
      <c r="D310">
        <f t="shared" si="13"/>
        <v>287</v>
      </c>
      <c r="E310" s="1">
        <f>IF($G$11=1,IF(D310&lt;=$A$15, E309+LN($C$11)-LN(60/$D$11)-LN(MIN(D310,$E$11)), E309-LN(60/$D$11)-LN(MIN(D310,$E$11))), IF(D310&lt;=$A$15, E309+LN($C$11)-LN(60/$D$11)-LN(MIN(D310,$E$11)), E309+LN($C$11)+LN(1-$G$11)-LN(60/$D$11)-LN(MIN(D310,$E$11))))</f>
        <v>247.86081495775778</v>
      </c>
      <c r="F310" s="1">
        <f t="shared" si="14"/>
        <v>-18.465253196237086</v>
      </c>
      <c r="G310" s="1">
        <f t="shared" si="12"/>
        <v>9.564063037614838E-9</v>
      </c>
      <c r="H310" s="1">
        <f>G310/$G$21</f>
        <v>6.7066516115587713E-10</v>
      </c>
      <c r="I310">
        <f>IF($E$11&lt;=D310, IF(D310&lt;=$A$15,D310-$E$11,$F$11),0)</f>
        <v>278</v>
      </c>
      <c r="J310">
        <f>IF(D310&lt;=$A$15,0,D310-$A$15)</f>
        <v>0</v>
      </c>
      <c r="K310" s="5">
        <f>IF(D310&lt;$E$11,H310,0)</f>
        <v>0</v>
      </c>
      <c r="L310">
        <f>IF(D310&lt;$A$15,$C$11,$C$11*(1-$G$11))</f>
        <v>500</v>
      </c>
      <c r="M310">
        <f>IF(D310&lt;$A$15,0,1)</f>
        <v>0</v>
      </c>
    </row>
    <row r="311" spans="4:13" x14ac:dyDescent="0.2">
      <c r="D311">
        <f t="shared" si="13"/>
        <v>288</v>
      </c>
      <c r="E311" s="1">
        <f>IF($G$11=1,IF(D311&lt;=$A$15, E310+LN($C$11)-LN(60/$D$11)-LN(MIN(D311,$E$11)), E310-LN(60/$D$11)-LN(MIN(D311,$E$11))), IF(D311&lt;=$A$15, E310+LN($C$11)-LN(60/$D$11)-LN(MIN(D311,$E$11)), E310+LN($C$11)+LN(1-$G$11)-LN(60/$D$11)-LN(MIN(D311,$E$11))))</f>
        <v>248.70014464849581</v>
      </c>
      <c r="F311" s="1">
        <f t="shared" si="14"/>
        <v>-17.62592350549906</v>
      </c>
      <c r="G311" s="1">
        <f t="shared" si="12"/>
        <v>2.2139034809293594E-8</v>
      </c>
      <c r="H311" s="1">
        <f>G311/$G$21</f>
        <v>1.5524656508237887E-9</v>
      </c>
      <c r="I311">
        <f>IF($E$11&lt;=D311, IF(D311&lt;=$A$15,D311-$E$11,$F$11),0)</f>
        <v>279</v>
      </c>
      <c r="J311">
        <f>IF(D311&lt;=$A$15,0,D311-$A$15)</f>
        <v>0</v>
      </c>
      <c r="K311" s="5">
        <f>IF(D311&lt;$E$11,H311,0)</f>
        <v>0</v>
      </c>
      <c r="L311">
        <f>IF(D311&lt;$A$15,$C$11,$C$11*(1-$G$11))</f>
        <v>500</v>
      </c>
      <c r="M311">
        <f>IF(D311&lt;$A$15,0,1)</f>
        <v>0</v>
      </c>
    </row>
    <row r="312" spans="4:13" x14ac:dyDescent="0.2">
      <c r="D312">
        <f t="shared" si="13"/>
        <v>289</v>
      </c>
      <c r="E312" s="1">
        <f>IF($G$11=1,IF(D312&lt;=$A$15, E311+LN($C$11)-LN(60/$D$11)-LN(MIN(D312,$E$11)), E311-LN(60/$D$11)-LN(MIN(D312,$E$11))), IF(D312&lt;=$A$15, E311+LN($C$11)-LN(60/$D$11)-LN(MIN(D312,$E$11)), E311+LN($C$11)+LN(1-$G$11)-LN(60/$D$11)-LN(MIN(D312,$E$11))))</f>
        <v>249.53947433923383</v>
      </c>
      <c r="F312" s="1">
        <f t="shared" si="14"/>
        <v>-16.786593814761034</v>
      </c>
      <c r="G312" s="1">
        <f t="shared" si="12"/>
        <v>5.1247765762253656E-8</v>
      </c>
      <c r="H312" s="1">
        <f>G312/$G$21</f>
        <v>3.5936704880180272E-9</v>
      </c>
      <c r="I312">
        <f>IF($E$11&lt;=D312, IF(D312&lt;=$A$15,D312-$E$11,$F$11),0)</f>
        <v>280</v>
      </c>
      <c r="J312">
        <f>IF(D312&lt;=$A$15,0,D312-$A$15)</f>
        <v>0</v>
      </c>
      <c r="K312" s="5">
        <f>IF(D312&lt;$E$11,H312,0)</f>
        <v>0</v>
      </c>
      <c r="L312">
        <f>IF(D312&lt;$A$15,$C$11,$C$11*(1-$G$11))</f>
        <v>500</v>
      </c>
      <c r="M312">
        <f>IF(D312&lt;$A$15,0,1)</f>
        <v>0</v>
      </c>
    </row>
    <row r="313" spans="4:13" x14ac:dyDescent="0.2">
      <c r="D313">
        <f t="shared" si="13"/>
        <v>290</v>
      </c>
      <c r="E313" s="1">
        <f>IF($G$11=1,IF(D313&lt;=$A$15, E312+LN($C$11)-LN(60/$D$11)-LN(MIN(D313,$E$11)), E312-LN(60/$D$11)-LN(MIN(D313,$E$11))), IF(D313&lt;=$A$15, E312+LN($C$11)-LN(60/$D$11)-LN(MIN(D313,$E$11)), E312+LN($C$11)+LN(1-$G$11)-LN(60/$D$11)-LN(MIN(D313,$E$11))))</f>
        <v>250.37880402997186</v>
      </c>
      <c r="F313" s="1">
        <f t="shared" si="14"/>
        <v>-15.947264124023008</v>
      </c>
      <c r="G313" s="1">
        <f t="shared" si="12"/>
        <v>1.1862908741262413E-7</v>
      </c>
      <c r="H313" s="1">
        <f>G313/$G$21</f>
        <v>8.3186816852269093E-9</v>
      </c>
      <c r="I313">
        <f>IF($E$11&lt;=D313, IF(D313&lt;=$A$15,D313-$E$11,$F$11),0)</f>
        <v>281</v>
      </c>
      <c r="J313">
        <f>IF(D313&lt;=$A$15,0,D313-$A$15)</f>
        <v>0</v>
      </c>
      <c r="K313" s="5">
        <f>IF(D313&lt;$E$11,H313,0)</f>
        <v>0</v>
      </c>
      <c r="L313">
        <f>IF(D313&lt;$A$15,$C$11,$C$11*(1-$G$11))</f>
        <v>500</v>
      </c>
      <c r="M313">
        <f>IF(D313&lt;$A$15,0,1)</f>
        <v>0</v>
      </c>
    </row>
    <row r="314" spans="4:13" x14ac:dyDescent="0.2">
      <c r="D314">
        <f t="shared" si="13"/>
        <v>291</v>
      </c>
      <c r="E314" s="1">
        <f>IF($G$11=1,IF(D314&lt;=$A$15, E313+LN($C$11)-LN(60/$D$11)-LN(MIN(D314,$E$11)), E313-LN(60/$D$11)-LN(MIN(D314,$E$11))), IF(D314&lt;=$A$15, E313+LN($C$11)-LN(60/$D$11)-LN(MIN(D314,$E$11)), E313+LN($C$11)+LN(1-$G$11)-LN(60/$D$11)-LN(MIN(D314,$E$11))))</f>
        <v>251.21813372070989</v>
      </c>
      <c r="F314" s="1">
        <f t="shared" si="14"/>
        <v>-15.107934433284981</v>
      </c>
      <c r="G314" s="1">
        <f t="shared" si="12"/>
        <v>2.746043690107038E-7</v>
      </c>
      <c r="H314" s="1">
        <f>G314/$G$21</f>
        <v>1.9256207604691905E-8</v>
      </c>
      <c r="I314">
        <f>IF($E$11&lt;=D314, IF(D314&lt;=$A$15,D314-$E$11,$F$11),0)</f>
        <v>282</v>
      </c>
      <c r="J314">
        <f>IF(D314&lt;=$A$15,0,D314-$A$15)</f>
        <v>0</v>
      </c>
      <c r="K314" s="5">
        <f>IF(D314&lt;$E$11,H314,0)</f>
        <v>0</v>
      </c>
      <c r="L314">
        <f>IF(D314&lt;$A$15,$C$11,$C$11*(1-$G$11))</f>
        <v>500</v>
      </c>
      <c r="M314">
        <f>IF(D314&lt;$A$15,0,1)</f>
        <v>0</v>
      </c>
    </row>
    <row r="315" spans="4:13" x14ac:dyDescent="0.2">
      <c r="D315">
        <f t="shared" si="13"/>
        <v>292</v>
      </c>
      <c r="E315" s="1">
        <f>IF($G$11=1,IF(D315&lt;=$A$15, E314+LN($C$11)-LN(60/$D$11)-LN(MIN(D315,$E$11)), E314-LN(60/$D$11)-LN(MIN(D315,$E$11))), IF(D315&lt;=$A$15, E314+LN($C$11)-LN(60/$D$11)-LN(MIN(D315,$E$11)), E314+LN($C$11)+LN(1-$G$11)-LN(60/$D$11)-LN(MIN(D315,$E$11))))</f>
        <v>252.05746341144794</v>
      </c>
      <c r="F315" s="1">
        <f t="shared" si="14"/>
        <v>-14.268604742546927</v>
      </c>
      <c r="G315" s="1">
        <f t="shared" si="12"/>
        <v>6.3565826159886914E-7</v>
      </c>
      <c r="H315" s="1">
        <f>G315/$G$21</f>
        <v>4.4574554640491769E-8</v>
      </c>
      <c r="I315">
        <f>IF($E$11&lt;=D315, IF(D315&lt;=$A$15,D315-$E$11,$F$11),0)</f>
        <v>283</v>
      </c>
      <c r="J315">
        <f>IF(D315&lt;=$A$15,0,D315-$A$15)</f>
        <v>0</v>
      </c>
      <c r="K315" s="5">
        <f>IF(D315&lt;$E$11,H315,0)</f>
        <v>0</v>
      </c>
      <c r="L315">
        <f>IF(D315&lt;$A$15,$C$11,$C$11*(1-$G$11))</f>
        <v>500</v>
      </c>
      <c r="M315">
        <f>IF(D315&lt;$A$15,0,1)</f>
        <v>0</v>
      </c>
    </row>
    <row r="316" spans="4:13" x14ac:dyDescent="0.2">
      <c r="D316">
        <f t="shared" si="13"/>
        <v>293</v>
      </c>
      <c r="E316" s="1">
        <f>IF($G$11=1,IF(D316&lt;=$A$15, E315+LN($C$11)-LN(60/$D$11)-LN(MIN(D316,$E$11)), E315-LN(60/$D$11)-LN(MIN(D316,$E$11))), IF(D316&lt;=$A$15, E315+LN($C$11)-LN(60/$D$11)-LN(MIN(D316,$E$11)), E315+LN($C$11)+LN(1-$G$11)-LN(60/$D$11)-LN(MIN(D316,$E$11))))</f>
        <v>252.896793102186</v>
      </c>
      <c r="F316" s="1">
        <f t="shared" si="14"/>
        <v>-13.429275051808872</v>
      </c>
      <c r="G316" s="1">
        <f t="shared" si="12"/>
        <v>1.4714311611085342E-6</v>
      </c>
      <c r="H316" s="1">
        <f>G316/$G$21</f>
        <v>1.0318183944558565E-7</v>
      </c>
      <c r="I316">
        <f>IF($E$11&lt;=D316, IF(D316&lt;=$A$15,D316-$E$11,$F$11),0)</f>
        <v>284</v>
      </c>
      <c r="J316">
        <f>IF(D316&lt;=$A$15,0,D316-$A$15)</f>
        <v>0</v>
      </c>
      <c r="K316" s="5">
        <f>IF(D316&lt;$E$11,H316,0)</f>
        <v>0</v>
      </c>
      <c r="L316">
        <f>IF(D316&lt;$A$15,$C$11,$C$11*(1-$G$11))</f>
        <v>500</v>
      </c>
      <c r="M316">
        <f>IF(D316&lt;$A$15,0,1)</f>
        <v>0</v>
      </c>
    </row>
    <row r="317" spans="4:13" x14ac:dyDescent="0.2">
      <c r="D317">
        <f t="shared" si="13"/>
        <v>294</v>
      </c>
      <c r="E317" s="1">
        <f>IF($G$11=1,IF(D317&lt;=$A$15, E316+LN($C$11)-LN(60/$D$11)-LN(MIN(D317,$E$11)), E316-LN(60/$D$11)-LN(MIN(D317,$E$11))), IF(D317&lt;=$A$15, E316+LN($C$11)-LN(60/$D$11)-LN(MIN(D317,$E$11)), E316+LN($C$11)+LN(1-$G$11)-LN(60/$D$11)-LN(MIN(D317,$E$11))))</f>
        <v>253.73612279292405</v>
      </c>
      <c r="F317" s="1">
        <f t="shared" si="14"/>
        <v>-12.589945361070818</v>
      </c>
      <c r="G317" s="1">
        <f t="shared" si="12"/>
        <v>3.406090650714294E-6</v>
      </c>
      <c r="H317" s="1">
        <f>G317/$G$21</f>
        <v>2.3884685056849194E-7</v>
      </c>
      <c r="I317">
        <f>IF($E$11&lt;=D317, IF(D317&lt;=$A$15,D317-$E$11,$F$11),0)</f>
        <v>285</v>
      </c>
      <c r="J317">
        <f>IF(D317&lt;=$A$15,0,D317-$A$15)</f>
        <v>0</v>
      </c>
      <c r="K317" s="5">
        <f>IF(D317&lt;$E$11,H317,0)</f>
        <v>0</v>
      </c>
      <c r="L317">
        <f>IF(D317&lt;$A$15,$C$11,$C$11*(1-$G$11))</f>
        <v>500</v>
      </c>
      <c r="M317">
        <f>IF(D317&lt;$A$15,0,1)</f>
        <v>0</v>
      </c>
    </row>
    <row r="318" spans="4:13" x14ac:dyDescent="0.2">
      <c r="D318">
        <f t="shared" si="13"/>
        <v>295</v>
      </c>
      <c r="E318" s="1">
        <f>IF($G$11=1,IF(D318&lt;=$A$15, E317+LN($C$11)-LN(60/$D$11)-LN(MIN(D318,$E$11)), E317-LN(60/$D$11)-LN(MIN(D318,$E$11))), IF(D318&lt;=$A$15, E317+LN($C$11)-LN(60/$D$11)-LN(MIN(D318,$E$11)), E317+LN($C$11)+LN(1-$G$11)-LN(60/$D$11)-LN(MIN(D318,$E$11))))</f>
        <v>254.5754524836621</v>
      </c>
      <c r="F318" s="1">
        <f t="shared" si="14"/>
        <v>-11.750615670332763</v>
      </c>
      <c r="G318" s="1">
        <f t="shared" si="12"/>
        <v>7.8844690988758998E-6</v>
      </c>
      <c r="H318" s="1">
        <f>G318/$G$21</f>
        <v>5.5288622816782078E-7</v>
      </c>
      <c r="I318">
        <f>IF($E$11&lt;=D318, IF(D318&lt;=$A$15,D318-$E$11,$F$11),0)</f>
        <v>286</v>
      </c>
      <c r="J318">
        <f>IF(D318&lt;=$A$15,0,D318-$A$15)</f>
        <v>0</v>
      </c>
      <c r="K318" s="5">
        <f>IF(D318&lt;$E$11,H318,0)</f>
        <v>0</v>
      </c>
      <c r="L318">
        <f>IF(D318&lt;$A$15,$C$11,$C$11*(1-$G$11))</f>
        <v>500</v>
      </c>
      <c r="M318">
        <f>IF(D318&lt;$A$15,0,1)</f>
        <v>0</v>
      </c>
    </row>
    <row r="319" spans="4:13" x14ac:dyDescent="0.2">
      <c r="D319">
        <f t="shared" si="13"/>
        <v>296</v>
      </c>
      <c r="E319" s="1">
        <f>IF($G$11=1,IF(D319&lt;=$A$15, E318+LN($C$11)-LN(60/$D$11)-LN(MIN(D319,$E$11)), E318-LN(60/$D$11)-LN(MIN(D319,$E$11))), IF(D319&lt;=$A$15, E318+LN($C$11)-LN(60/$D$11)-LN(MIN(D319,$E$11)), E318+LN($C$11)+LN(1-$G$11)-LN(60/$D$11)-LN(MIN(D319,$E$11))))</f>
        <v>255.41478217440016</v>
      </c>
      <c r="F319" s="1">
        <f t="shared" si="14"/>
        <v>-10.911285979594709</v>
      </c>
      <c r="G319" s="1">
        <f t="shared" si="12"/>
        <v>1.8251085877028052E-5</v>
      </c>
      <c r="H319" s="1">
        <f>G319/$G$21</f>
        <v>1.279829231869991E-6</v>
      </c>
      <c r="I319">
        <f>IF($E$11&lt;=D319, IF(D319&lt;=$A$15,D319-$E$11,$F$11),0)</f>
        <v>287</v>
      </c>
      <c r="J319">
        <f>IF(D319&lt;=$A$15,0,D319-$A$15)</f>
        <v>0</v>
      </c>
      <c r="K319" s="5">
        <f>IF(D319&lt;$E$11,H319,0)</f>
        <v>0</v>
      </c>
      <c r="L319">
        <f>IF(D319&lt;$A$15,$C$11,$C$11*(1-$G$11))</f>
        <v>500</v>
      </c>
      <c r="M319">
        <f>IF(D319&lt;$A$15,0,1)</f>
        <v>0</v>
      </c>
    </row>
    <row r="320" spans="4:13" x14ac:dyDescent="0.2">
      <c r="D320">
        <f t="shared" si="13"/>
        <v>297</v>
      </c>
      <c r="E320" s="1">
        <f>IF($G$11=1,IF(D320&lt;=$A$15, E319+LN($C$11)-LN(60/$D$11)-LN(MIN(D320,$E$11)), E319-LN(60/$D$11)-LN(MIN(D320,$E$11))), IF(D320&lt;=$A$15, E319+LN($C$11)-LN(60/$D$11)-LN(MIN(D320,$E$11)), E319+LN($C$11)+LN(1-$G$11)-LN(60/$D$11)-LN(MIN(D320,$E$11))))</f>
        <v>256.25411186513821</v>
      </c>
      <c r="F320" s="1">
        <f t="shared" si="14"/>
        <v>-10.071956288856654</v>
      </c>
      <c r="G320" s="1">
        <f t="shared" si="12"/>
        <v>4.2247883974603149E-5</v>
      </c>
      <c r="H320" s="1">
        <f>G320/$G$21</f>
        <v>2.9625676663658027E-6</v>
      </c>
      <c r="I320">
        <f>IF($E$11&lt;=D320, IF(D320&lt;=$A$15,D320-$E$11,$F$11),0)</f>
        <v>288</v>
      </c>
      <c r="J320">
        <f>IF(D320&lt;=$A$15,0,D320-$A$15)</f>
        <v>0</v>
      </c>
      <c r="K320" s="5">
        <f>IF(D320&lt;$E$11,H320,0)</f>
        <v>0</v>
      </c>
      <c r="L320">
        <f>IF(D320&lt;$A$15,$C$11,$C$11*(1-$G$11))</f>
        <v>500</v>
      </c>
      <c r="M320">
        <f>IF(D320&lt;$A$15,0,1)</f>
        <v>0</v>
      </c>
    </row>
    <row r="321" spans="4:13" x14ac:dyDescent="0.2">
      <c r="D321">
        <f t="shared" si="13"/>
        <v>298</v>
      </c>
      <c r="E321" s="1">
        <f>IF($G$11=1,IF(D321&lt;=$A$15, E320+LN($C$11)-LN(60/$D$11)-LN(MIN(D321,$E$11)), E320-LN(60/$D$11)-LN(MIN(D321,$E$11))), IF(D321&lt;=$A$15, E320+LN($C$11)-LN(60/$D$11)-LN(MIN(D321,$E$11)), E320+LN($C$11)+LN(1-$G$11)-LN(60/$D$11)-LN(MIN(D321,$E$11))))</f>
        <v>257.09344155587627</v>
      </c>
      <c r="F321" s="1">
        <f t="shared" si="14"/>
        <v>-9.2326265981185998</v>
      </c>
      <c r="G321" s="1">
        <f t="shared" si="12"/>
        <v>9.7796027718991487E-5</v>
      </c>
      <c r="H321" s="1">
        <f>G321/$G$21</f>
        <v>6.8577955239951034E-6</v>
      </c>
      <c r="I321">
        <f>IF($E$11&lt;=D321, IF(D321&lt;=$A$15,D321-$E$11,$F$11),0)</f>
        <v>289</v>
      </c>
      <c r="J321">
        <f>IF(D321&lt;=$A$15,0,D321-$A$15)</f>
        <v>0</v>
      </c>
      <c r="K321" s="5">
        <f>IF(D321&lt;$E$11,H321,0)</f>
        <v>0</v>
      </c>
      <c r="L321">
        <f>IF(D321&lt;$A$15,$C$11,$C$11*(1-$G$11))</f>
        <v>500</v>
      </c>
      <c r="M321">
        <f>IF(D321&lt;$A$15,0,1)</f>
        <v>0</v>
      </c>
    </row>
    <row r="322" spans="4:13" x14ac:dyDescent="0.2">
      <c r="D322">
        <f t="shared" si="13"/>
        <v>299</v>
      </c>
      <c r="E322" s="1">
        <f>IF($G$11=1,IF(D322&lt;=$A$15, E321+LN($C$11)-LN(60/$D$11)-LN(MIN(D322,$E$11)), E321-LN(60/$D$11)-LN(MIN(D322,$E$11))), IF(D322&lt;=$A$15, E321+LN($C$11)-LN(60/$D$11)-LN(MIN(D322,$E$11)), E321+LN($C$11)+LN(1-$G$11)-LN(60/$D$11)-LN(MIN(D322,$E$11))))</f>
        <v>257.93277124661432</v>
      </c>
      <c r="F322" s="1">
        <f t="shared" si="14"/>
        <v>-8.3932969073805452</v>
      </c>
      <c r="G322" s="1">
        <f t="shared" si="12"/>
        <v>2.2637969379396807E-4</v>
      </c>
      <c r="H322" s="1">
        <f>G322/$G$21</f>
        <v>1.5874526675915032E-5</v>
      </c>
      <c r="I322">
        <f>IF($E$11&lt;=D322, IF(D322&lt;=$A$15,D322-$E$11,$F$11),0)</f>
        <v>290</v>
      </c>
      <c r="J322">
        <f>IF(D322&lt;=$A$15,0,D322-$A$15)</f>
        <v>0</v>
      </c>
      <c r="K322" s="5">
        <f>IF(D322&lt;$E$11,H322,0)</f>
        <v>0</v>
      </c>
      <c r="L322">
        <f>IF(D322&lt;$A$15,$C$11,$C$11*(1-$G$11))</f>
        <v>500</v>
      </c>
      <c r="M322">
        <f>IF(D322&lt;$A$15,0,1)</f>
        <v>0</v>
      </c>
    </row>
    <row r="323" spans="4:13" x14ac:dyDescent="0.2">
      <c r="D323">
        <f t="shared" si="13"/>
        <v>300</v>
      </c>
      <c r="E323" s="1">
        <f>IF($G$11=1,IF(D323&lt;=$A$15, E322+LN($C$11)-LN(60/$D$11)-LN(MIN(D323,$E$11)), E322-LN(60/$D$11)-LN(MIN(D323,$E$11))), IF(D323&lt;=$A$15, E322+LN($C$11)-LN(60/$D$11)-LN(MIN(D323,$E$11)), E322+LN($C$11)+LN(1-$G$11)-LN(60/$D$11)-LN(MIN(D323,$E$11))))</f>
        <v>258.77210093735238</v>
      </c>
      <c r="F323" s="1">
        <f t="shared" si="14"/>
        <v>-7.5539672166424907</v>
      </c>
      <c r="G323" s="1">
        <f t="shared" si="12"/>
        <v>5.2402706896753322E-4</v>
      </c>
      <c r="H323" s="1">
        <f>G323/$G$21</f>
        <v>3.6746589527582116E-5</v>
      </c>
      <c r="I323">
        <f>IF($E$11&lt;=D323, IF(D323&lt;=$A$15,D323-$E$11,$F$11),0)</f>
        <v>291</v>
      </c>
      <c r="J323">
        <f>IF(D323&lt;=$A$15,0,D323-$A$15)</f>
        <v>0</v>
      </c>
      <c r="K323" s="5">
        <f>IF(D323&lt;$E$11,H323,0)</f>
        <v>0</v>
      </c>
      <c r="L323">
        <f>IF(D323&lt;$A$15,$C$11,$C$11*(1-$G$11))</f>
        <v>500</v>
      </c>
      <c r="M323">
        <f>IF(D323&lt;$A$15,0,1)</f>
        <v>0</v>
      </c>
    </row>
    <row r="324" spans="4:13" x14ac:dyDescent="0.2">
      <c r="D324">
        <f t="shared" si="13"/>
        <v>301</v>
      </c>
      <c r="E324" s="1">
        <f t="shared" ref="E324:F387" si="15">IF($G$11=1,IF(D324&lt;=$A$15, E323+LN($C$11)-LN(60/$D$11)-LN(MIN(D324,$E$11)), E323-LN(60/$D$11)-LN(MIN(D324,$E$11))), IF(D324&lt;=$A$15, E323+LN($C$11)-LN(60/$D$11)-LN(MIN(D324,$E$11)), E323+LN($C$11)+LN(1-$G$11)-LN(60/$D$11)-LN(MIN(D324,$E$11))))</f>
        <v>259.61143062809043</v>
      </c>
      <c r="F324" s="1">
        <f t="shared" si="14"/>
        <v>-6.7146375259044362</v>
      </c>
      <c r="G324" s="1">
        <f t="shared" si="12"/>
        <v>1.2130256226100644E-3</v>
      </c>
      <c r="H324" s="1">
        <f>G324/$G$21</f>
        <v>8.5061549832368374E-5</v>
      </c>
      <c r="I324">
        <f>IF($E$11&lt;=D324, IF(D324&lt;=$A$15,D324-$E$11,$F$11),0)</f>
        <v>292</v>
      </c>
      <c r="J324">
        <f>IF(D324&lt;=$A$15,0,D324-$A$15)</f>
        <v>0</v>
      </c>
      <c r="K324" s="5">
        <f>IF(D324&lt;$E$11,H324,0)</f>
        <v>0</v>
      </c>
      <c r="L324">
        <f>IF(D324&lt;$A$15,$C$11,$C$11*(1-$G$11))</f>
        <v>500</v>
      </c>
      <c r="M324">
        <f>IF(D324&lt;$A$15,0,1)</f>
        <v>0</v>
      </c>
    </row>
    <row r="325" spans="4:13" x14ac:dyDescent="0.2">
      <c r="D325">
        <f t="shared" si="13"/>
        <v>302</v>
      </c>
      <c r="E325" s="1">
        <f t="shared" si="15"/>
        <v>260.45076031882849</v>
      </c>
      <c r="F325" s="1">
        <f t="shared" si="14"/>
        <v>-5.8753078351663817</v>
      </c>
      <c r="G325" s="1">
        <f t="shared" si="12"/>
        <v>2.8079296819678193E-3</v>
      </c>
      <c r="H325" s="1">
        <f>G325/$G$21</f>
        <v>1.9690173572308039E-4</v>
      </c>
      <c r="I325">
        <f>IF($E$11&lt;=D325, IF(D325&lt;=$A$15,D325-$E$11,$F$11),0)</f>
        <v>293</v>
      </c>
      <c r="J325">
        <f>IF(D325&lt;=$A$15,0,D325-$A$15)</f>
        <v>0</v>
      </c>
      <c r="K325" s="5">
        <f>IF(D325&lt;$E$11,H325,0)</f>
        <v>0</v>
      </c>
      <c r="L325">
        <f>IF(D325&lt;$A$15,$C$11,$C$11*(1-$G$11))</f>
        <v>500</v>
      </c>
      <c r="M325">
        <f>IF(D325&lt;$A$15,0,1)</f>
        <v>0</v>
      </c>
    </row>
    <row r="326" spans="4:13" x14ac:dyDescent="0.2">
      <c r="D326">
        <f t="shared" si="13"/>
        <v>303</v>
      </c>
      <c r="E326" s="1">
        <f t="shared" si="15"/>
        <v>261.29009000956654</v>
      </c>
      <c r="F326" s="1">
        <f t="shared" si="14"/>
        <v>-5.0359781444283271</v>
      </c>
      <c r="G326" s="1">
        <f t="shared" si="12"/>
        <v>6.4998372267775408E-3</v>
      </c>
      <c r="H326" s="1">
        <f>G326/$G$21</f>
        <v>4.5579105491455065E-4</v>
      </c>
      <c r="I326">
        <f>IF($E$11&lt;=D326, IF(D326&lt;=$A$15,D326-$E$11,$F$11),0)</f>
        <v>294</v>
      </c>
      <c r="J326">
        <f>IF(D326&lt;=$A$15,0,D326-$A$15)</f>
        <v>0</v>
      </c>
      <c r="K326" s="5">
        <f>IF(D326&lt;$E$11,H326,0)</f>
        <v>0</v>
      </c>
      <c r="L326">
        <f>IF(D326&lt;$A$15,$C$11,$C$11*(1-$G$11))</f>
        <v>500</v>
      </c>
      <c r="M326">
        <f>IF(D326&lt;$A$15,0,1)</f>
        <v>0</v>
      </c>
    </row>
    <row r="327" spans="4:13" x14ac:dyDescent="0.2">
      <c r="D327">
        <f t="shared" si="13"/>
        <v>304</v>
      </c>
      <c r="E327" s="1">
        <f t="shared" si="15"/>
        <v>262.1294197003046</v>
      </c>
      <c r="F327" s="1">
        <f t="shared" si="14"/>
        <v>-4.1966484536902726</v>
      </c>
      <c r="G327" s="1">
        <f t="shared" si="12"/>
        <v>1.504591950642991E-2</v>
      </c>
      <c r="H327" s="1">
        <f>G327/$G$21</f>
        <v>1.0550718863763038E-3</v>
      </c>
      <c r="I327">
        <f>IF($E$11&lt;=D327, IF(D327&lt;=$A$15,D327-$E$11,$F$11),0)</f>
        <v>295</v>
      </c>
      <c r="J327">
        <f>IF(D327&lt;=$A$15,0,D327-$A$15)</f>
        <v>0</v>
      </c>
      <c r="K327" s="5">
        <f>IF(D327&lt;$E$11,H327,0)</f>
        <v>0</v>
      </c>
      <c r="L327">
        <f>IF(D327&lt;$A$15,$C$11,$C$11*(1-$G$11))</f>
        <v>500</v>
      </c>
      <c r="M327">
        <f>IF(D327&lt;$A$15,0,1)</f>
        <v>0</v>
      </c>
    </row>
    <row r="328" spans="4:13" x14ac:dyDescent="0.2">
      <c r="D328">
        <f t="shared" si="13"/>
        <v>305</v>
      </c>
      <c r="E328" s="1">
        <f t="shared" si="15"/>
        <v>262.96874939104265</v>
      </c>
      <c r="F328" s="1">
        <f t="shared" si="14"/>
        <v>-3.3573187629522181</v>
      </c>
      <c r="G328" s="1">
        <f t="shared" si="12"/>
        <v>3.4828517375996126E-2</v>
      </c>
      <c r="H328" s="1">
        <f>G328/$G$21</f>
        <v>2.4422960332785488E-3</v>
      </c>
      <c r="I328">
        <f>IF($E$11&lt;=D328, IF(D328&lt;=$A$15,D328-$E$11,$F$11),0)</f>
        <v>296</v>
      </c>
      <c r="J328">
        <f>IF(D328&lt;=$A$15,0,D328-$A$15)</f>
        <v>0</v>
      </c>
      <c r="K328" s="5">
        <f>IF(D328&lt;$E$11,H328,0)</f>
        <v>0</v>
      </c>
      <c r="L328">
        <f>IF(D328&lt;$A$15,$C$11,$C$11*(1-$G$11))</f>
        <v>500</v>
      </c>
      <c r="M328">
        <f>IF(D328&lt;$A$15,0,1)</f>
        <v>0</v>
      </c>
    </row>
    <row r="329" spans="4:13" x14ac:dyDescent="0.2">
      <c r="D329">
        <f t="shared" si="13"/>
        <v>306</v>
      </c>
      <c r="E329" s="1">
        <f t="shared" si="15"/>
        <v>263.8080790817807</v>
      </c>
      <c r="F329" s="1">
        <f t="shared" si="14"/>
        <v>-2.5179890722141636</v>
      </c>
      <c r="G329" s="1">
        <f t="shared" si="12"/>
        <v>8.0621567999993274E-2</v>
      </c>
      <c r="H329" s="1">
        <f>G329/$G$21</f>
        <v>5.6534630399967985E-3</v>
      </c>
      <c r="I329">
        <f>IF($E$11&lt;=D329, IF(D329&lt;=$A$15,D329-$E$11,$F$11),0)</f>
        <v>297</v>
      </c>
      <c r="J329">
        <f>IF(D329&lt;=$A$15,0,D329-$A$15)</f>
        <v>0</v>
      </c>
      <c r="K329" s="5">
        <f>IF(D329&lt;$E$11,H329,0)</f>
        <v>0</v>
      </c>
      <c r="L329">
        <f>IF(D329&lt;$A$15,$C$11,$C$11*(1-$G$11))</f>
        <v>500</v>
      </c>
      <c r="M329">
        <f>IF(D329&lt;$A$15,0,1)</f>
        <v>0</v>
      </c>
    </row>
    <row r="330" spans="4:13" x14ac:dyDescent="0.2">
      <c r="D330">
        <f t="shared" si="13"/>
        <v>307</v>
      </c>
      <c r="E330" s="1">
        <f t="shared" si="15"/>
        <v>264.64740877251876</v>
      </c>
      <c r="F330" s="1">
        <f t="shared" si="14"/>
        <v>-1.678659381476109</v>
      </c>
      <c r="G330" s="1">
        <f t="shared" si="12"/>
        <v>0.18662399999998963</v>
      </c>
      <c r="H330" s="1">
        <f>G330/$G$21</f>
        <v>1.3086719999992953E-2</v>
      </c>
      <c r="I330">
        <f>IF($E$11&lt;=D330, IF(D330&lt;=$A$15,D330-$E$11,$F$11),0)</f>
        <v>298</v>
      </c>
      <c r="J330">
        <f>IF(D330&lt;=$A$15,0,D330-$A$15)</f>
        <v>0</v>
      </c>
      <c r="K330" s="5">
        <f>IF(D330&lt;$E$11,H330,0)</f>
        <v>0</v>
      </c>
      <c r="L330">
        <f>IF(D330&lt;$A$15,$C$11,$C$11*(1-$G$11))</f>
        <v>500</v>
      </c>
      <c r="M330">
        <f>IF(D330&lt;$A$15,0,1)</f>
        <v>0</v>
      </c>
    </row>
    <row r="331" spans="4:13" x14ac:dyDescent="0.2">
      <c r="D331">
        <f t="shared" si="13"/>
        <v>308</v>
      </c>
      <c r="E331" s="1">
        <f t="shared" si="15"/>
        <v>265.48673846325681</v>
      </c>
      <c r="F331" s="1">
        <f t="shared" si="14"/>
        <v>-0.83932969073805452</v>
      </c>
      <c r="G331" s="1">
        <f t="shared" si="12"/>
        <v>0.431999999999988</v>
      </c>
      <c r="H331" s="1">
        <f>G331/$G$21</f>
        <v>3.0293333333317862E-2</v>
      </c>
      <c r="I331">
        <f>IF($E$11&lt;=D331, IF(D331&lt;=$A$15,D331-$E$11,$F$11),0)</f>
        <v>299</v>
      </c>
      <c r="J331">
        <f>IF(D331&lt;=$A$15,0,D331-$A$15)</f>
        <v>0</v>
      </c>
      <c r="K331" s="5">
        <f>IF(D331&lt;$E$11,H331,0)</f>
        <v>0</v>
      </c>
      <c r="L331">
        <f>IF(D331&lt;$A$15,$C$11,$C$11*(1-$G$11))</f>
        <v>500</v>
      </c>
      <c r="M331">
        <f>IF(D331&lt;$A$15,0,1)</f>
        <v>0</v>
      </c>
    </row>
    <row r="332" spans="4:13" x14ac:dyDescent="0.2">
      <c r="D332">
        <f t="shared" si="13"/>
        <v>309</v>
      </c>
      <c r="E332" s="1">
        <f t="shared" si="15"/>
        <v>266.32606815399487</v>
      </c>
      <c r="F332" s="1">
        <f t="shared" si="14"/>
        <v>0</v>
      </c>
      <c r="G332" s="1">
        <f t="shared" si="12"/>
        <v>1</v>
      </c>
      <c r="H332" s="1">
        <f>G332/$G$21</f>
        <v>7.0123456790089592E-2</v>
      </c>
      <c r="I332">
        <f>IF($E$11&lt;=D332, IF(D332&lt;=$A$15,D332-$E$11,$F$11),0)</f>
        <v>300</v>
      </c>
      <c r="J332">
        <f>IF(D332&lt;=$A$15,0,D332-$A$15)</f>
        <v>0</v>
      </c>
      <c r="K332" s="5">
        <f>IF(D332&lt;$E$11,H332,0)</f>
        <v>0</v>
      </c>
      <c r="L332">
        <f>IF(D332&lt;$A$15,$C$11,$C$11*(1-$G$11))</f>
        <v>200</v>
      </c>
      <c r="M332">
        <f>IF(D332&lt;$A$15,0,1)</f>
        <v>1</v>
      </c>
    </row>
    <row r="333" spans="4:13" x14ac:dyDescent="0.2">
      <c r="D333">
        <f t="shared" si="13"/>
        <v>310</v>
      </c>
      <c r="E333" s="1">
        <f t="shared" si="15"/>
        <v>266.24910711285878</v>
      </c>
      <c r="F333" s="1">
        <f t="shared" si="14"/>
        <v>-7.696104113608726E-2</v>
      </c>
      <c r="G333" s="1">
        <f t="shared" si="12"/>
        <v>0.9259259259259639</v>
      </c>
      <c r="H333" s="1">
        <f>G333/$G$21</f>
        <v>6.4929126657493022E-2</v>
      </c>
      <c r="I333">
        <f>IF($E$11&lt;=D333, IF(D333&lt;=$A$15,D333-$E$11,$F$11),0)</f>
        <v>300</v>
      </c>
      <c r="J333">
        <f>IF(D333&lt;=$A$15,0,D333-$A$15)</f>
        <v>1</v>
      </c>
      <c r="K333" s="5">
        <f>IF(D333&lt;$E$11,H333,0)</f>
        <v>0</v>
      </c>
      <c r="L333">
        <f>IF(D333&lt;$A$15,$C$11,$C$11*(1-$G$11))</f>
        <v>200</v>
      </c>
      <c r="M333">
        <f>IF(D333&lt;$A$15,0,1)</f>
        <v>1</v>
      </c>
    </row>
    <row r="334" spans="4:13" x14ac:dyDescent="0.2">
      <c r="D334">
        <f t="shared" si="13"/>
        <v>311</v>
      </c>
      <c r="E334" s="1">
        <f t="shared" si="15"/>
        <v>266.17214607172269</v>
      </c>
      <c r="F334" s="1">
        <f t="shared" si="14"/>
        <v>-0.15392208227217452</v>
      </c>
      <c r="G334" s="1">
        <f t="shared" si="12"/>
        <v>0.85733882030185371</v>
      </c>
      <c r="H334" s="1">
        <f>G334/$G$21</f>
        <v>6.0119561719903424E-2</v>
      </c>
      <c r="I334">
        <f>IF($E$11&lt;=D334, IF(D334&lt;=$A$15,D334-$E$11,$F$11),0)</f>
        <v>300</v>
      </c>
      <c r="J334">
        <f>IF(D334&lt;=$A$15,0,D334-$A$15)</f>
        <v>2</v>
      </c>
      <c r="K334" s="5">
        <f>IF(D334&lt;$E$11,H334,0)</f>
        <v>0</v>
      </c>
      <c r="L334">
        <f>IF(D334&lt;$A$15,$C$11,$C$11*(1-$G$11))</f>
        <v>200</v>
      </c>
      <c r="M334">
        <f>IF(D334&lt;$A$15,0,1)</f>
        <v>1</v>
      </c>
    </row>
    <row r="335" spans="4:13" x14ac:dyDescent="0.2">
      <c r="D335">
        <f t="shared" si="13"/>
        <v>312</v>
      </c>
      <c r="E335" s="1">
        <f t="shared" si="15"/>
        <v>266.09518503058661</v>
      </c>
      <c r="F335" s="1">
        <f t="shared" si="14"/>
        <v>-0.23088312340826178</v>
      </c>
      <c r="G335" s="1">
        <f t="shared" si="12"/>
        <v>0.7938322410202675</v>
      </c>
      <c r="H335" s="1">
        <f>G335/$G$21</f>
        <v>5.5666260851764716E-2</v>
      </c>
      <c r="I335">
        <f>IF($E$11&lt;=D335, IF(D335&lt;=$A$15,D335-$E$11,$F$11),0)</f>
        <v>300</v>
      </c>
      <c r="J335">
        <f>IF(D335&lt;=$A$15,0,D335-$A$15)</f>
        <v>3</v>
      </c>
      <c r="K335" s="5">
        <f>IF(D335&lt;$E$11,H335,0)</f>
        <v>0</v>
      </c>
      <c r="L335">
        <f>IF(D335&lt;$A$15,$C$11,$C$11*(1-$G$11))</f>
        <v>200</v>
      </c>
      <c r="M335">
        <f>IF(D335&lt;$A$15,0,1)</f>
        <v>1</v>
      </c>
    </row>
    <row r="336" spans="4:13" x14ac:dyDescent="0.2">
      <c r="D336">
        <f t="shared" si="13"/>
        <v>313</v>
      </c>
      <c r="E336" s="1">
        <f t="shared" si="15"/>
        <v>266.01822398945052</v>
      </c>
      <c r="F336" s="1">
        <f t="shared" si="14"/>
        <v>-0.30784416454434904</v>
      </c>
      <c r="G336" s="1">
        <f t="shared" si="12"/>
        <v>0.73502985279657418</v>
      </c>
      <c r="H336" s="1">
        <f>G336/$G$21</f>
        <v>5.1542834122006484E-2</v>
      </c>
      <c r="I336">
        <f>IF($E$11&lt;=D336, IF(D336&lt;=$A$15,D336-$E$11,$F$11),0)</f>
        <v>300</v>
      </c>
      <c r="J336">
        <f>IF(D336&lt;=$A$15,0,D336-$A$15)</f>
        <v>4</v>
      </c>
      <c r="K336" s="5">
        <f>IF(D336&lt;$E$11,H336,0)</f>
        <v>0</v>
      </c>
      <c r="L336">
        <f>IF(D336&lt;$A$15,$C$11,$C$11*(1-$G$11))</f>
        <v>200</v>
      </c>
      <c r="M336">
        <f>IF(D336&lt;$A$15,0,1)</f>
        <v>1</v>
      </c>
    </row>
    <row r="337" spans="4:13" x14ac:dyDescent="0.2">
      <c r="D337">
        <f t="shared" si="13"/>
        <v>314</v>
      </c>
      <c r="E337" s="1">
        <f t="shared" si="15"/>
        <v>265.94126294831443</v>
      </c>
      <c r="F337" s="1">
        <f t="shared" si="14"/>
        <v>-0.3848052056804363</v>
      </c>
      <c r="G337" s="1">
        <f t="shared" si="12"/>
        <v>0.68058319703389292</v>
      </c>
      <c r="H337" s="1">
        <f>G337/$G$21</f>
        <v>4.7724846409267219E-2</v>
      </c>
      <c r="I337">
        <f>IF($E$11&lt;=D337, IF(D337&lt;=$A$15,D337-$E$11,$F$11),0)</f>
        <v>300</v>
      </c>
      <c r="J337">
        <f>IF(D337&lt;=$A$15,0,D337-$A$15)</f>
        <v>5</v>
      </c>
      <c r="K337" s="5">
        <f>IF(D337&lt;$E$11,H337,0)</f>
        <v>0</v>
      </c>
      <c r="L337">
        <f>IF(D337&lt;$A$15,$C$11,$C$11*(1-$G$11))</f>
        <v>200</v>
      </c>
      <c r="M337">
        <f>IF(D337&lt;$A$15,0,1)</f>
        <v>1</v>
      </c>
    </row>
    <row r="338" spans="4:13" x14ac:dyDescent="0.2">
      <c r="D338">
        <f t="shared" si="13"/>
        <v>315</v>
      </c>
      <c r="E338" s="1">
        <f t="shared" si="15"/>
        <v>265.86430190717834</v>
      </c>
      <c r="F338" s="1">
        <f t="shared" si="14"/>
        <v>-0.46176624681652356</v>
      </c>
      <c r="G338" s="1">
        <f t="shared" si="12"/>
        <v>0.63016962688326006</v>
      </c>
      <c r="H338" s="1">
        <f>G338/$G$21</f>
        <v>4.4189672601175164E-2</v>
      </c>
      <c r="I338">
        <f>IF($E$11&lt;=D338, IF(D338&lt;=$A$15,D338-$E$11,$F$11),0)</f>
        <v>300</v>
      </c>
      <c r="J338">
        <f>IF(D338&lt;=$A$15,0,D338-$A$15)</f>
        <v>6</v>
      </c>
      <c r="K338" s="5">
        <f>IF(D338&lt;$E$11,H338,0)</f>
        <v>0</v>
      </c>
      <c r="L338">
        <f>IF(D338&lt;$A$15,$C$11,$C$11*(1-$G$11))</f>
        <v>200</v>
      </c>
      <c r="M338">
        <f>IF(D338&lt;$A$15,0,1)</f>
        <v>1</v>
      </c>
    </row>
    <row r="339" spans="4:13" x14ac:dyDescent="0.2">
      <c r="D339">
        <f t="shared" si="13"/>
        <v>316</v>
      </c>
      <c r="E339" s="1">
        <f t="shared" si="15"/>
        <v>265.78734086604226</v>
      </c>
      <c r="F339" s="1">
        <f t="shared" si="14"/>
        <v>-0.53872728795261082</v>
      </c>
      <c r="G339" s="1">
        <f t="shared" si="12"/>
        <v>0.58349039526230173</v>
      </c>
      <c r="H339" s="1">
        <f>G339/$G$21</f>
        <v>4.0916363519608312E-2</v>
      </c>
      <c r="I339">
        <f>IF($E$11&lt;=D339, IF(D339&lt;=$A$15,D339-$E$11,$F$11),0)</f>
        <v>300</v>
      </c>
      <c r="J339">
        <f>IF(D339&lt;=$A$15,0,D339-$A$15)</f>
        <v>7</v>
      </c>
      <c r="K339" s="5">
        <f>IF(D339&lt;$E$11,H339,0)</f>
        <v>0</v>
      </c>
      <c r="L339">
        <f>IF(D339&lt;$A$15,$C$11,$C$11*(1-$G$11))</f>
        <v>200</v>
      </c>
      <c r="M339">
        <f>IF(D339&lt;$A$15,0,1)</f>
        <v>1</v>
      </c>
    </row>
    <row r="340" spans="4:13" x14ac:dyDescent="0.2">
      <c r="D340">
        <f t="shared" si="13"/>
        <v>317</v>
      </c>
      <c r="E340" s="1">
        <f t="shared" si="15"/>
        <v>265.71037982490617</v>
      </c>
      <c r="F340" s="1">
        <f t="shared" si="14"/>
        <v>-0.61568832908869808</v>
      </c>
      <c r="G340" s="1">
        <f t="shared" si="12"/>
        <v>0.54026888450215349</v>
      </c>
      <c r="H340" s="1">
        <f>G340/$G$21</f>
        <v>3.7885521777416664E-2</v>
      </c>
      <c r="I340">
        <f>IF($E$11&lt;=D340, IF(D340&lt;=$A$15,D340-$E$11,$F$11),0)</f>
        <v>300</v>
      </c>
      <c r="J340">
        <f>IF(D340&lt;=$A$15,0,D340-$A$15)</f>
        <v>8</v>
      </c>
      <c r="K340" s="5">
        <f>IF(D340&lt;$E$11,H340,0)</f>
        <v>0</v>
      </c>
      <c r="L340">
        <f>IF(D340&lt;$A$15,$C$11,$C$11*(1-$G$11))</f>
        <v>200</v>
      </c>
      <c r="M340">
        <f>IF(D340&lt;$A$15,0,1)</f>
        <v>1</v>
      </c>
    </row>
    <row r="341" spans="4:13" x14ac:dyDescent="0.2">
      <c r="D341">
        <f t="shared" si="13"/>
        <v>318</v>
      </c>
      <c r="E341" s="1">
        <f t="shared" si="15"/>
        <v>265.63341878377008</v>
      </c>
      <c r="F341" s="1">
        <f t="shared" si="14"/>
        <v>-0.69264937022478534</v>
      </c>
      <c r="G341" s="1">
        <f t="shared" si="12"/>
        <v>0.50024896713164413</v>
      </c>
      <c r="H341" s="1">
        <f>G341/$G$21</f>
        <v>3.5079186830942799E-2</v>
      </c>
      <c r="I341">
        <f>IF($E$11&lt;=D341, IF(D341&lt;=$A$15,D341-$E$11,$F$11),0)</f>
        <v>300</v>
      </c>
      <c r="J341">
        <f>IF(D341&lt;=$A$15,0,D341-$A$15)</f>
        <v>9</v>
      </c>
      <c r="K341" s="5">
        <f>IF(D341&lt;$E$11,H341,0)</f>
        <v>0</v>
      </c>
      <c r="L341">
        <f>IF(D341&lt;$A$15,$C$11,$C$11*(1-$G$11))</f>
        <v>200</v>
      </c>
      <c r="M341">
        <f>IF(D341&lt;$A$15,0,1)</f>
        <v>1</v>
      </c>
    </row>
    <row r="342" spans="4:13" x14ac:dyDescent="0.2">
      <c r="D342">
        <f t="shared" si="13"/>
        <v>319</v>
      </c>
      <c r="E342" s="1">
        <f t="shared" si="15"/>
        <v>265.556457742634</v>
      </c>
      <c r="F342" s="1">
        <f t="shared" si="14"/>
        <v>-0.7696104113608726</v>
      </c>
      <c r="G342" s="1">
        <f t="shared" si="12"/>
        <v>0.4631934880848747</v>
      </c>
      <c r="H342" s="1">
        <f>G342/$G$21</f>
        <v>3.2480728547170587E-2</v>
      </c>
      <c r="I342">
        <f>IF($E$11&lt;=D342, IF(D342&lt;=$A$15,D342-$E$11,$F$11),0)</f>
        <v>300</v>
      </c>
      <c r="J342">
        <f>IF(D342&lt;=$A$15,0,D342-$A$15)</f>
        <v>10</v>
      </c>
      <c r="K342" s="5">
        <f>IF(D342&lt;$E$11,H342,0)</f>
        <v>0</v>
      </c>
      <c r="L342">
        <f>IF(D342&lt;$A$15,$C$11,$C$11*(1-$G$11))</f>
        <v>200</v>
      </c>
      <c r="M342">
        <f>IF(D342&lt;$A$15,0,1)</f>
        <v>1</v>
      </c>
    </row>
    <row r="343" spans="4:13" x14ac:dyDescent="0.2">
      <c r="D343">
        <f t="shared" si="13"/>
        <v>320</v>
      </c>
      <c r="E343" s="1">
        <f t="shared" si="15"/>
        <v>265.47949670149791</v>
      </c>
      <c r="F343" s="1">
        <f t="shared" si="14"/>
        <v>-0.84657145249695986</v>
      </c>
      <c r="G343" s="1">
        <f t="shared" si="12"/>
        <v>0.42888285933786452</v>
      </c>
      <c r="H343" s="1">
        <f>G343/$G$21</f>
        <v>3.0074748654788815E-2</v>
      </c>
      <c r="I343">
        <f>IF($E$11&lt;=D343, IF(D343&lt;=$A$15,D343-$E$11,$F$11),0)</f>
        <v>300</v>
      </c>
      <c r="J343">
        <f>IF(D343&lt;=$A$15,0,D343-$A$15)</f>
        <v>11</v>
      </c>
      <c r="K343" s="5">
        <f>IF(D343&lt;$E$11,H343,0)</f>
        <v>0</v>
      </c>
      <c r="L343">
        <f>IF(D343&lt;$A$15,$C$11,$C$11*(1-$G$11))</f>
        <v>200</v>
      </c>
      <c r="M343">
        <f>IF(D343&lt;$A$15,0,1)</f>
        <v>1</v>
      </c>
    </row>
    <row r="344" spans="4:13" x14ac:dyDescent="0.2">
      <c r="D344">
        <f t="shared" si="13"/>
        <v>321</v>
      </c>
      <c r="E344" s="1">
        <f t="shared" si="15"/>
        <v>265.40253566036182</v>
      </c>
      <c r="F344" s="1">
        <f t="shared" si="14"/>
        <v>-0.92353249363304712</v>
      </c>
      <c r="G344" s="1">
        <f t="shared" ref="G344:G407" si="16">EXP(F344)</f>
        <v>0.3971137586461872</v>
      </c>
      <c r="H344" s="1">
        <f>G344/$G$21</f>
        <v>2.7846989495175976E-2</v>
      </c>
      <c r="I344">
        <f>IF($E$11&lt;=D344, IF(D344&lt;=$A$15,D344-$E$11,$F$11),0)</f>
        <v>300</v>
      </c>
      <c r="J344">
        <f>IF(D344&lt;=$A$15,0,D344-$A$15)</f>
        <v>12</v>
      </c>
      <c r="K344" s="5">
        <f>IF(D344&lt;$E$11,H344,0)</f>
        <v>0</v>
      </c>
      <c r="L344">
        <f>IF(D344&lt;$A$15,$C$11,$C$11*(1-$G$11))</f>
        <v>200</v>
      </c>
      <c r="M344">
        <f>IF(D344&lt;$A$15,0,1)</f>
        <v>1</v>
      </c>
    </row>
    <row r="345" spans="4:13" x14ac:dyDescent="0.2">
      <c r="D345">
        <f t="shared" ref="D345:D408" si="17">1+D344</f>
        <v>322</v>
      </c>
      <c r="E345" s="1">
        <f t="shared" si="15"/>
        <v>265.32557461922573</v>
      </c>
      <c r="F345" s="1">
        <f t="shared" ref="F345:F408" si="18">E345-$E$21</f>
        <v>-1.0004935347691344</v>
      </c>
      <c r="G345" s="1">
        <f t="shared" si="16"/>
        <v>0.36769792467241064</v>
      </c>
      <c r="H345" s="1">
        <f>G345/$G$21</f>
        <v>2.5784249532571406E-2</v>
      </c>
      <c r="I345">
        <f>IF($E$11&lt;=D345, IF(D345&lt;=$A$15,D345-$E$11,$F$11),0)</f>
        <v>300</v>
      </c>
      <c r="J345">
        <f>IF(D345&lt;=$A$15,0,D345-$A$15)</f>
        <v>13</v>
      </c>
      <c r="K345" s="5">
        <f>IF(D345&lt;$E$11,H345,0)</f>
        <v>0</v>
      </c>
      <c r="L345">
        <f>IF(D345&lt;$A$15,$C$11,$C$11*(1-$G$11))</f>
        <v>200</v>
      </c>
      <c r="M345">
        <f>IF(D345&lt;$A$15,0,1)</f>
        <v>1</v>
      </c>
    </row>
    <row r="346" spans="4:13" x14ac:dyDescent="0.2">
      <c r="D346">
        <f t="shared" si="17"/>
        <v>323</v>
      </c>
      <c r="E346" s="1">
        <f t="shared" si="15"/>
        <v>265.24861357808965</v>
      </c>
      <c r="F346" s="1">
        <f t="shared" si="18"/>
        <v>-1.0774545759052216</v>
      </c>
      <c r="G346" s="1">
        <f t="shared" si="16"/>
        <v>0.34046104136335714</v>
      </c>
      <c r="H346" s="1">
        <f>G346/$G$21</f>
        <v>2.3874305122752279E-2</v>
      </c>
      <c r="I346">
        <f>IF($E$11&lt;=D346, IF(D346&lt;=$A$15,D346-$E$11,$F$11),0)</f>
        <v>300</v>
      </c>
      <c r="J346">
        <f>IF(D346&lt;=$A$15,0,D346-$A$15)</f>
        <v>14</v>
      </c>
      <c r="K346" s="5">
        <f>IF(D346&lt;$E$11,H346,0)</f>
        <v>0</v>
      </c>
      <c r="L346">
        <f>IF(D346&lt;$A$15,$C$11,$C$11*(1-$G$11))</f>
        <v>200</v>
      </c>
      <c r="M346">
        <f>IF(D346&lt;$A$15,0,1)</f>
        <v>1</v>
      </c>
    </row>
    <row r="347" spans="4:13" x14ac:dyDescent="0.2">
      <c r="D347">
        <f t="shared" si="17"/>
        <v>324</v>
      </c>
      <c r="E347" s="1">
        <f t="shared" si="15"/>
        <v>265.17165253695356</v>
      </c>
      <c r="F347" s="1">
        <f t="shared" si="18"/>
        <v>-1.1544156170413089</v>
      </c>
      <c r="G347" s="1">
        <f t="shared" si="16"/>
        <v>0.31524170496608439</v>
      </c>
      <c r="H347" s="1">
        <f>G347/$G$21</f>
        <v>2.2105838076623391E-2</v>
      </c>
      <c r="I347">
        <f>IF($E$11&lt;=D347, IF(D347&lt;=$A$15,D347-$E$11,$F$11),0)</f>
        <v>300</v>
      </c>
      <c r="J347">
        <f>IF(D347&lt;=$A$15,0,D347-$A$15)</f>
        <v>15</v>
      </c>
      <c r="K347" s="5">
        <f>IF(D347&lt;$E$11,H347,0)</f>
        <v>0</v>
      </c>
      <c r="L347">
        <f>IF(D347&lt;$A$15,$C$11,$C$11*(1-$G$11))</f>
        <v>200</v>
      </c>
      <c r="M347">
        <f>IF(D347&lt;$A$15,0,1)</f>
        <v>1</v>
      </c>
    </row>
    <row r="348" spans="4:13" x14ac:dyDescent="0.2">
      <c r="D348">
        <f t="shared" si="17"/>
        <v>325</v>
      </c>
      <c r="E348" s="1">
        <f t="shared" si="15"/>
        <v>265.09469149581747</v>
      </c>
      <c r="F348" s="1">
        <f t="shared" si="18"/>
        <v>-1.2313766581773962</v>
      </c>
      <c r="G348" s="1">
        <f t="shared" si="16"/>
        <v>0.29189046756120124</v>
      </c>
      <c r="H348" s="1">
        <f>G348/$G$21</f>
        <v>2.0468368589466941E-2</v>
      </c>
      <c r="I348">
        <f>IF($E$11&lt;=D348, IF(D348&lt;=$A$15,D348-$E$11,$F$11),0)</f>
        <v>300</v>
      </c>
      <c r="J348">
        <f>IF(D348&lt;=$A$15,0,D348-$A$15)</f>
        <v>16</v>
      </c>
      <c r="K348" s="5">
        <f>IF(D348&lt;$E$11,H348,0)</f>
        <v>0</v>
      </c>
      <c r="L348">
        <f>IF(D348&lt;$A$15,$C$11,$C$11*(1-$G$11))</f>
        <v>200</v>
      </c>
      <c r="M348">
        <f>IF(D348&lt;$A$15,0,1)</f>
        <v>1</v>
      </c>
    </row>
    <row r="349" spans="4:13" x14ac:dyDescent="0.2">
      <c r="D349">
        <f t="shared" si="17"/>
        <v>326</v>
      </c>
      <c r="E349" s="1">
        <f t="shared" si="15"/>
        <v>265.01773045468138</v>
      </c>
      <c r="F349" s="1">
        <f t="shared" si="18"/>
        <v>-1.3083376993134834</v>
      </c>
      <c r="G349" s="1">
        <f t="shared" si="16"/>
        <v>0.27026895144556778</v>
      </c>
      <c r="H349" s="1">
        <f>G349/$G$21</f>
        <v>1.8952193138396096E-2</v>
      </c>
      <c r="I349">
        <f>IF($E$11&lt;=D349, IF(D349&lt;=$A$15,D349-$E$11,$F$11),0)</f>
        <v>300</v>
      </c>
      <c r="J349">
        <f>IF(D349&lt;=$A$15,0,D349-$A$15)</f>
        <v>17</v>
      </c>
      <c r="K349" s="5">
        <f>IF(D349&lt;$E$11,H349,0)</f>
        <v>0</v>
      </c>
      <c r="L349">
        <f>IF(D349&lt;$A$15,$C$11,$C$11*(1-$G$11))</f>
        <v>200</v>
      </c>
      <c r="M349">
        <f>IF(D349&lt;$A$15,0,1)</f>
        <v>1</v>
      </c>
    </row>
    <row r="350" spans="4:13" x14ac:dyDescent="0.2">
      <c r="D350">
        <f t="shared" si="17"/>
        <v>327</v>
      </c>
      <c r="E350" s="1">
        <f t="shared" si="15"/>
        <v>264.9407694135453</v>
      </c>
      <c r="F350" s="1">
        <f t="shared" si="18"/>
        <v>-1.3852987404495707</v>
      </c>
      <c r="G350" s="1">
        <f t="shared" si="16"/>
        <v>0.25024902911627678</v>
      </c>
      <c r="H350" s="1">
        <f>G350/$G$21</f>
        <v>1.7548326979997107E-2</v>
      </c>
      <c r="I350">
        <f>IF($E$11&lt;=D350, IF(D350&lt;=$A$15,D350-$E$11,$F$11),0)</f>
        <v>300</v>
      </c>
      <c r="J350">
        <f>IF(D350&lt;=$A$15,0,D350-$A$15)</f>
        <v>18</v>
      </c>
      <c r="K350" s="5">
        <f>IF(D350&lt;$E$11,H350,0)</f>
        <v>0</v>
      </c>
      <c r="L350">
        <f>IF(D350&lt;$A$15,$C$11,$C$11*(1-$G$11))</f>
        <v>200</v>
      </c>
      <c r="M350">
        <f>IF(D350&lt;$A$15,0,1)</f>
        <v>1</v>
      </c>
    </row>
    <row r="351" spans="4:13" x14ac:dyDescent="0.2">
      <c r="D351">
        <f t="shared" si="17"/>
        <v>328</v>
      </c>
      <c r="E351" s="1">
        <f t="shared" si="15"/>
        <v>264.86380837240921</v>
      </c>
      <c r="F351" s="1">
        <f t="shared" si="18"/>
        <v>-1.4622597815856579</v>
      </c>
      <c r="G351" s="1">
        <f t="shared" si="16"/>
        <v>0.23171206399656208</v>
      </c>
      <c r="H351" s="1">
        <f>G351/$G$21</f>
        <v>1.6248450907405395E-2</v>
      </c>
      <c r="I351">
        <f>IF($E$11&lt;=D351, IF(D351&lt;=$A$15,D351-$E$11,$F$11),0)</f>
        <v>300</v>
      </c>
      <c r="J351">
        <f>IF(D351&lt;=$A$15,0,D351-$A$15)</f>
        <v>19</v>
      </c>
      <c r="K351" s="5">
        <f>IF(D351&lt;$E$11,H351,0)</f>
        <v>0</v>
      </c>
      <c r="L351">
        <f>IF(D351&lt;$A$15,$C$11,$C$11*(1-$G$11))</f>
        <v>200</v>
      </c>
      <c r="M351">
        <f>IF(D351&lt;$A$15,0,1)</f>
        <v>1</v>
      </c>
    </row>
    <row r="352" spans="4:13" x14ac:dyDescent="0.2">
      <c r="D352">
        <f t="shared" si="17"/>
        <v>329</v>
      </c>
      <c r="E352" s="1">
        <f t="shared" si="15"/>
        <v>264.78684733127312</v>
      </c>
      <c r="F352" s="1">
        <f t="shared" si="18"/>
        <v>-1.5392208227217452</v>
      </c>
      <c r="G352" s="1">
        <f t="shared" si="16"/>
        <v>0.21454820740423294</v>
      </c>
      <c r="H352" s="1">
        <f>G352/$G$21</f>
        <v>1.5044861951301908E-2</v>
      </c>
      <c r="I352">
        <f>IF($E$11&lt;=D352, IF(D352&lt;=$A$15,D352-$E$11,$F$11),0)</f>
        <v>300</v>
      </c>
      <c r="J352">
        <f>IF(D352&lt;=$A$15,0,D352-$A$15)</f>
        <v>20</v>
      </c>
      <c r="K352" s="5">
        <f>IF(D352&lt;$E$11,H352,0)</f>
        <v>0</v>
      </c>
      <c r="L352">
        <f>IF(D352&lt;$A$15,$C$11,$C$11*(1-$G$11))</f>
        <v>200</v>
      </c>
      <c r="M352">
        <f>IF(D352&lt;$A$15,0,1)</f>
        <v>1</v>
      </c>
    </row>
    <row r="353" spans="4:13" x14ac:dyDescent="0.2">
      <c r="D353">
        <f t="shared" si="17"/>
        <v>330</v>
      </c>
      <c r="E353" s="1">
        <f t="shared" si="15"/>
        <v>264.70988629013704</v>
      </c>
      <c r="F353" s="1">
        <f t="shared" si="18"/>
        <v>-1.6161818638578325</v>
      </c>
      <c r="G353" s="1">
        <f t="shared" si="16"/>
        <v>0.19865574759652016</v>
      </c>
      <c r="H353" s="1">
        <f>G353/$G$21</f>
        <v>1.3930427732687526E-2</v>
      </c>
      <c r="I353">
        <f>IF($E$11&lt;=D353, IF(D353&lt;=$A$15,D353-$E$11,$F$11),0)</f>
        <v>300</v>
      </c>
      <c r="J353">
        <f>IF(D353&lt;=$A$15,0,D353-$A$15)</f>
        <v>21</v>
      </c>
      <c r="K353" s="5">
        <f>IF(D353&lt;$E$11,H353,0)</f>
        <v>0</v>
      </c>
      <c r="L353">
        <f>IF(D353&lt;$A$15,$C$11,$C$11*(1-$G$11))</f>
        <v>200</v>
      </c>
      <c r="M353">
        <f>IF(D353&lt;$A$15,0,1)</f>
        <v>1</v>
      </c>
    </row>
    <row r="354" spans="4:13" x14ac:dyDescent="0.2">
      <c r="D354">
        <f t="shared" si="17"/>
        <v>331</v>
      </c>
      <c r="E354" s="1">
        <f t="shared" si="15"/>
        <v>264.63292524900095</v>
      </c>
      <c r="F354" s="1">
        <f t="shared" si="18"/>
        <v>-1.6931429049939197</v>
      </c>
      <c r="G354" s="1">
        <f t="shared" si="16"/>
        <v>0.1839405070338225</v>
      </c>
      <c r="H354" s="1">
        <f>G354/$G$21</f>
        <v>1.2898544196933422E-2</v>
      </c>
      <c r="I354">
        <f>IF($E$11&lt;=D354, IF(D354&lt;=$A$15,D354-$E$11,$F$11),0)</f>
        <v>300</v>
      </c>
      <c r="J354">
        <f>IF(D354&lt;=$A$15,0,D354-$A$15)</f>
        <v>22</v>
      </c>
      <c r="K354" s="5">
        <f>IF(D354&lt;$E$11,H354,0)</f>
        <v>0</v>
      </c>
      <c r="L354">
        <f>IF(D354&lt;$A$15,$C$11,$C$11*(1-$G$11))</f>
        <v>200</v>
      </c>
      <c r="M354">
        <f>IF(D354&lt;$A$15,0,1)</f>
        <v>1</v>
      </c>
    </row>
    <row r="355" spans="4:13" x14ac:dyDescent="0.2">
      <c r="D355">
        <f t="shared" si="17"/>
        <v>332</v>
      </c>
      <c r="E355" s="1">
        <f t="shared" si="15"/>
        <v>264.55596420786486</v>
      </c>
      <c r="F355" s="1">
        <f t="shared" si="18"/>
        <v>-1.770103946130007</v>
      </c>
      <c r="G355" s="1">
        <f t="shared" si="16"/>
        <v>0.1703152842905834</v>
      </c>
      <c r="H355" s="1">
        <f>G355/$G$21</f>
        <v>1.1943096478642549E-2</v>
      </c>
      <c r="I355">
        <f>IF($E$11&lt;=D355, IF(D355&lt;=$A$15,D355-$E$11,$F$11),0)</f>
        <v>300</v>
      </c>
      <c r="J355">
        <f>IF(D355&lt;=$A$15,0,D355-$A$15)</f>
        <v>23</v>
      </c>
      <c r="K355" s="5">
        <f>IF(D355&lt;$E$11,H355,0)</f>
        <v>0</v>
      </c>
      <c r="L355">
        <f>IF(D355&lt;$A$15,$C$11,$C$11*(1-$G$11))</f>
        <v>200</v>
      </c>
      <c r="M355">
        <f>IF(D355&lt;$A$15,0,1)</f>
        <v>1</v>
      </c>
    </row>
    <row r="356" spans="4:13" x14ac:dyDescent="0.2">
      <c r="D356">
        <f t="shared" si="17"/>
        <v>333</v>
      </c>
      <c r="E356" s="1">
        <f t="shared" si="15"/>
        <v>264.47900316672877</v>
      </c>
      <c r="F356" s="1">
        <f t="shared" si="18"/>
        <v>-1.8470649872660942</v>
      </c>
      <c r="G356" s="1">
        <f t="shared" si="16"/>
        <v>0.15769933730610219</v>
      </c>
      <c r="H356" s="1">
        <f>G356/$G$21</f>
        <v>1.105842266541022E-2</v>
      </c>
      <c r="I356">
        <f>IF($E$11&lt;=D356, IF(D356&lt;=$A$15,D356-$E$11,$F$11),0)</f>
        <v>300</v>
      </c>
      <c r="J356">
        <f>IF(D356&lt;=$A$15,0,D356-$A$15)</f>
        <v>24</v>
      </c>
      <c r="K356" s="5">
        <f>IF(D356&lt;$E$11,H356,0)</f>
        <v>0</v>
      </c>
      <c r="L356">
        <f>IF(D356&lt;$A$15,$C$11,$C$11*(1-$G$11))</f>
        <v>200</v>
      </c>
      <c r="M356">
        <f>IF(D356&lt;$A$15,0,1)</f>
        <v>1</v>
      </c>
    </row>
    <row r="357" spans="4:13" x14ac:dyDescent="0.2">
      <c r="D357">
        <f t="shared" si="17"/>
        <v>334</v>
      </c>
      <c r="E357" s="1">
        <f t="shared" si="15"/>
        <v>264.40204212559269</v>
      </c>
      <c r="F357" s="1">
        <f t="shared" si="18"/>
        <v>-1.9240260284021815</v>
      </c>
      <c r="G357" s="1">
        <f t="shared" si="16"/>
        <v>0.1460179049130636</v>
      </c>
      <c r="H357" s="1">
        <f>G357/$G$21</f>
        <v>1.0239280245750626E-2</v>
      </c>
      <c r="I357">
        <f>IF($E$11&lt;=D357, IF(D357&lt;=$A$15,D357-$E$11,$F$11),0)</f>
        <v>300</v>
      </c>
      <c r="J357">
        <f>IF(D357&lt;=$A$15,0,D357-$A$15)</f>
        <v>25</v>
      </c>
      <c r="K357" s="5">
        <f>IF(D357&lt;$E$11,H357,0)</f>
        <v>0</v>
      </c>
      <c r="L357">
        <f>IF(D357&lt;$A$15,$C$11,$C$11*(1-$G$11))</f>
        <v>200</v>
      </c>
      <c r="M357">
        <f>IF(D357&lt;$A$15,0,1)</f>
        <v>1</v>
      </c>
    </row>
    <row r="358" spans="4:13" x14ac:dyDescent="0.2">
      <c r="D358">
        <f t="shared" si="17"/>
        <v>335</v>
      </c>
      <c r="E358" s="1">
        <f t="shared" si="15"/>
        <v>264.3250810844566</v>
      </c>
      <c r="F358" s="1">
        <f t="shared" si="18"/>
        <v>-2.0009870695382688</v>
      </c>
      <c r="G358" s="1">
        <f t="shared" si="16"/>
        <v>0.13520176380839777</v>
      </c>
      <c r="H358" s="1">
        <f>G358/$G$21</f>
        <v>9.4808150423620792E-3</v>
      </c>
      <c r="I358">
        <f>IF($E$11&lt;=D358, IF(D358&lt;=$A$15,D358-$E$11,$F$11),0)</f>
        <v>300</v>
      </c>
      <c r="J358">
        <f>IF(D358&lt;=$A$15,0,D358-$A$15)</f>
        <v>26</v>
      </c>
      <c r="K358" s="5">
        <f>IF(D358&lt;$E$11,H358,0)</f>
        <v>0</v>
      </c>
      <c r="L358">
        <f>IF(D358&lt;$A$15,$C$11,$C$11*(1-$G$11))</f>
        <v>200</v>
      </c>
      <c r="M358">
        <f>IF(D358&lt;$A$15,0,1)</f>
        <v>1</v>
      </c>
    </row>
    <row r="359" spans="4:13" x14ac:dyDescent="0.2">
      <c r="D359">
        <f t="shared" si="17"/>
        <v>336</v>
      </c>
      <c r="E359" s="1">
        <f t="shared" si="15"/>
        <v>264.24812004332051</v>
      </c>
      <c r="F359" s="1">
        <f t="shared" si="18"/>
        <v>-2.077948110674356</v>
      </c>
      <c r="G359" s="1">
        <f t="shared" si="16"/>
        <v>0.1251868183411142</v>
      </c>
      <c r="H359" s="1">
        <f>G359/$G$21</f>
        <v>8.7785324466319176E-3</v>
      </c>
      <c r="I359">
        <f>IF($E$11&lt;=D359, IF(D359&lt;=$A$15,D359-$E$11,$F$11),0)</f>
        <v>300</v>
      </c>
      <c r="J359">
        <f>IF(D359&lt;=$A$15,0,D359-$A$15)</f>
        <v>27</v>
      </c>
      <c r="K359" s="5">
        <f>IF(D359&lt;$E$11,H359,0)</f>
        <v>0</v>
      </c>
      <c r="L359">
        <f>IF(D359&lt;$A$15,$C$11,$C$11*(1-$G$11))</f>
        <v>200</v>
      </c>
      <c r="M359">
        <f>IF(D359&lt;$A$15,0,1)</f>
        <v>1</v>
      </c>
    </row>
    <row r="360" spans="4:13" x14ac:dyDescent="0.2">
      <c r="D360">
        <f t="shared" si="17"/>
        <v>337</v>
      </c>
      <c r="E360" s="1">
        <f t="shared" si="15"/>
        <v>264.17115900218442</v>
      </c>
      <c r="F360" s="1">
        <f t="shared" si="18"/>
        <v>-2.1549091518104433</v>
      </c>
      <c r="G360" s="1">
        <f t="shared" si="16"/>
        <v>0.11591372068622161</v>
      </c>
      <c r="H360" s="1">
        <f>G360/$G$21</f>
        <v>8.1282707839187753E-3</v>
      </c>
      <c r="I360">
        <f>IF($E$11&lt;=D360, IF(D360&lt;=$A$15,D360-$E$11,$F$11),0)</f>
        <v>300</v>
      </c>
      <c r="J360">
        <f>IF(D360&lt;=$A$15,0,D360-$A$15)</f>
        <v>28</v>
      </c>
      <c r="K360" s="5">
        <f>IF(D360&lt;$E$11,H360,0)</f>
        <v>0</v>
      </c>
      <c r="L360">
        <f>IF(D360&lt;$A$15,$C$11,$C$11*(1-$G$11))</f>
        <v>200</v>
      </c>
      <c r="M360">
        <f>IF(D360&lt;$A$15,0,1)</f>
        <v>1</v>
      </c>
    </row>
    <row r="361" spans="4:13" x14ac:dyDescent="0.2">
      <c r="D361">
        <f t="shared" si="17"/>
        <v>338</v>
      </c>
      <c r="E361" s="1">
        <f t="shared" si="15"/>
        <v>264.09419796104834</v>
      </c>
      <c r="F361" s="1">
        <f t="shared" si="18"/>
        <v>-2.2318701929465306</v>
      </c>
      <c r="G361" s="1">
        <f t="shared" si="16"/>
        <v>0.1073275191539133</v>
      </c>
      <c r="H361" s="1">
        <f>G361/$G$21</f>
        <v>7.5261766517769517E-3</v>
      </c>
      <c r="I361">
        <f>IF($E$11&lt;=D361, IF(D361&lt;=$A$15,D361-$E$11,$F$11),0)</f>
        <v>300</v>
      </c>
      <c r="J361">
        <f>IF(D361&lt;=$A$15,0,D361-$A$15)</f>
        <v>29</v>
      </c>
      <c r="K361" s="5">
        <f>IF(D361&lt;$E$11,H361,0)</f>
        <v>0</v>
      </c>
      <c r="L361">
        <f>IF(D361&lt;$A$15,$C$11,$C$11*(1-$G$11))</f>
        <v>200</v>
      </c>
      <c r="M361">
        <f>IF(D361&lt;$A$15,0,1)</f>
        <v>1</v>
      </c>
    </row>
    <row r="362" spans="4:13" x14ac:dyDescent="0.2">
      <c r="D362">
        <f t="shared" si="17"/>
        <v>339</v>
      </c>
      <c r="E362" s="1">
        <f t="shared" si="15"/>
        <v>264.01723691991225</v>
      </c>
      <c r="F362" s="1">
        <f t="shared" si="18"/>
        <v>-2.3088312340826178</v>
      </c>
      <c r="G362" s="1">
        <f t="shared" si="16"/>
        <v>9.93773325499238E-2</v>
      </c>
      <c r="H362" s="1">
        <f>G362/$G$21</f>
        <v>6.9686820849789452E-3</v>
      </c>
      <c r="I362">
        <f>IF($E$11&lt;=D362, IF(D362&lt;=$A$15,D362-$E$11,$F$11),0)</f>
        <v>300</v>
      </c>
      <c r="J362">
        <f>IF(D362&lt;=$A$15,0,D362-$A$15)</f>
        <v>30</v>
      </c>
      <c r="K362" s="5">
        <f>IF(D362&lt;$E$11,H362,0)</f>
        <v>0</v>
      </c>
      <c r="L362">
        <f>IF(D362&lt;$A$15,$C$11,$C$11*(1-$G$11))</f>
        <v>200</v>
      </c>
      <c r="M362">
        <f>IF(D362&lt;$A$15,0,1)</f>
        <v>1</v>
      </c>
    </row>
    <row r="363" spans="4:13" x14ac:dyDescent="0.2">
      <c r="D363">
        <f t="shared" si="17"/>
        <v>340</v>
      </c>
      <c r="E363" s="1">
        <f t="shared" si="15"/>
        <v>263.94027587877616</v>
      </c>
      <c r="F363" s="1">
        <f t="shared" si="18"/>
        <v>-2.3857922752187051</v>
      </c>
      <c r="G363" s="1">
        <f t="shared" si="16"/>
        <v>9.2016048657340629E-2</v>
      </c>
      <c r="H363" s="1">
        <f>G363/$G$21</f>
        <v>6.4524834120178072E-3</v>
      </c>
      <c r="I363">
        <f>IF($E$11&lt;=D363, IF(D363&lt;=$A$15,D363-$E$11,$F$11),0)</f>
        <v>300</v>
      </c>
      <c r="J363">
        <f>IF(D363&lt;=$A$15,0,D363-$A$15)</f>
        <v>31</v>
      </c>
      <c r="K363" s="5">
        <f>IF(D363&lt;$E$11,H363,0)</f>
        <v>0</v>
      </c>
      <c r="L363">
        <f>IF(D363&lt;$A$15,$C$11,$C$11*(1-$G$11))</f>
        <v>200</v>
      </c>
      <c r="M363">
        <f>IF(D363&lt;$A$15,0,1)</f>
        <v>1</v>
      </c>
    </row>
    <row r="364" spans="4:13" x14ac:dyDescent="0.2">
      <c r="D364">
        <f t="shared" si="17"/>
        <v>341</v>
      </c>
      <c r="E364" s="1">
        <f t="shared" si="15"/>
        <v>263.86331483764008</v>
      </c>
      <c r="F364" s="1">
        <f t="shared" si="18"/>
        <v>-2.4627533163547923</v>
      </c>
      <c r="G364" s="1">
        <f t="shared" si="16"/>
        <v>8.5200045053096668E-2</v>
      </c>
      <c r="H364" s="1">
        <f>G364/$G$21</f>
        <v>5.9745216777945106E-3</v>
      </c>
      <c r="I364">
        <f>IF($E$11&lt;=D364, IF(D364&lt;=$A$15,D364-$E$11,$F$11),0)</f>
        <v>300</v>
      </c>
      <c r="J364">
        <f>IF(D364&lt;=$A$15,0,D364-$A$15)</f>
        <v>32</v>
      </c>
      <c r="K364" s="5">
        <f>IF(D364&lt;$E$11,H364,0)</f>
        <v>0</v>
      </c>
      <c r="L364">
        <f>IF(D364&lt;$A$15,$C$11,$C$11*(1-$G$11))</f>
        <v>200</v>
      </c>
      <c r="M364">
        <f>IF(D364&lt;$A$15,0,1)</f>
        <v>1</v>
      </c>
    </row>
    <row r="365" spans="4:13" x14ac:dyDescent="0.2">
      <c r="D365">
        <f t="shared" si="17"/>
        <v>342</v>
      </c>
      <c r="E365" s="1">
        <f t="shared" si="15"/>
        <v>263.78635379650399</v>
      </c>
      <c r="F365" s="1">
        <f t="shared" si="18"/>
        <v>-2.5397143574908796</v>
      </c>
      <c r="G365" s="1">
        <f t="shared" si="16"/>
        <v>7.8888930604722379E-2</v>
      </c>
      <c r="H365" s="1">
        <f>G365/$G$21</f>
        <v>5.5319645164766265E-3</v>
      </c>
      <c r="I365">
        <f>IF($E$11&lt;=D365, IF(D365&lt;=$A$15,D365-$E$11,$F$11),0)</f>
        <v>300</v>
      </c>
      <c r="J365">
        <f>IF(D365&lt;=$A$15,0,D365-$A$15)</f>
        <v>33</v>
      </c>
      <c r="K365" s="5">
        <f>IF(D365&lt;$E$11,H365,0)</f>
        <v>0</v>
      </c>
      <c r="L365">
        <f>IF(D365&lt;$A$15,$C$11,$C$11*(1-$G$11))</f>
        <v>200</v>
      </c>
      <c r="M365">
        <f>IF(D365&lt;$A$15,0,1)</f>
        <v>1</v>
      </c>
    </row>
    <row r="366" spans="4:13" x14ac:dyDescent="0.2">
      <c r="D366">
        <f t="shared" si="17"/>
        <v>343</v>
      </c>
      <c r="E366" s="1">
        <f t="shared" si="15"/>
        <v>263.7093927553679</v>
      </c>
      <c r="F366" s="1">
        <f t="shared" si="18"/>
        <v>-2.6166753986269669</v>
      </c>
      <c r="G366" s="1">
        <f t="shared" si="16"/>
        <v>7.304530611548668E-2</v>
      </c>
      <c r="H366" s="1">
        <f>G366/$G$21</f>
        <v>5.1221893671081972E-3</v>
      </c>
      <c r="I366">
        <f>IF($E$11&lt;=D366, IF(D366&lt;=$A$15,D366-$E$11,$F$11),0)</f>
        <v>300</v>
      </c>
      <c r="J366">
        <f>IF(D366&lt;=$A$15,0,D366-$A$15)</f>
        <v>34</v>
      </c>
      <c r="K366" s="5">
        <f>IF(D366&lt;$E$11,H366,0)</f>
        <v>0</v>
      </c>
      <c r="L366">
        <f>IF(D366&lt;$A$15,$C$11,$C$11*(1-$G$11))</f>
        <v>200</v>
      </c>
      <c r="M366">
        <f>IF(D366&lt;$A$15,0,1)</f>
        <v>1</v>
      </c>
    </row>
    <row r="367" spans="4:13" x14ac:dyDescent="0.2">
      <c r="D367">
        <f t="shared" si="17"/>
        <v>344</v>
      </c>
      <c r="E367" s="1">
        <f t="shared" si="15"/>
        <v>263.63243171423181</v>
      </c>
      <c r="F367" s="1">
        <f t="shared" si="18"/>
        <v>-2.6936364397630541</v>
      </c>
      <c r="G367" s="1">
        <f t="shared" si="16"/>
        <v>6.7634542699527483E-2</v>
      </c>
      <c r="H367" s="1">
        <f>G367/$G$21</f>
        <v>4.7427679325077847E-3</v>
      </c>
      <c r="I367">
        <f>IF($E$11&lt;=D367, IF(D367&lt;=$A$15,D367-$E$11,$F$11),0)</f>
        <v>300</v>
      </c>
      <c r="J367">
        <f>IF(D367&lt;=$A$15,0,D367-$A$15)</f>
        <v>35</v>
      </c>
      <c r="K367" s="5">
        <f>IF(D367&lt;$E$11,H367,0)</f>
        <v>0</v>
      </c>
      <c r="L367">
        <f>IF(D367&lt;$A$15,$C$11,$C$11*(1-$G$11))</f>
        <v>200</v>
      </c>
      <c r="M367">
        <f>IF(D367&lt;$A$15,0,1)</f>
        <v>1</v>
      </c>
    </row>
    <row r="368" spans="4:13" x14ac:dyDescent="0.2">
      <c r="D368">
        <f t="shared" si="17"/>
        <v>345</v>
      </c>
      <c r="E368" s="1">
        <f t="shared" si="15"/>
        <v>263.55547067309573</v>
      </c>
      <c r="F368" s="1">
        <f t="shared" si="18"/>
        <v>-2.7705974808991414</v>
      </c>
      <c r="G368" s="1">
        <f t="shared" si="16"/>
        <v>6.2624576573639137E-2</v>
      </c>
      <c r="H368" s="1">
        <f>G368/$G$21</f>
        <v>4.3914517893592414E-3</v>
      </c>
      <c r="I368">
        <f>IF($E$11&lt;=D368, IF(D368&lt;=$A$15,D368-$E$11,$F$11),0)</f>
        <v>300</v>
      </c>
      <c r="J368">
        <f>IF(D368&lt;=$A$15,0,D368-$A$15)</f>
        <v>36</v>
      </c>
      <c r="K368" s="5">
        <f>IF(D368&lt;$E$11,H368,0)</f>
        <v>0</v>
      </c>
      <c r="L368">
        <f>IF(D368&lt;$A$15,$C$11,$C$11*(1-$G$11))</f>
        <v>200</v>
      </c>
      <c r="M368">
        <f>IF(D368&lt;$A$15,0,1)</f>
        <v>1</v>
      </c>
    </row>
    <row r="369" spans="4:13" x14ac:dyDescent="0.2">
      <c r="D369">
        <f t="shared" si="17"/>
        <v>346</v>
      </c>
      <c r="E369" s="1">
        <f t="shared" si="15"/>
        <v>263.47850963195964</v>
      </c>
      <c r="F369" s="1">
        <f t="shared" si="18"/>
        <v>-2.8475585220352286</v>
      </c>
      <c r="G369" s="1">
        <f t="shared" si="16"/>
        <v>5.7985719049668247E-2</v>
      </c>
      <c r="H369" s="1">
        <f>G369/$G$21</f>
        <v>4.0661590642216859E-3</v>
      </c>
      <c r="I369">
        <f>IF($E$11&lt;=D369, IF(D369&lt;=$A$15,D369-$E$11,$F$11),0)</f>
        <v>300</v>
      </c>
      <c r="J369">
        <f>IF(D369&lt;=$A$15,0,D369-$A$15)</f>
        <v>37</v>
      </c>
      <c r="K369" s="5">
        <f>IF(D369&lt;$E$11,H369,0)</f>
        <v>0</v>
      </c>
      <c r="L369">
        <f>IF(D369&lt;$A$15,$C$11,$C$11*(1-$G$11))</f>
        <v>200</v>
      </c>
      <c r="M369">
        <f>IF(D369&lt;$A$15,0,1)</f>
        <v>1</v>
      </c>
    </row>
    <row r="370" spans="4:13" x14ac:dyDescent="0.2">
      <c r="D370">
        <f t="shared" si="17"/>
        <v>347</v>
      </c>
      <c r="E370" s="1">
        <f t="shared" si="15"/>
        <v>263.40154859082355</v>
      </c>
      <c r="F370" s="1">
        <f t="shared" si="18"/>
        <v>-2.9245195631713159</v>
      </c>
      <c r="G370" s="1">
        <f t="shared" si="16"/>
        <v>5.3690480601546874E-2</v>
      </c>
      <c r="H370" s="1">
        <f>G370/$G$21</f>
        <v>3.7649620965017156E-3</v>
      </c>
      <c r="I370">
        <f>IF($E$11&lt;=D370, IF(D370&lt;=$A$15,D370-$E$11,$F$11),0)</f>
        <v>300</v>
      </c>
      <c r="J370">
        <f>IF(D370&lt;=$A$15,0,D370-$A$15)</f>
        <v>38</v>
      </c>
      <c r="K370" s="5">
        <f>IF(D370&lt;$E$11,H370,0)</f>
        <v>0</v>
      </c>
      <c r="L370">
        <f>IF(D370&lt;$A$15,$C$11,$C$11*(1-$G$11))</f>
        <v>200</v>
      </c>
      <c r="M370">
        <f>IF(D370&lt;$A$15,0,1)</f>
        <v>1</v>
      </c>
    </row>
    <row r="371" spans="4:13" x14ac:dyDescent="0.2">
      <c r="D371">
        <f t="shared" si="17"/>
        <v>348</v>
      </c>
      <c r="E371" s="1">
        <f t="shared" si="15"/>
        <v>263.32458754968746</v>
      </c>
      <c r="F371" s="1">
        <f t="shared" si="18"/>
        <v>-3.0014806043074032</v>
      </c>
      <c r="G371" s="1">
        <f t="shared" si="16"/>
        <v>4.9713407964397299E-2</v>
      </c>
      <c r="H371" s="1">
        <f>G371/$G$21</f>
        <v>3.4860760152795097E-3</v>
      </c>
      <c r="I371">
        <f>IF($E$11&lt;=D371, IF(D371&lt;=$A$15,D371-$E$11,$F$11),0)</f>
        <v>300</v>
      </c>
      <c r="J371">
        <f>IF(D371&lt;=$A$15,0,D371-$A$15)</f>
        <v>39</v>
      </c>
      <c r="K371" s="5">
        <f>IF(D371&lt;$E$11,H371,0)</f>
        <v>0</v>
      </c>
      <c r="L371">
        <f>IF(D371&lt;$A$15,$C$11,$C$11*(1-$G$11))</f>
        <v>200</v>
      </c>
      <c r="M371">
        <f>IF(D371&lt;$A$15,0,1)</f>
        <v>1</v>
      </c>
    </row>
    <row r="372" spans="4:13" x14ac:dyDescent="0.2">
      <c r="D372">
        <f t="shared" si="17"/>
        <v>349</v>
      </c>
      <c r="E372" s="1">
        <f t="shared" si="15"/>
        <v>263.24762650855138</v>
      </c>
      <c r="F372" s="1">
        <f t="shared" si="18"/>
        <v>-3.0784416454434904</v>
      </c>
      <c r="G372" s="1">
        <f t="shared" si="16"/>
        <v>4.603093330036976E-2</v>
      </c>
      <c r="H372" s="1">
        <f>G372/$G$21</f>
        <v>3.227848162295975E-3</v>
      </c>
      <c r="I372">
        <f>IF($E$11&lt;=D372, IF(D372&lt;=$A$15,D372-$E$11,$F$11),0)</f>
        <v>300</v>
      </c>
      <c r="J372">
        <f>IF(D372&lt;=$A$15,0,D372-$A$15)</f>
        <v>40</v>
      </c>
      <c r="K372" s="5">
        <f>IF(D372&lt;$E$11,H372,0)</f>
        <v>0</v>
      </c>
      <c r="L372">
        <f>IF(D372&lt;$A$15,$C$11,$C$11*(1-$G$11))</f>
        <v>200</v>
      </c>
      <c r="M372">
        <f>IF(D372&lt;$A$15,0,1)</f>
        <v>1</v>
      </c>
    </row>
    <row r="373" spans="4:13" x14ac:dyDescent="0.2">
      <c r="D373">
        <f t="shared" si="17"/>
        <v>350</v>
      </c>
      <c r="E373" s="1">
        <f t="shared" si="15"/>
        <v>263.17066546741529</v>
      </c>
      <c r="F373" s="1">
        <f t="shared" si="18"/>
        <v>-3.1554026865795777</v>
      </c>
      <c r="G373" s="1">
        <f t="shared" si="16"/>
        <v>4.2621234537381154E-2</v>
      </c>
      <c r="H373" s="1">
        <f>G373/$G$21</f>
        <v>2.9887482984223214E-3</v>
      </c>
      <c r="I373">
        <f>IF($E$11&lt;=D373, IF(D373&lt;=$A$15,D373-$E$11,$F$11),0)</f>
        <v>300</v>
      </c>
      <c r="J373">
        <f>IF(D373&lt;=$A$15,0,D373-$A$15)</f>
        <v>41</v>
      </c>
      <c r="K373" s="5">
        <f>IF(D373&lt;$E$11,H373,0)</f>
        <v>0</v>
      </c>
      <c r="L373">
        <f>IF(D373&lt;$A$15,$C$11,$C$11*(1-$G$11))</f>
        <v>200</v>
      </c>
      <c r="M373">
        <f>IF(D373&lt;$A$15,0,1)</f>
        <v>1</v>
      </c>
    </row>
    <row r="374" spans="4:13" x14ac:dyDescent="0.2">
      <c r="D374">
        <f t="shared" si="17"/>
        <v>351</v>
      </c>
      <c r="E374" s="1">
        <f t="shared" si="15"/>
        <v>263.0937044262792</v>
      </c>
      <c r="F374" s="1">
        <f t="shared" si="18"/>
        <v>-3.2323637277156649</v>
      </c>
      <c r="G374" s="1">
        <f t="shared" si="16"/>
        <v>3.9464106053132324E-2</v>
      </c>
      <c r="H374" s="1">
        <f>G374/$G$21</f>
        <v>2.7673595355763377E-3</v>
      </c>
      <c r="I374">
        <f>IF($E$11&lt;=D374, IF(D374&lt;=$A$15,D374-$E$11,$F$11),0)</f>
        <v>300</v>
      </c>
      <c r="J374">
        <f>IF(D374&lt;=$A$15,0,D374-$A$15)</f>
        <v>42</v>
      </c>
      <c r="K374" s="5">
        <f>IF(D374&lt;$E$11,H374,0)</f>
        <v>0</v>
      </c>
      <c r="L374">
        <f>IF(D374&lt;$A$15,$C$11,$C$11*(1-$G$11))</f>
        <v>200</v>
      </c>
      <c r="M374">
        <f>IF(D374&lt;$A$15,0,1)</f>
        <v>1</v>
      </c>
    </row>
    <row r="375" spans="4:13" x14ac:dyDescent="0.2">
      <c r="D375">
        <f t="shared" si="17"/>
        <v>352</v>
      </c>
      <c r="E375" s="1">
        <f t="shared" si="15"/>
        <v>263.01674338514312</v>
      </c>
      <c r="F375" s="1">
        <f t="shared" si="18"/>
        <v>-3.3093247688517522</v>
      </c>
      <c r="G375" s="1">
        <f t="shared" si="16"/>
        <v>3.6540838938086982E-2</v>
      </c>
      <c r="H375" s="1">
        <f>G375/$G$21</f>
        <v>2.5623699403485656E-3</v>
      </c>
      <c r="I375">
        <f>IF($E$11&lt;=D375, IF(D375&lt;=$A$15,D375-$E$11,$F$11),0)</f>
        <v>300</v>
      </c>
      <c r="J375">
        <f>IF(D375&lt;=$A$15,0,D375-$A$15)</f>
        <v>43</v>
      </c>
      <c r="K375" s="5">
        <f>IF(D375&lt;$E$11,H375,0)</f>
        <v>0</v>
      </c>
      <c r="L375">
        <f>IF(D375&lt;$A$15,$C$11,$C$11*(1-$G$11))</f>
        <v>200</v>
      </c>
      <c r="M375">
        <f>IF(D375&lt;$A$15,0,1)</f>
        <v>1</v>
      </c>
    </row>
    <row r="376" spans="4:13" x14ac:dyDescent="0.2">
      <c r="D376">
        <f t="shared" si="17"/>
        <v>353</v>
      </c>
      <c r="E376" s="1">
        <f t="shared" si="15"/>
        <v>262.93978234400703</v>
      </c>
      <c r="F376" s="1">
        <f t="shared" si="18"/>
        <v>-3.3862858099878395</v>
      </c>
      <c r="G376" s="1">
        <f t="shared" si="16"/>
        <v>3.383411012785971E-2</v>
      </c>
      <c r="H376" s="1">
        <f>G376/$G$21</f>
        <v>2.3725647595821031E-3</v>
      </c>
      <c r="I376">
        <f>IF($E$11&lt;=D376, IF(D376&lt;=$A$15,D376-$E$11,$F$11),0)</f>
        <v>300</v>
      </c>
      <c r="J376">
        <f>IF(D376&lt;=$A$15,0,D376-$A$15)</f>
        <v>44</v>
      </c>
      <c r="K376" s="5">
        <f>IF(D376&lt;$E$11,H376,0)</f>
        <v>0</v>
      </c>
      <c r="L376">
        <f>IF(D376&lt;$A$15,$C$11,$C$11*(1-$G$11))</f>
        <v>200</v>
      </c>
      <c r="M376">
        <f>IF(D376&lt;$A$15,0,1)</f>
        <v>1</v>
      </c>
    </row>
    <row r="377" spans="4:13" x14ac:dyDescent="0.2">
      <c r="D377">
        <f t="shared" si="17"/>
        <v>354</v>
      </c>
      <c r="E377" s="1">
        <f t="shared" si="15"/>
        <v>262.86282130287094</v>
      </c>
      <c r="F377" s="1">
        <f t="shared" si="18"/>
        <v>-3.4632468511239267</v>
      </c>
      <c r="G377" s="1">
        <f t="shared" si="16"/>
        <v>3.1327879748019531E-2</v>
      </c>
      <c r="H377" s="1">
        <f>G377/$G$21</f>
        <v>2.1968192218353704E-3</v>
      </c>
      <c r="I377">
        <f>IF($E$11&lt;=D377, IF(D377&lt;=$A$15,D377-$E$11,$F$11),0)</f>
        <v>300</v>
      </c>
      <c r="J377">
        <f>IF(D377&lt;=$A$15,0,D377-$A$15)</f>
        <v>45</v>
      </c>
      <c r="K377" s="5">
        <f>IF(D377&lt;$E$11,H377,0)</f>
        <v>0</v>
      </c>
      <c r="L377">
        <f>IF(D377&lt;$A$15,$C$11,$C$11*(1-$G$11))</f>
        <v>200</v>
      </c>
      <c r="M377">
        <f>IF(D377&lt;$A$15,0,1)</f>
        <v>1</v>
      </c>
    </row>
    <row r="378" spans="4:13" x14ac:dyDescent="0.2">
      <c r="D378">
        <f t="shared" si="17"/>
        <v>355</v>
      </c>
      <c r="E378" s="1">
        <f t="shared" si="15"/>
        <v>262.78586026173485</v>
      </c>
      <c r="F378" s="1">
        <f t="shared" si="18"/>
        <v>-3.540207892260014</v>
      </c>
      <c r="G378" s="1">
        <f t="shared" si="16"/>
        <v>2.9007296062982239E-2</v>
      </c>
      <c r="H378" s="1">
        <f>G378/$G$21</f>
        <v>2.0340918720698712E-3</v>
      </c>
      <c r="I378">
        <f>IF($E$11&lt;=D378, IF(D378&lt;=$A$15,D378-$E$11,$F$11),0)</f>
        <v>300</v>
      </c>
      <c r="J378">
        <f>IF(D378&lt;=$A$15,0,D378-$A$15)</f>
        <v>46</v>
      </c>
      <c r="K378" s="5">
        <f>IF(D378&lt;$E$11,H378,0)</f>
        <v>0</v>
      </c>
      <c r="L378">
        <f>IF(D378&lt;$A$15,$C$11,$C$11*(1-$G$11))</f>
        <v>200</v>
      </c>
      <c r="M378">
        <f>IF(D378&lt;$A$15,0,1)</f>
        <v>1</v>
      </c>
    </row>
    <row r="379" spans="4:13" x14ac:dyDescent="0.2">
      <c r="D379">
        <f t="shared" si="17"/>
        <v>356</v>
      </c>
      <c r="E379" s="1">
        <f t="shared" si="15"/>
        <v>262.70889922059877</v>
      </c>
      <c r="F379" s="1">
        <f t="shared" si="18"/>
        <v>-3.6171689333961012</v>
      </c>
      <c r="G379" s="1">
        <f t="shared" si="16"/>
        <v>2.6858607465725399E-2</v>
      </c>
      <c r="H379" s="1">
        <f>G379/$G$21</f>
        <v>1.8834184000647727E-3</v>
      </c>
      <c r="I379">
        <f>IF($E$11&lt;=D379, IF(D379&lt;=$A$15,D379-$E$11,$F$11),0)</f>
        <v>300</v>
      </c>
      <c r="J379">
        <f>IF(D379&lt;=$A$15,0,D379-$A$15)</f>
        <v>47</v>
      </c>
      <c r="K379" s="5">
        <f>IF(D379&lt;$E$11,H379,0)</f>
        <v>0</v>
      </c>
      <c r="L379">
        <f>IF(D379&lt;$A$15,$C$11,$C$11*(1-$G$11))</f>
        <v>200</v>
      </c>
      <c r="M379">
        <f>IF(D379&lt;$A$15,0,1)</f>
        <v>1</v>
      </c>
    </row>
    <row r="380" spans="4:13" x14ac:dyDescent="0.2">
      <c r="D380">
        <f t="shared" si="17"/>
        <v>357</v>
      </c>
      <c r="E380" s="1">
        <f t="shared" si="15"/>
        <v>262.63193817946268</v>
      </c>
      <c r="F380" s="1">
        <f t="shared" si="18"/>
        <v>-3.6941299745321885</v>
      </c>
      <c r="G380" s="1">
        <f t="shared" si="16"/>
        <v>2.4869080986783799E-2</v>
      </c>
      <c r="H380" s="1">
        <f>G380/$G$21</f>
        <v>1.7439059259859724E-3</v>
      </c>
      <c r="I380">
        <f>IF($E$11&lt;=D380, IF(D380&lt;=$A$15,D380-$E$11,$F$11),0)</f>
        <v>300</v>
      </c>
      <c r="J380">
        <f>IF(D380&lt;=$A$15,0,D380-$A$15)</f>
        <v>48</v>
      </c>
      <c r="K380" s="5">
        <f>IF(D380&lt;$E$11,H380,0)</f>
        <v>0</v>
      </c>
      <c r="L380">
        <f>IF(D380&lt;$A$15,$C$11,$C$11*(1-$G$11))</f>
        <v>200</v>
      </c>
      <c r="M380">
        <f>IF(D380&lt;$A$15,0,1)</f>
        <v>1</v>
      </c>
    </row>
    <row r="381" spans="4:13" x14ac:dyDescent="0.2">
      <c r="D381">
        <f t="shared" si="17"/>
        <v>358</v>
      </c>
      <c r="E381" s="1">
        <f t="shared" si="15"/>
        <v>262.55497713832659</v>
      </c>
      <c r="F381" s="1">
        <f t="shared" si="18"/>
        <v>-3.7710910156682758</v>
      </c>
      <c r="G381" s="1">
        <f t="shared" si="16"/>
        <v>2.3026926839615575E-2</v>
      </c>
      <c r="H381" s="1">
        <f>G381/$G$21</f>
        <v>1.6147277092463371E-3</v>
      </c>
      <c r="I381">
        <f>IF($E$11&lt;=D381, IF(D381&lt;=$A$15,D381-$E$11,$F$11),0)</f>
        <v>300</v>
      </c>
      <c r="J381">
        <f>IF(D381&lt;=$A$15,0,D381-$A$15)</f>
        <v>49</v>
      </c>
      <c r="K381" s="5">
        <f>IF(D381&lt;$E$11,H381,0)</f>
        <v>0</v>
      </c>
      <c r="L381">
        <f>IF(D381&lt;$A$15,$C$11,$C$11*(1-$G$11))</f>
        <v>200</v>
      </c>
      <c r="M381">
        <f>IF(D381&lt;$A$15,0,1)</f>
        <v>1</v>
      </c>
    </row>
    <row r="382" spans="4:13" x14ac:dyDescent="0.2">
      <c r="D382">
        <f t="shared" si="17"/>
        <v>359</v>
      </c>
      <c r="E382" s="1">
        <f t="shared" si="15"/>
        <v>262.4780160971905</v>
      </c>
      <c r="F382" s="1">
        <f t="shared" si="18"/>
        <v>-3.848052056804363</v>
      </c>
      <c r="G382" s="1">
        <f t="shared" si="16"/>
        <v>2.132122855520048E-2</v>
      </c>
      <c r="H382" s="1">
        <f>G382/$G$21</f>
        <v>1.4951182493022253E-3</v>
      </c>
      <c r="I382">
        <f>IF($E$11&lt;=D382, IF(D382&lt;=$A$15,D382-$E$11,$F$11),0)</f>
        <v>300</v>
      </c>
      <c r="J382">
        <f>IF(D382&lt;=$A$15,0,D382-$A$15)</f>
        <v>50</v>
      </c>
      <c r="K382" s="5">
        <f>IF(D382&lt;$E$11,H382,0)</f>
        <v>0</v>
      </c>
      <c r="L382">
        <f>IF(D382&lt;$A$15,$C$11,$C$11*(1-$G$11))</f>
        <v>200</v>
      </c>
      <c r="M382">
        <f>IF(D382&lt;$A$15,0,1)</f>
        <v>1</v>
      </c>
    </row>
    <row r="383" spans="4:13" x14ac:dyDescent="0.2">
      <c r="D383">
        <f t="shared" si="17"/>
        <v>360</v>
      </c>
      <c r="E383" s="1">
        <f t="shared" si="15"/>
        <v>262.40105505605442</v>
      </c>
      <c r="F383" s="1">
        <f t="shared" si="18"/>
        <v>-3.9250130979404503</v>
      </c>
      <c r="G383" s="1">
        <f t="shared" si="16"/>
        <v>1.9741878291853109E-2</v>
      </c>
      <c r="H383" s="1">
        <f>G383/$G$21</f>
        <v>1.3843687493539693E-3</v>
      </c>
      <c r="I383">
        <f>IF($E$11&lt;=D383, IF(D383&lt;=$A$15,D383-$E$11,$F$11),0)</f>
        <v>300</v>
      </c>
      <c r="J383">
        <f>IF(D383&lt;=$A$15,0,D383-$A$15)</f>
        <v>51</v>
      </c>
      <c r="K383" s="5">
        <f>IF(D383&lt;$E$11,H383,0)</f>
        <v>0</v>
      </c>
      <c r="L383">
        <f>IF(D383&lt;$A$15,$C$11,$C$11*(1-$G$11))</f>
        <v>200</v>
      </c>
      <c r="M383">
        <f>IF(D383&lt;$A$15,0,1)</f>
        <v>1</v>
      </c>
    </row>
    <row r="384" spans="4:13" x14ac:dyDescent="0.2">
      <c r="D384">
        <f t="shared" si="17"/>
        <v>361</v>
      </c>
      <c r="E384" s="1">
        <f t="shared" si="15"/>
        <v>262.32409401491833</v>
      </c>
      <c r="F384" s="1">
        <f t="shared" si="18"/>
        <v>-4.0019741390765375</v>
      </c>
      <c r="G384" s="1">
        <f t="shared" si="16"/>
        <v>1.8279516936901778E-2</v>
      </c>
      <c r="H384" s="1">
        <f>G384/$G$21</f>
        <v>1.2818229160685426E-3</v>
      </c>
      <c r="I384">
        <f>IF($E$11&lt;=D384, IF(D384&lt;=$A$15,D384-$E$11,$F$11),0)</f>
        <v>300</v>
      </c>
      <c r="J384">
        <f>IF(D384&lt;=$A$15,0,D384-$A$15)</f>
        <v>52</v>
      </c>
      <c r="K384" s="5">
        <f>IF(D384&lt;$E$11,H384,0)</f>
        <v>0</v>
      </c>
      <c r="L384">
        <f>IF(D384&lt;$A$15,$C$11,$C$11*(1-$G$11))</f>
        <v>200</v>
      </c>
      <c r="M384">
        <f>IF(D384&lt;$A$15,0,1)</f>
        <v>1</v>
      </c>
    </row>
    <row r="385" spans="4:13" x14ac:dyDescent="0.2">
      <c r="D385">
        <f t="shared" si="17"/>
        <v>362</v>
      </c>
      <c r="E385" s="1">
        <f t="shared" si="15"/>
        <v>262.24713297378224</v>
      </c>
      <c r="F385" s="1">
        <f t="shared" si="18"/>
        <v>-4.0789351802126248</v>
      </c>
      <c r="G385" s="1">
        <f t="shared" si="16"/>
        <v>1.6925478645280118E-2</v>
      </c>
      <c r="H385" s="1">
        <f>G385/$G$21</f>
        <v>1.1868730704338846E-3</v>
      </c>
      <c r="I385">
        <f>IF($E$11&lt;=D385, IF(D385&lt;=$A$15,D385-$E$11,$F$11),0)</f>
        <v>300</v>
      </c>
      <c r="J385">
        <f>IF(D385&lt;=$A$15,0,D385-$A$15)</f>
        <v>53</v>
      </c>
      <c r="K385" s="5">
        <f>IF(D385&lt;$E$11,H385,0)</f>
        <v>0</v>
      </c>
      <c r="L385">
        <f>IF(D385&lt;$A$15,$C$11,$C$11*(1-$G$11))</f>
        <v>200</v>
      </c>
      <c r="M385">
        <f>IF(D385&lt;$A$15,0,1)</f>
        <v>1</v>
      </c>
    </row>
    <row r="386" spans="4:13" x14ac:dyDescent="0.2">
      <c r="D386">
        <f t="shared" si="17"/>
        <v>363</v>
      </c>
      <c r="E386" s="1">
        <f t="shared" si="15"/>
        <v>262.17017193264616</v>
      </c>
      <c r="F386" s="1">
        <f t="shared" si="18"/>
        <v>-4.1558962213487121</v>
      </c>
      <c r="G386" s="1">
        <f t="shared" si="16"/>
        <v>1.5671739486371124E-2</v>
      </c>
      <c r="H386" s="1">
        <f>G386/$G$21</f>
        <v>1.0989565466980864E-3</v>
      </c>
      <c r="I386">
        <f>IF($E$11&lt;=D386, IF(D386&lt;=$A$15,D386-$E$11,$F$11),0)</f>
        <v>300</v>
      </c>
      <c r="J386">
        <f>IF(D386&lt;=$A$15,0,D386-$A$15)</f>
        <v>54</v>
      </c>
      <c r="K386" s="5">
        <f>IF(D386&lt;$E$11,H386,0)</f>
        <v>0</v>
      </c>
      <c r="L386">
        <f>IF(D386&lt;$A$15,$C$11,$C$11*(1-$G$11))</f>
        <v>200</v>
      </c>
      <c r="M386">
        <f>IF(D386&lt;$A$15,0,1)</f>
        <v>1</v>
      </c>
    </row>
    <row r="387" spans="4:13" x14ac:dyDescent="0.2">
      <c r="D387">
        <f t="shared" si="17"/>
        <v>364</v>
      </c>
      <c r="E387" s="1">
        <f t="shared" si="15"/>
        <v>262.09321089151007</v>
      </c>
      <c r="F387" s="1">
        <f t="shared" si="18"/>
        <v>-4.2328572624847993</v>
      </c>
      <c r="G387" s="1">
        <f t="shared" si="16"/>
        <v>1.4510869894788673E-2</v>
      </c>
      <c r="H387" s="1">
        <f>G387/$G$21</f>
        <v>1.0175523580538254E-3</v>
      </c>
      <c r="I387">
        <f>IF($E$11&lt;=D387, IF(D387&lt;=$A$15,D387-$E$11,$F$11),0)</f>
        <v>300</v>
      </c>
      <c r="J387">
        <f>IF(D387&lt;=$A$15,0,D387-$A$15)</f>
        <v>55</v>
      </c>
      <c r="K387" s="5">
        <f>IF(D387&lt;$E$11,H387,0)</f>
        <v>0</v>
      </c>
      <c r="L387">
        <f>IF(D387&lt;$A$15,$C$11,$C$11*(1-$G$11))</f>
        <v>200</v>
      </c>
      <c r="M387">
        <f>IF(D387&lt;$A$15,0,1)</f>
        <v>1</v>
      </c>
    </row>
    <row r="388" spans="4:13" x14ac:dyDescent="0.2">
      <c r="D388">
        <f t="shared" si="17"/>
        <v>365</v>
      </c>
      <c r="E388" s="1">
        <f t="shared" ref="E388:F451" si="19">IF($G$11=1,IF(D388&lt;=$A$15, E387+LN($C$11)-LN(60/$D$11)-LN(MIN(D388,$E$11)), E387-LN(60/$D$11)-LN(MIN(D388,$E$11))), IF(D388&lt;=$A$15, E387+LN($C$11)-LN(60/$D$11)-LN(MIN(D388,$E$11)), E387+LN($C$11)+LN(1-$G$11)-LN(60/$D$11)-LN(MIN(D388,$E$11))))</f>
        <v>262.01624985037398</v>
      </c>
      <c r="F388" s="1">
        <f t="shared" si="18"/>
        <v>-4.3098183036208866</v>
      </c>
      <c r="G388" s="1">
        <f t="shared" si="16"/>
        <v>1.3435990643323396E-2</v>
      </c>
      <c r="H388" s="1">
        <f>G388/$G$21</f>
        <v>9.4217810930913629E-4</v>
      </c>
      <c r="I388">
        <f>IF($E$11&lt;=D388, IF(D388&lt;=$A$15,D388-$E$11,$F$11),0)</f>
        <v>300</v>
      </c>
      <c r="J388">
        <f>IF(D388&lt;=$A$15,0,D388-$A$15)</f>
        <v>56</v>
      </c>
      <c r="K388" s="5">
        <f>IF(D388&lt;$E$11,H388,0)</f>
        <v>0</v>
      </c>
      <c r="L388">
        <f>IF(D388&lt;$A$15,$C$11,$C$11*(1-$G$11))</f>
        <v>200</v>
      </c>
      <c r="M388">
        <f>IF(D388&lt;$A$15,0,1)</f>
        <v>1</v>
      </c>
    </row>
    <row r="389" spans="4:13" x14ac:dyDescent="0.2">
      <c r="D389">
        <f t="shared" si="17"/>
        <v>366</v>
      </c>
      <c r="E389" s="1">
        <f t="shared" si="19"/>
        <v>261.93928880923789</v>
      </c>
      <c r="F389" s="1">
        <f t="shared" si="18"/>
        <v>-4.3867793447569738</v>
      </c>
      <c r="G389" s="1">
        <f t="shared" si="16"/>
        <v>1.2440732077151805E-2</v>
      </c>
      <c r="H389" s="1">
        <f>G389/$G$21</f>
        <v>8.7238713824923614E-4</v>
      </c>
      <c r="I389">
        <f>IF($E$11&lt;=D389, IF(D389&lt;=$A$15,D389-$E$11,$F$11),0)</f>
        <v>300</v>
      </c>
      <c r="J389">
        <f>IF(D389&lt;=$A$15,0,D389-$A$15)</f>
        <v>57</v>
      </c>
      <c r="K389" s="5">
        <f>IF(D389&lt;$E$11,H389,0)</f>
        <v>0</v>
      </c>
      <c r="L389">
        <f>IF(D389&lt;$A$15,$C$11,$C$11*(1-$G$11))</f>
        <v>200</v>
      </c>
      <c r="M389">
        <f>IF(D389&lt;$A$15,0,1)</f>
        <v>1</v>
      </c>
    </row>
    <row r="390" spans="4:13" x14ac:dyDescent="0.2">
      <c r="D390">
        <f t="shared" si="17"/>
        <v>367</v>
      </c>
      <c r="E390" s="1">
        <f t="shared" si="19"/>
        <v>261.86232776810181</v>
      </c>
      <c r="F390" s="1">
        <f t="shared" si="18"/>
        <v>-4.4637403858930611</v>
      </c>
      <c r="G390" s="1">
        <f t="shared" si="16"/>
        <v>1.1519196367733625E-2</v>
      </c>
      <c r="H390" s="1">
        <f>G390/$G$21</f>
        <v>8.0776586874932584E-4</v>
      </c>
      <c r="I390">
        <f>IF($E$11&lt;=D390, IF(D390&lt;=$A$15,D390-$E$11,$F$11),0)</f>
        <v>300</v>
      </c>
      <c r="J390">
        <f>IF(D390&lt;=$A$15,0,D390-$A$15)</f>
        <v>58</v>
      </c>
      <c r="K390" s="5">
        <f>IF(D390&lt;$E$11,H390,0)</f>
        <v>0</v>
      </c>
      <c r="L390">
        <f>IF(D390&lt;$A$15,$C$11,$C$11*(1-$G$11))</f>
        <v>200</v>
      </c>
      <c r="M390">
        <f>IF(D390&lt;$A$15,0,1)</f>
        <v>1</v>
      </c>
    </row>
    <row r="391" spans="4:13" x14ac:dyDescent="0.2">
      <c r="D391">
        <f t="shared" si="17"/>
        <v>368</v>
      </c>
      <c r="E391" s="1">
        <f t="shared" si="19"/>
        <v>261.78536672696572</v>
      </c>
      <c r="F391" s="1">
        <f t="shared" si="18"/>
        <v>-4.5407014270291484</v>
      </c>
      <c r="G391" s="1">
        <f t="shared" si="16"/>
        <v>1.0665922562716758E-2</v>
      </c>
      <c r="H391" s="1">
        <f>G391/$G$21</f>
        <v>7.4793135995311025E-4</v>
      </c>
      <c r="I391">
        <f>IF($E$11&lt;=D391, IF(D391&lt;=$A$15,D391-$E$11,$F$11),0)</f>
        <v>300</v>
      </c>
      <c r="J391">
        <f>IF(D391&lt;=$A$15,0,D391-$A$15)</f>
        <v>59</v>
      </c>
      <c r="K391" s="5">
        <f>IF(D391&lt;$E$11,H391,0)</f>
        <v>0</v>
      </c>
      <c r="L391">
        <f>IF(D391&lt;$A$15,$C$11,$C$11*(1-$G$11))</f>
        <v>200</v>
      </c>
      <c r="M391">
        <f>IF(D391&lt;$A$15,0,1)</f>
        <v>1</v>
      </c>
    </row>
    <row r="392" spans="4:13" x14ac:dyDescent="0.2">
      <c r="D392">
        <f t="shared" si="17"/>
        <v>369</v>
      </c>
      <c r="E392" s="1">
        <f t="shared" si="19"/>
        <v>261.70840568582963</v>
      </c>
      <c r="F392" s="1">
        <f t="shared" si="18"/>
        <v>-4.6176624681652356</v>
      </c>
      <c r="G392" s="1">
        <f t="shared" si="16"/>
        <v>9.8758542247381446E-3</v>
      </c>
      <c r="H392" s="1">
        <f>G392/$G$21</f>
        <v>6.9252903699364903E-4</v>
      </c>
      <c r="I392">
        <f>IF($E$11&lt;=D392, IF(D392&lt;=$A$15,D392-$E$11,$F$11),0)</f>
        <v>300</v>
      </c>
      <c r="J392">
        <f>IF(D392&lt;=$A$15,0,D392-$A$15)</f>
        <v>60</v>
      </c>
      <c r="K392" s="5">
        <f>IF(D392&lt;$E$11,H392,0)</f>
        <v>0</v>
      </c>
      <c r="L392">
        <f>IF(D392&lt;$A$15,$C$11,$C$11*(1-$G$11))</f>
        <v>200</v>
      </c>
      <c r="M392">
        <f>IF(D392&lt;$A$15,0,1)</f>
        <v>1</v>
      </c>
    </row>
    <row r="393" spans="4:13" x14ac:dyDescent="0.2">
      <c r="D393">
        <f t="shared" si="17"/>
        <v>370</v>
      </c>
      <c r="E393" s="1">
        <f t="shared" si="19"/>
        <v>261.63144464469354</v>
      </c>
      <c r="F393" s="1">
        <f t="shared" si="18"/>
        <v>-4.6946235093013229</v>
      </c>
      <c r="G393" s="1">
        <f t="shared" si="16"/>
        <v>9.1443094673505088E-3</v>
      </c>
      <c r="H393" s="1">
        <f>G393/$G$21</f>
        <v>6.4123058980896058E-4</v>
      </c>
      <c r="I393">
        <f>IF($E$11&lt;=D393, IF(D393&lt;=$A$15,D393-$E$11,$F$11),0)</f>
        <v>300</v>
      </c>
      <c r="J393">
        <f>IF(D393&lt;=$A$15,0,D393-$A$15)</f>
        <v>61</v>
      </c>
      <c r="K393" s="5">
        <f>IF(D393&lt;$E$11,H393,0)</f>
        <v>0</v>
      </c>
      <c r="L393">
        <f>IF(D393&lt;$A$15,$C$11,$C$11*(1-$G$11))</f>
        <v>200</v>
      </c>
      <c r="M393">
        <f>IF(D393&lt;$A$15,0,1)</f>
        <v>1</v>
      </c>
    </row>
    <row r="394" spans="4:13" x14ac:dyDescent="0.2">
      <c r="D394">
        <f t="shared" si="17"/>
        <v>371</v>
      </c>
      <c r="E394" s="1">
        <f t="shared" si="19"/>
        <v>261.55448360355746</v>
      </c>
      <c r="F394" s="1">
        <f t="shared" si="18"/>
        <v>-4.7715845504374101</v>
      </c>
      <c r="G394" s="1">
        <f t="shared" si="16"/>
        <v>8.4669532105100774E-3</v>
      </c>
      <c r="H394" s="1">
        <f>G394/$G$21</f>
        <v>5.9373202760091377E-4</v>
      </c>
      <c r="I394">
        <f>IF($E$11&lt;=D394, IF(D394&lt;=$A$15,D394-$E$11,$F$11),0)</f>
        <v>300</v>
      </c>
      <c r="J394">
        <f>IF(D394&lt;=$A$15,0,D394-$A$15)</f>
        <v>62</v>
      </c>
      <c r="K394" s="5">
        <f>IF(D394&lt;$E$11,H394,0)</f>
        <v>0</v>
      </c>
      <c r="L394">
        <f>IF(D394&lt;$A$15,$C$11,$C$11*(1-$G$11))</f>
        <v>200</v>
      </c>
      <c r="M394">
        <f>IF(D394&lt;$A$15,0,1)</f>
        <v>1</v>
      </c>
    </row>
    <row r="395" spans="4:13" x14ac:dyDescent="0.2">
      <c r="D395">
        <f t="shared" si="17"/>
        <v>372</v>
      </c>
      <c r="E395" s="1">
        <f t="shared" si="19"/>
        <v>261.47752256242137</v>
      </c>
      <c r="F395" s="1">
        <f t="shared" si="18"/>
        <v>-4.8485455915734974</v>
      </c>
      <c r="G395" s="1">
        <f t="shared" si="16"/>
        <v>7.839771491213357E-3</v>
      </c>
      <c r="H395" s="1">
        <f>G395/$G$21</f>
        <v>5.4975187740827604E-4</v>
      </c>
      <c r="I395">
        <f>IF($E$11&lt;=D395, IF(D395&lt;=$A$15,D395-$E$11,$F$11),0)</f>
        <v>300</v>
      </c>
      <c r="J395">
        <f>IF(D395&lt;=$A$15,0,D395-$A$15)</f>
        <v>63</v>
      </c>
      <c r="K395" s="5">
        <f>IF(D395&lt;$E$11,H395,0)</f>
        <v>0</v>
      </c>
      <c r="L395">
        <f>IF(D395&lt;$A$15,$C$11,$C$11*(1-$G$11))</f>
        <v>200</v>
      </c>
      <c r="M395">
        <f>IF(D395&lt;$A$15,0,1)</f>
        <v>1</v>
      </c>
    </row>
    <row r="396" spans="4:13" x14ac:dyDescent="0.2">
      <c r="D396">
        <f t="shared" si="17"/>
        <v>373</v>
      </c>
      <c r="E396" s="1">
        <f t="shared" si="19"/>
        <v>261.40056152128528</v>
      </c>
      <c r="F396" s="1">
        <f t="shared" si="18"/>
        <v>-4.9255066327095847</v>
      </c>
      <c r="G396" s="1">
        <f t="shared" si="16"/>
        <v>7.259047677049703E-3</v>
      </c>
      <c r="H396" s="1">
        <f>G396/$G$21</f>
        <v>5.0902951611879509E-4</v>
      </c>
      <c r="I396">
        <f>IF($E$11&lt;=D396, IF(D396&lt;=$A$15,D396-$E$11,$F$11),0)</f>
        <v>300</v>
      </c>
      <c r="J396">
        <f>IF(D396&lt;=$A$15,0,D396-$A$15)</f>
        <v>64</v>
      </c>
      <c r="K396" s="5">
        <f>IF(D396&lt;$E$11,H396,0)</f>
        <v>0</v>
      </c>
      <c r="L396">
        <f>IF(D396&lt;$A$15,$C$11,$C$11*(1-$G$11))</f>
        <v>200</v>
      </c>
      <c r="M396">
        <f>IF(D396&lt;$A$15,0,1)</f>
        <v>1</v>
      </c>
    </row>
    <row r="397" spans="4:13" x14ac:dyDescent="0.2">
      <c r="D397">
        <f t="shared" si="17"/>
        <v>374</v>
      </c>
      <c r="E397" s="1">
        <f t="shared" si="19"/>
        <v>261.3236004801492</v>
      </c>
      <c r="F397" s="1">
        <f t="shared" si="18"/>
        <v>-5.0024676738456719</v>
      </c>
      <c r="G397" s="1">
        <f t="shared" si="16"/>
        <v>6.7213404417129641E-3</v>
      </c>
      <c r="H397" s="1">
        <f>G397/$G$21</f>
        <v>4.7132362603594075E-4</v>
      </c>
      <c r="I397">
        <f>IF($E$11&lt;=D397, IF(D397&lt;=$A$15,D397-$E$11,$F$11),0)</f>
        <v>300</v>
      </c>
      <c r="J397">
        <f>IF(D397&lt;=$A$15,0,D397-$A$15)</f>
        <v>65</v>
      </c>
      <c r="K397" s="5">
        <f>IF(D397&lt;$E$11,H397,0)</f>
        <v>0</v>
      </c>
      <c r="L397">
        <f>IF(D397&lt;$A$15,$C$11,$C$11*(1-$G$11))</f>
        <v>200</v>
      </c>
      <c r="M397">
        <f>IF(D397&lt;$A$15,0,1)</f>
        <v>1</v>
      </c>
    </row>
    <row r="398" spans="4:13" x14ac:dyDescent="0.2">
      <c r="D398">
        <f t="shared" si="17"/>
        <v>375</v>
      </c>
      <c r="E398" s="1">
        <f t="shared" si="19"/>
        <v>261.24663943901311</v>
      </c>
      <c r="F398" s="1">
        <f t="shared" si="18"/>
        <v>-5.0794287149817592</v>
      </c>
      <c r="G398" s="1">
        <f t="shared" si="16"/>
        <v>6.2234633719567035E-3</v>
      </c>
      <c r="H398" s="1">
        <f>G398/$G$21</f>
        <v>4.3641076484811115E-4</v>
      </c>
      <c r="I398">
        <f>IF($E$11&lt;=D398, IF(D398&lt;=$A$15,D398-$E$11,$F$11),0)</f>
        <v>300</v>
      </c>
      <c r="J398">
        <f>IF(D398&lt;=$A$15,0,D398-$A$15)</f>
        <v>66</v>
      </c>
      <c r="K398" s="5">
        <f>IF(D398&lt;$E$11,H398,0)</f>
        <v>0</v>
      </c>
      <c r="L398">
        <f>IF(D398&lt;$A$15,$C$11,$C$11*(1-$G$11))</f>
        <v>200</v>
      </c>
      <c r="M398">
        <f>IF(D398&lt;$A$15,0,1)</f>
        <v>1</v>
      </c>
    </row>
    <row r="399" spans="4:13" x14ac:dyDescent="0.2">
      <c r="D399">
        <f t="shared" si="17"/>
        <v>376</v>
      </c>
      <c r="E399" s="1">
        <f t="shared" si="19"/>
        <v>261.16967839787702</v>
      </c>
      <c r="F399" s="1">
        <f t="shared" si="18"/>
        <v>-5.1563897561178464</v>
      </c>
      <c r="G399" s="1">
        <f t="shared" si="16"/>
        <v>5.7624660851453326E-3</v>
      </c>
      <c r="H399" s="1">
        <f>G399/$G$21</f>
        <v>4.0408404152604544E-4</v>
      </c>
      <c r="I399">
        <f>IF($E$11&lt;=D399, IF(D399&lt;=$A$15,D399-$E$11,$F$11),0)</f>
        <v>300</v>
      </c>
      <c r="J399">
        <f>IF(D399&lt;=$A$15,0,D399-$A$15)</f>
        <v>67</v>
      </c>
      <c r="K399" s="5">
        <f>IF(D399&lt;$E$11,H399,0)</f>
        <v>0</v>
      </c>
      <c r="L399">
        <f>IF(D399&lt;$A$15,$C$11,$C$11*(1-$G$11))</f>
        <v>200</v>
      </c>
      <c r="M399">
        <f>IF(D399&lt;$A$15,0,1)</f>
        <v>1</v>
      </c>
    </row>
    <row r="400" spans="4:13" x14ac:dyDescent="0.2">
      <c r="D400">
        <f t="shared" si="17"/>
        <v>377</v>
      </c>
      <c r="E400" s="1">
        <f t="shared" si="19"/>
        <v>261.09271735674093</v>
      </c>
      <c r="F400" s="1">
        <f t="shared" si="18"/>
        <v>-5.2333507972539337</v>
      </c>
      <c r="G400" s="1">
        <f t="shared" si="16"/>
        <v>5.3356167455051564E-3</v>
      </c>
      <c r="H400" s="1">
        <f>G400/$G$21</f>
        <v>3.7415189030190927E-4</v>
      </c>
      <c r="I400">
        <f>IF($E$11&lt;=D400, IF(D400&lt;=$A$15,D400-$E$11,$F$11),0)</f>
        <v>300</v>
      </c>
      <c r="J400">
        <f>IF(D400&lt;=$A$15,0,D400-$A$15)</f>
        <v>68</v>
      </c>
      <c r="K400" s="5">
        <f>IF(D400&lt;$E$11,H400,0)</f>
        <v>0</v>
      </c>
      <c r="L400">
        <f>IF(D400&lt;$A$15,$C$11,$C$11*(1-$G$11))</f>
        <v>200</v>
      </c>
      <c r="M400">
        <f>IF(D400&lt;$A$15,0,1)</f>
        <v>1</v>
      </c>
    </row>
    <row r="401" spans="4:13" x14ac:dyDescent="0.2">
      <c r="D401">
        <f t="shared" si="17"/>
        <v>378</v>
      </c>
      <c r="E401" s="1">
        <f t="shared" si="19"/>
        <v>261.01575631560485</v>
      </c>
      <c r="F401" s="1">
        <f t="shared" si="18"/>
        <v>-5.310311838390021</v>
      </c>
      <c r="G401" s="1">
        <f t="shared" si="16"/>
        <v>4.9403858754679406E-3</v>
      </c>
      <c r="H401" s="1">
        <f>G401/$G$21</f>
        <v>3.464369354647451E-4</v>
      </c>
      <c r="I401">
        <f>IF($E$11&lt;=D401, IF(D401&lt;=$A$15,D401-$E$11,$F$11),0)</f>
        <v>300</v>
      </c>
      <c r="J401">
        <f>IF(D401&lt;=$A$15,0,D401-$A$15)</f>
        <v>69</v>
      </c>
      <c r="K401" s="5">
        <f>IF(D401&lt;$E$11,H401,0)</f>
        <v>0</v>
      </c>
      <c r="L401">
        <f>IF(D401&lt;$A$15,$C$11,$C$11*(1-$G$11))</f>
        <v>200</v>
      </c>
      <c r="M401">
        <f>IF(D401&lt;$A$15,0,1)</f>
        <v>1</v>
      </c>
    </row>
    <row r="402" spans="4:13" x14ac:dyDescent="0.2">
      <c r="D402">
        <f t="shared" si="17"/>
        <v>379</v>
      </c>
      <c r="E402" s="1">
        <f t="shared" si="19"/>
        <v>260.93879527446876</v>
      </c>
      <c r="F402" s="1">
        <f t="shared" si="18"/>
        <v>-5.3872728795261082</v>
      </c>
      <c r="G402" s="1">
        <f t="shared" si="16"/>
        <v>4.5744313661742067E-3</v>
      </c>
      <c r="H402" s="1">
        <f>G402/$G$21</f>
        <v>3.2077494024514749E-4</v>
      </c>
      <c r="I402">
        <f>IF($E$11&lt;=D402, IF(D402&lt;=$A$15,D402-$E$11,$F$11),0)</f>
        <v>300</v>
      </c>
      <c r="J402">
        <f>IF(D402&lt;=$A$15,0,D402-$A$15)</f>
        <v>70</v>
      </c>
      <c r="K402" s="5">
        <f>IF(D402&lt;$E$11,H402,0)</f>
        <v>0</v>
      </c>
      <c r="L402">
        <f>IF(D402&lt;$A$15,$C$11,$C$11*(1-$G$11))</f>
        <v>200</v>
      </c>
      <c r="M402">
        <f>IF(D402&lt;$A$15,0,1)</f>
        <v>1</v>
      </c>
    </row>
    <row r="403" spans="4:13" x14ac:dyDescent="0.2">
      <c r="D403">
        <f t="shared" si="17"/>
        <v>380</v>
      </c>
      <c r="E403" s="1">
        <f t="shared" si="19"/>
        <v>260.86183423333267</v>
      </c>
      <c r="F403" s="1">
        <f t="shared" si="18"/>
        <v>-5.4642339206621955</v>
      </c>
      <c r="G403" s="1">
        <f t="shared" si="16"/>
        <v>4.2355845983096246E-3</v>
      </c>
      <c r="H403" s="1">
        <f>G403/$G$21</f>
        <v>2.9701383356033393E-4</v>
      </c>
      <c r="I403">
        <f>IF($E$11&lt;=D403, IF(D403&lt;=$A$15,D403-$E$11,$F$11),0)</f>
        <v>300</v>
      </c>
      <c r="J403">
        <f>IF(D403&lt;=$A$15,0,D403-$A$15)</f>
        <v>71</v>
      </c>
      <c r="K403" s="5">
        <f>IF(D403&lt;$E$11,H403,0)</f>
        <v>0</v>
      </c>
      <c r="L403">
        <f>IF(D403&lt;$A$15,$C$11,$C$11*(1-$G$11))</f>
        <v>200</v>
      </c>
      <c r="M403">
        <f>IF(D403&lt;$A$15,0,1)</f>
        <v>1</v>
      </c>
    </row>
    <row r="404" spans="4:13" x14ac:dyDescent="0.2">
      <c r="D404">
        <f t="shared" si="17"/>
        <v>381</v>
      </c>
      <c r="E404" s="1">
        <f t="shared" si="19"/>
        <v>260.78487319219659</v>
      </c>
      <c r="F404" s="1">
        <f t="shared" si="18"/>
        <v>-5.5411949617982827</v>
      </c>
      <c r="G404" s="1">
        <f t="shared" si="16"/>
        <v>3.9218375910275915E-3</v>
      </c>
      <c r="H404" s="1">
        <f>G404/$G$21</f>
        <v>2.7501280885217235E-4</v>
      </c>
      <c r="I404">
        <f>IF($E$11&lt;=D404, IF(D404&lt;=$A$15,D404-$E$11,$F$11),0)</f>
        <v>300</v>
      </c>
      <c r="J404">
        <f>IF(D404&lt;=$A$15,0,D404-$A$15)</f>
        <v>72</v>
      </c>
      <c r="K404" s="5">
        <f>IF(D404&lt;$E$11,H404,0)</f>
        <v>0</v>
      </c>
      <c r="L404">
        <f>IF(D404&lt;$A$15,$C$11,$C$11*(1-$G$11))</f>
        <v>200</v>
      </c>
      <c r="M404">
        <f>IF(D404&lt;$A$15,0,1)</f>
        <v>1</v>
      </c>
    </row>
    <row r="405" spans="4:13" x14ac:dyDescent="0.2">
      <c r="D405">
        <f t="shared" si="17"/>
        <v>382</v>
      </c>
      <c r="E405" s="1">
        <f t="shared" si="19"/>
        <v>260.7079121510605</v>
      </c>
      <c r="F405" s="1">
        <f t="shared" si="18"/>
        <v>-5.61815600293437</v>
      </c>
      <c r="G405" s="1">
        <f t="shared" si="16"/>
        <v>3.6313311028034743E-3</v>
      </c>
      <c r="H405" s="1">
        <f>G405/$G$21</f>
        <v>2.5464148967794782E-4</v>
      </c>
      <c r="I405">
        <f>IF($E$11&lt;=D405, IF(D405&lt;=$A$15,D405-$E$11,$F$11),0)</f>
        <v>300</v>
      </c>
      <c r="J405">
        <f>IF(D405&lt;=$A$15,0,D405-$A$15)</f>
        <v>73</v>
      </c>
      <c r="K405" s="5">
        <f>IF(D405&lt;$E$11,H405,0)</f>
        <v>0</v>
      </c>
      <c r="L405">
        <f>IF(D405&lt;$A$15,$C$11,$C$11*(1-$G$11))</f>
        <v>200</v>
      </c>
      <c r="M405">
        <f>IF(D405&lt;$A$15,0,1)</f>
        <v>1</v>
      </c>
    </row>
    <row r="406" spans="4:13" x14ac:dyDescent="0.2">
      <c r="D406">
        <f t="shared" si="17"/>
        <v>383</v>
      </c>
      <c r="E406" s="1">
        <f t="shared" si="19"/>
        <v>260.63095110992441</v>
      </c>
      <c r="F406" s="1">
        <f t="shared" si="18"/>
        <v>-5.6951170440704573</v>
      </c>
      <c r="G406" s="1">
        <f t="shared" si="16"/>
        <v>3.362343613707059E-3</v>
      </c>
      <c r="H406" s="1">
        <f>G406/$G$21</f>
        <v>2.3577915710922063E-4</v>
      </c>
      <c r="I406">
        <f>IF($E$11&lt;=D406, IF(D406&lt;=$A$15,D406-$E$11,$F$11),0)</f>
        <v>300</v>
      </c>
      <c r="J406">
        <f>IF(D406&lt;=$A$15,0,D406-$A$15)</f>
        <v>74</v>
      </c>
      <c r="K406" s="5">
        <f>IF(D406&lt;$E$11,H406,0)</f>
        <v>0</v>
      </c>
      <c r="L406">
        <f>IF(D406&lt;$A$15,$C$11,$C$11*(1-$G$11))</f>
        <v>200</v>
      </c>
      <c r="M406">
        <f>IF(D406&lt;$A$15,0,1)</f>
        <v>1</v>
      </c>
    </row>
    <row r="407" spans="4:13" x14ac:dyDescent="0.2">
      <c r="D407">
        <f t="shared" si="17"/>
        <v>384</v>
      </c>
      <c r="E407" s="1">
        <f t="shared" si="19"/>
        <v>260.55399006878832</v>
      </c>
      <c r="F407" s="1">
        <f t="shared" si="18"/>
        <v>-5.7720780852065445</v>
      </c>
      <c r="G407" s="1">
        <f t="shared" si="16"/>
        <v>3.1132811238029604E-3</v>
      </c>
      <c r="H407" s="1">
        <f>G407/$G$21</f>
        <v>2.1831403436039845E-4</v>
      </c>
      <c r="I407">
        <f>IF($E$11&lt;=D407, IF(D407&lt;=$A$15,D407-$E$11,$F$11),0)</f>
        <v>300</v>
      </c>
      <c r="J407">
        <f>IF(D407&lt;=$A$15,0,D407-$A$15)</f>
        <v>75</v>
      </c>
      <c r="K407" s="5">
        <f>IF(D407&lt;$E$11,H407,0)</f>
        <v>0</v>
      </c>
      <c r="L407">
        <f>IF(D407&lt;$A$15,$C$11,$C$11*(1-$G$11))</f>
        <v>200</v>
      </c>
      <c r="M407">
        <f>IF(D407&lt;$A$15,0,1)</f>
        <v>1</v>
      </c>
    </row>
    <row r="408" spans="4:13" x14ac:dyDescent="0.2">
      <c r="D408">
        <f t="shared" si="17"/>
        <v>385</v>
      </c>
      <c r="E408" s="1">
        <f t="shared" si="19"/>
        <v>260.47702902765224</v>
      </c>
      <c r="F408" s="1">
        <f t="shared" si="18"/>
        <v>-5.8490391263426318</v>
      </c>
      <c r="G408" s="1">
        <f t="shared" ref="G408:G471" si="20">EXP(F408)</f>
        <v>2.8826677072250817E-3</v>
      </c>
      <c r="H408" s="1">
        <f>G408/$G$21</f>
        <v>2.0214262440778464E-4</v>
      </c>
      <c r="I408">
        <f>IF($E$11&lt;=D408, IF(D408&lt;=$A$15,D408-$E$11,$F$11),0)</f>
        <v>300</v>
      </c>
      <c r="J408">
        <f>IF(D408&lt;=$A$15,0,D408-$A$15)</f>
        <v>76</v>
      </c>
      <c r="K408" s="5">
        <f>IF(D408&lt;$E$11,H408,0)</f>
        <v>0</v>
      </c>
      <c r="L408">
        <f>IF(D408&lt;$A$15,$C$11,$C$11*(1-$G$11))</f>
        <v>200</v>
      </c>
      <c r="M408">
        <f>IF(D408&lt;$A$15,0,1)</f>
        <v>1</v>
      </c>
    </row>
    <row r="409" spans="4:13" x14ac:dyDescent="0.2">
      <c r="D409">
        <f t="shared" ref="D409:D472" si="21">1+D408</f>
        <v>386</v>
      </c>
      <c r="E409" s="1">
        <f t="shared" si="19"/>
        <v>260.40006798651615</v>
      </c>
      <c r="F409" s="1">
        <f t="shared" ref="F409:F472" si="22">E409-$E$21</f>
        <v>-5.926000167478719</v>
      </c>
      <c r="G409" s="1">
        <f t="shared" si="20"/>
        <v>2.6691367659492592E-3</v>
      </c>
      <c r="H409" s="1">
        <f>G409/$G$21</f>
        <v>1.8716909667388236E-4</v>
      </c>
      <c r="I409">
        <f>IF($E$11&lt;=D409, IF(D409&lt;=$A$15,D409-$E$11,$F$11),0)</f>
        <v>300</v>
      </c>
      <c r="J409">
        <f>IF(D409&lt;=$A$15,0,D409-$A$15)</f>
        <v>77</v>
      </c>
      <c r="K409" s="5">
        <f>IF(D409&lt;$E$11,H409,0)</f>
        <v>0</v>
      </c>
      <c r="L409">
        <f>IF(D409&lt;$A$15,$C$11,$C$11*(1-$G$11))</f>
        <v>200</v>
      </c>
      <c r="M409">
        <f>IF(D409&lt;$A$15,0,1)</f>
        <v>1</v>
      </c>
    </row>
    <row r="410" spans="4:13" x14ac:dyDescent="0.2">
      <c r="D410">
        <f t="shared" si="21"/>
        <v>387</v>
      </c>
      <c r="E410" s="1">
        <f t="shared" si="19"/>
        <v>260.32310694538006</v>
      </c>
      <c r="F410" s="1">
        <f t="shared" si="22"/>
        <v>-6.0029612086148063</v>
      </c>
      <c r="G410" s="1">
        <f t="shared" si="20"/>
        <v>2.4714229314346005E-3</v>
      </c>
      <c r="H410" s="1">
        <f>G410/$G$21</f>
        <v>1.7330471914249075E-4</v>
      </c>
      <c r="I410">
        <f>IF($E$11&lt;=D410, IF(D410&lt;=$A$15,D410-$E$11,$F$11),0)</f>
        <v>300</v>
      </c>
      <c r="J410">
        <f>IF(D410&lt;=$A$15,0,D410-$A$15)</f>
        <v>78</v>
      </c>
      <c r="K410" s="5">
        <f>IF(D410&lt;$E$11,H410,0)</f>
        <v>0</v>
      </c>
      <c r="L410">
        <f>IF(D410&lt;$A$15,$C$11,$C$11*(1-$G$11))</f>
        <v>200</v>
      </c>
      <c r="M410">
        <f>IF(D410&lt;$A$15,0,1)</f>
        <v>1</v>
      </c>
    </row>
    <row r="411" spans="4:13" x14ac:dyDescent="0.2">
      <c r="D411">
        <f t="shared" si="21"/>
        <v>388</v>
      </c>
      <c r="E411" s="1">
        <f t="shared" si="19"/>
        <v>260.24614590424397</v>
      </c>
      <c r="F411" s="1">
        <f t="shared" si="22"/>
        <v>-6.0799222497508936</v>
      </c>
      <c r="G411" s="1">
        <f t="shared" si="20"/>
        <v>2.2883545661432428E-3</v>
      </c>
      <c r="H411" s="1">
        <f>G411/$G$21</f>
        <v>1.6046733253934989E-4</v>
      </c>
      <c r="I411">
        <f>IF($E$11&lt;=D411, IF(D411&lt;=$A$15,D411-$E$11,$F$11),0)</f>
        <v>300</v>
      </c>
      <c r="J411">
        <f>IF(D411&lt;=$A$15,0,D411-$A$15)</f>
        <v>79</v>
      </c>
      <c r="K411" s="5">
        <f>IF(D411&lt;$E$11,H411,0)</f>
        <v>0</v>
      </c>
      <c r="L411">
        <f>IF(D411&lt;$A$15,$C$11,$C$11*(1-$G$11))</f>
        <v>200</v>
      </c>
      <c r="M411">
        <f>IF(D411&lt;$A$15,0,1)</f>
        <v>1</v>
      </c>
    </row>
    <row r="412" spans="4:13" x14ac:dyDescent="0.2">
      <c r="D412">
        <f t="shared" si="21"/>
        <v>389</v>
      </c>
      <c r="E412" s="1">
        <f t="shared" si="19"/>
        <v>260.16918486310789</v>
      </c>
      <c r="F412" s="1">
        <f t="shared" si="22"/>
        <v>-6.1568832908869808</v>
      </c>
      <c r="G412" s="1">
        <f t="shared" si="20"/>
        <v>2.1188468205030897E-3</v>
      </c>
      <c r="H412" s="1">
        <f>G412/$G$21</f>
        <v>1.4858086346236714E-4</v>
      </c>
      <c r="I412">
        <f>IF($E$11&lt;=D412, IF(D412&lt;=$A$15,D412-$E$11,$F$11),0)</f>
        <v>300</v>
      </c>
      <c r="J412">
        <f>IF(D412&lt;=$A$15,0,D412-$A$15)</f>
        <v>80</v>
      </c>
      <c r="K412" s="5">
        <f>IF(D412&lt;$E$11,H412,0)</f>
        <v>0</v>
      </c>
      <c r="L412">
        <f>IF(D412&lt;$A$15,$C$11,$C$11*(1-$G$11))</f>
        <v>200</v>
      </c>
      <c r="M412">
        <f>IF(D412&lt;$A$15,0,1)</f>
        <v>1</v>
      </c>
    </row>
    <row r="413" spans="4:13" x14ac:dyDescent="0.2">
      <c r="D413">
        <f t="shared" si="21"/>
        <v>390</v>
      </c>
      <c r="E413" s="1">
        <f t="shared" si="19"/>
        <v>260.0922238219718</v>
      </c>
      <c r="F413" s="1">
        <f t="shared" si="22"/>
        <v>-6.2338443320230681</v>
      </c>
      <c r="G413" s="1">
        <f t="shared" si="20"/>
        <v>1.9618952041696078E-3</v>
      </c>
      <c r="H413" s="1">
        <f>G413/$G$21</f>
        <v>1.375748735762715E-4</v>
      </c>
      <c r="I413">
        <f>IF($E$11&lt;=D413, IF(D413&lt;=$A$15,D413-$E$11,$F$11),0)</f>
        <v>300</v>
      </c>
      <c r="J413">
        <f>IF(D413&lt;=$A$15,0,D413-$A$15)</f>
        <v>81</v>
      </c>
      <c r="K413" s="5">
        <f>IF(D413&lt;$E$11,H413,0)</f>
        <v>0</v>
      </c>
      <c r="L413">
        <f>IF(D413&lt;$A$15,$C$11,$C$11*(1-$G$11))</f>
        <v>200</v>
      </c>
      <c r="M413">
        <f>IF(D413&lt;$A$15,0,1)</f>
        <v>1</v>
      </c>
    </row>
    <row r="414" spans="4:13" x14ac:dyDescent="0.2">
      <c r="D414">
        <f t="shared" si="21"/>
        <v>391</v>
      </c>
      <c r="E414" s="1">
        <f t="shared" si="19"/>
        <v>260.01526278083571</v>
      </c>
      <c r="F414" s="1">
        <f t="shared" si="22"/>
        <v>-6.3108053731591554</v>
      </c>
      <c r="G414" s="1">
        <f t="shared" si="20"/>
        <v>1.8165696334904522E-3</v>
      </c>
      <c r="H414" s="1">
        <f>G414/$G$21</f>
        <v>1.2738414220025661E-4</v>
      </c>
      <c r="I414">
        <f>IF($E$11&lt;=D414, IF(D414&lt;=$A$15,D414-$E$11,$F$11),0)</f>
        <v>300</v>
      </c>
      <c r="J414">
        <f>IF(D414&lt;=$A$15,0,D414-$A$15)</f>
        <v>82</v>
      </c>
      <c r="K414" s="5">
        <f>IF(D414&lt;$E$11,H414,0)</f>
        <v>0</v>
      </c>
      <c r="L414">
        <f>IF(D414&lt;$A$15,$C$11,$C$11*(1-$G$11))</f>
        <v>200</v>
      </c>
      <c r="M414">
        <f>IF(D414&lt;$A$15,0,1)</f>
        <v>1</v>
      </c>
    </row>
    <row r="415" spans="4:13" x14ac:dyDescent="0.2">
      <c r="D415">
        <f t="shared" si="21"/>
        <v>392</v>
      </c>
      <c r="E415" s="1">
        <f t="shared" si="19"/>
        <v>259.93830173969963</v>
      </c>
      <c r="F415" s="1">
        <f t="shared" si="22"/>
        <v>-6.3877664142952426</v>
      </c>
      <c r="G415" s="1">
        <f t="shared" si="20"/>
        <v>1.682008919898636E-3</v>
      </c>
      <c r="H415" s="1">
        <f>G415/$G$21</f>
        <v>1.1794827981505726E-4</v>
      </c>
      <c r="I415">
        <f>IF($E$11&lt;=D415, IF(D415&lt;=$A$15,D415-$E$11,$F$11),0)</f>
        <v>300</v>
      </c>
      <c r="J415">
        <f>IF(D415&lt;=$A$15,0,D415-$A$15)</f>
        <v>83</v>
      </c>
      <c r="K415" s="5">
        <f>IF(D415&lt;$E$11,H415,0)</f>
        <v>0</v>
      </c>
      <c r="L415">
        <f>IF(D415&lt;$A$15,$C$11,$C$11*(1-$G$11))</f>
        <v>200</v>
      </c>
      <c r="M415">
        <f>IF(D415&lt;$A$15,0,1)</f>
        <v>1</v>
      </c>
    </row>
    <row r="416" spans="4:13" x14ac:dyDescent="0.2">
      <c r="D416">
        <f t="shared" si="21"/>
        <v>393</v>
      </c>
      <c r="E416" s="1">
        <f t="shared" si="19"/>
        <v>259.86134069856354</v>
      </c>
      <c r="F416" s="1">
        <f t="shared" si="22"/>
        <v>-6.4647274554313299</v>
      </c>
      <c r="G416" s="1">
        <f t="shared" si="20"/>
        <v>1.5574156665728752E-3</v>
      </c>
      <c r="H416" s="1">
        <f>G416/$G$21</f>
        <v>1.0921137019913159E-4</v>
      </c>
      <c r="I416">
        <f>IF($E$11&lt;=D416, IF(D416&lt;=$A$15,D416-$E$11,$F$11),0)</f>
        <v>300</v>
      </c>
      <c r="J416">
        <f>IF(D416&lt;=$A$15,0,D416-$A$15)</f>
        <v>84</v>
      </c>
      <c r="K416" s="5">
        <f>IF(D416&lt;$E$11,H416,0)</f>
        <v>0</v>
      </c>
      <c r="L416">
        <f>IF(D416&lt;$A$15,$C$11,$C$11*(1-$G$11))</f>
        <v>200</v>
      </c>
      <c r="M416">
        <f>IF(D416&lt;$A$15,0,1)</f>
        <v>1</v>
      </c>
    </row>
    <row r="417" spans="4:13" x14ac:dyDescent="0.2">
      <c r="D417">
        <f t="shared" si="21"/>
        <v>394</v>
      </c>
      <c r="E417" s="1">
        <f t="shared" si="19"/>
        <v>259.78437965742745</v>
      </c>
      <c r="F417" s="1">
        <f t="shared" si="22"/>
        <v>-6.5416884965674171</v>
      </c>
      <c r="G417" s="1">
        <f t="shared" si="20"/>
        <v>1.4420515431230916E-3</v>
      </c>
      <c r="H417" s="1">
        <f>G417/$G$21</f>
        <v>1.0112163907327413E-4</v>
      </c>
      <c r="I417">
        <f>IF($E$11&lt;=D417, IF(D417&lt;=$A$15,D417-$E$11,$F$11),0)</f>
        <v>300</v>
      </c>
      <c r="J417">
        <f>IF(D417&lt;=$A$15,0,D417-$A$15)</f>
        <v>85</v>
      </c>
      <c r="K417" s="5">
        <f>IF(D417&lt;$E$11,H417,0)</f>
        <v>0</v>
      </c>
      <c r="L417">
        <f>IF(D417&lt;$A$15,$C$11,$C$11*(1-$G$11))</f>
        <v>200</v>
      </c>
      <c r="M417">
        <f>IF(D417&lt;$A$15,0,1)</f>
        <v>1</v>
      </c>
    </row>
    <row r="418" spans="4:13" x14ac:dyDescent="0.2">
      <c r="D418">
        <f t="shared" si="21"/>
        <v>395</v>
      </c>
      <c r="E418" s="1">
        <f t="shared" si="19"/>
        <v>259.70741861629136</v>
      </c>
      <c r="F418" s="1">
        <f t="shared" si="22"/>
        <v>-6.6186495377035044</v>
      </c>
      <c r="G418" s="1">
        <f t="shared" si="20"/>
        <v>1.3352329102992138E-3</v>
      </c>
      <c r="H418" s="1">
        <f>G418/$G$21</f>
        <v>9.3631147290072498E-5</v>
      </c>
      <c r="I418">
        <f>IF($E$11&lt;=D418, IF(D418&lt;=$A$15,D418-$E$11,$F$11),0)</f>
        <v>300</v>
      </c>
      <c r="J418">
        <f>IF(D418&lt;=$A$15,0,D418-$A$15)</f>
        <v>86</v>
      </c>
      <c r="K418" s="5">
        <f>IF(D418&lt;$E$11,H418,0)</f>
        <v>0</v>
      </c>
      <c r="L418">
        <f>IF(D418&lt;$A$15,$C$11,$C$11*(1-$G$11))</f>
        <v>200</v>
      </c>
      <c r="M418">
        <f>IF(D418&lt;$A$15,0,1)</f>
        <v>1</v>
      </c>
    </row>
    <row r="419" spans="4:13" x14ac:dyDescent="0.2">
      <c r="D419">
        <f t="shared" si="21"/>
        <v>396</v>
      </c>
      <c r="E419" s="1">
        <f t="shared" si="19"/>
        <v>259.63045757515528</v>
      </c>
      <c r="F419" s="1">
        <f t="shared" si="22"/>
        <v>-6.6956105788395917</v>
      </c>
      <c r="G419" s="1">
        <f t="shared" si="20"/>
        <v>1.2363267687956192E-3</v>
      </c>
      <c r="H419" s="1">
        <f>G419/$G$21</f>
        <v>8.6695506750070694E-5</v>
      </c>
      <c r="I419">
        <f>IF($E$11&lt;=D419, IF(D419&lt;=$A$15,D419-$E$11,$F$11),0)</f>
        <v>300</v>
      </c>
      <c r="J419">
        <f>IF(D419&lt;=$A$15,0,D419-$A$15)</f>
        <v>87</v>
      </c>
      <c r="K419" s="5">
        <f>IF(D419&lt;$E$11,H419,0)</f>
        <v>0</v>
      </c>
      <c r="L419">
        <f>IF(D419&lt;$A$15,$C$11,$C$11*(1-$G$11))</f>
        <v>200</v>
      </c>
      <c r="M419">
        <f>IF(D419&lt;$A$15,0,1)</f>
        <v>1</v>
      </c>
    </row>
    <row r="420" spans="4:13" x14ac:dyDescent="0.2">
      <c r="D420">
        <f t="shared" si="21"/>
        <v>397</v>
      </c>
      <c r="E420" s="1">
        <f t="shared" si="19"/>
        <v>259.55349653401919</v>
      </c>
      <c r="F420" s="1">
        <f t="shared" si="22"/>
        <v>-6.7725716199756789</v>
      </c>
      <c r="G420" s="1">
        <f t="shared" si="20"/>
        <v>1.1447470081441388E-3</v>
      </c>
      <c r="H420" s="1">
        <f>G420/$G$21</f>
        <v>8.027361736117986E-5</v>
      </c>
      <c r="I420">
        <f>IF($E$11&lt;=D420, IF(D420&lt;=$A$15,D420-$E$11,$F$11),0)</f>
        <v>300</v>
      </c>
      <c r="J420">
        <f>IF(D420&lt;=$A$15,0,D420-$A$15)</f>
        <v>88</v>
      </c>
      <c r="K420" s="5">
        <f>IF(D420&lt;$E$11,H420,0)</f>
        <v>0</v>
      </c>
      <c r="L420">
        <f>IF(D420&lt;$A$15,$C$11,$C$11*(1-$G$11))</f>
        <v>200</v>
      </c>
      <c r="M420">
        <f>IF(D420&lt;$A$15,0,1)</f>
        <v>1</v>
      </c>
    </row>
    <row r="421" spans="4:13" x14ac:dyDescent="0.2">
      <c r="D421">
        <f t="shared" si="21"/>
        <v>398</v>
      </c>
      <c r="E421" s="1">
        <f t="shared" si="19"/>
        <v>259.4765354928831</v>
      </c>
      <c r="F421" s="1">
        <f t="shared" si="22"/>
        <v>-6.8495326611117662</v>
      </c>
      <c r="G421" s="1">
        <f t="shared" si="20"/>
        <v>1.0599509334668388E-3</v>
      </c>
      <c r="H421" s="1">
        <f>G421/$G$21</f>
        <v>7.4327423482577003E-5</v>
      </c>
      <c r="I421">
        <f>IF($E$11&lt;=D421, IF(D421&lt;=$A$15,D421-$E$11,$F$11),0)</f>
        <v>300</v>
      </c>
      <c r="J421">
        <f>IF(D421&lt;=$A$15,0,D421-$A$15)</f>
        <v>89</v>
      </c>
      <c r="K421" s="5">
        <f>IF(D421&lt;$E$11,H421,0)</f>
        <v>0</v>
      </c>
      <c r="L421">
        <f>IF(D421&lt;$A$15,$C$11,$C$11*(1-$G$11))</f>
        <v>200</v>
      </c>
      <c r="M421">
        <f>IF(D421&lt;$A$15,0,1)</f>
        <v>1</v>
      </c>
    </row>
    <row r="422" spans="4:13" x14ac:dyDescent="0.2">
      <c r="D422">
        <f t="shared" si="21"/>
        <v>399</v>
      </c>
      <c r="E422" s="1">
        <f t="shared" si="19"/>
        <v>259.39957445174701</v>
      </c>
      <c r="F422" s="1">
        <f t="shared" si="22"/>
        <v>-6.9264937022478534</v>
      </c>
      <c r="G422" s="1">
        <f t="shared" si="20"/>
        <v>9.8143604950637234E-4</v>
      </c>
      <c r="H422" s="1">
        <f>G422/$G$21</f>
        <v>6.8821688409796328E-5</v>
      </c>
      <c r="I422">
        <f>IF($E$11&lt;=D422, IF(D422&lt;=$A$15,D422-$E$11,$F$11),0)</f>
        <v>300</v>
      </c>
      <c r="J422">
        <f>IF(D422&lt;=$A$15,0,D422-$A$15)</f>
        <v>90</v>
      </c>
      <c r="K422" s="5">
        <f>IF(D422&lt;$E$11,H422,0)</f>
        <v>0</v>
      </c>
      <c r="L422">
        <f>IF(D422&lt;$A$15,$C$11,$C$11*(1-$G$11))</f>
        <v>200</v>
      </c>
      <c r="M422">
        <f>IF(D422&lt;$A$15,0,1)</f>
        <v>1</v>
      </c>
    </row>
    <row r="423" spans="4:13" x14ac:dyDescent="0.2">
      <c r="D423">
        <f t="shared" si="21"/>
        <v>400</v>
      </c>
      <c r="E423" s="1">
        <f t="shared" si="19"/>
        <v>259.32261341061093</v>
      </c>
      <c r="F423" s="1">
        <f t="shared" si="22"/>
        <v>-7.0034547433839407</v>
      </c>
      <c r="G423" s="1">
        <f t="shared" si="20"/>
        <v>9.0873708287630809E-4</v>
      </c>
      <c r="H423" s="1">
        <f>G423/$G$21</f>
        <v>6.3723785564628849E-5</v>
      </c>
      <c r="I423">
        <f>IF($E$11&lt;=D423, IF(D423&lt;=$A$15,D423-$E$11,$F$11),0)</f>
        <v>300</v>
      </c>
      <c r="J423">
        <f>IF(D423&lt;=$A$15,0,D423-$A$15)</f>
        <v>91</v>
      </c>
      <c r="K423" s="5">
        <f>IF(D423&lt;$E$11,H423,0)</f>
        <v>0</v>
      </c>
      <c r="L423">
        <f>IF(D423&lt;$A$15,$C$11,$C$11*(1-$G$11))</f>
        <v>200</v>
      </c>
      <c r="M423">
        <f>IF(D423&lt;$A$15,0,1)</f>
        <v>1</v>
      </c>
    </row>
    <row r="424" spans="4:13" x14ac:dyDescent="0.2">
      <c r="D424">
        <f t="shared" si="21"/>
        <v>401</v>
      </c>
      <c r="E424" s="1">
        <f t="shared" si="19"/>
        <v>259.24565236947484</v>
      </c>
      <c r="F424" s="1">
        <f t="shared" si="22"/>
        <v>-7.080415784520028</v>
      </c>
      <c r="G424" s="1">
        <f t="shared" si="20"/>
        <v>8.4142322488550496E-4</v>
      </c>
      <c r="H424" s="1">
        <f>G424/$G$21</f>
        <v>5.9003505152436547E-5</v>
      </c>
      <c r="I424">
        <f>IF($E$11&lt;=D424, IF(D424&lt;=$A$15,D424-$E$11,$F$11),0)</f>
        <v>300</v>
      </c>
      <c r="J424">
        <f>IF(D424&lt;=$A$15,0,D424-$A$15)</f>
        <v>92</v>
      </c>
      <c r="K424" s="5">
        <f>IF(D424&lt;$E$11,H424,0)</f>
        <v>0</v>
      </c>
      <c r="L424">
        <f>IF(D424&lt;$A$15,$C$11,$C$11*(1-$G$11))</f>
        <v>200</v>
      </c>
      <c r="M424">
        <f>IF(D424&lt;$A$15,0,1)</f>
        <v>1</v>
      </c>
    </row>
    <row r="425" spans="4:13" x14ac:dyDescent="0.2">
      <c r="D425">
        <f t="shared" si="21"/>
        <v>402</v>
      </c>
      <c r="E425" s="1">
        <f t="shared" si="19"/>
        <v>259.16869132833875</v>
      </c>
      <c r="F425" s="1">
        <f t="shared" si="22"/>
        <v>-7.1573768256561152</v>
      </c>
      <c r="G425" s="1">
        <f t="shared" si="20"/>
        <v>7.7909557859772187E-4</v>
      </c>
      <c r="H425" s="1">
        <f>G425/$G$21</f>
        <v>5.46328751411472E-5</v>
      </c>
      <c r="I425">
        <f>IF($E$11&lt;=D425, IF(D425&lt;=$A$15,D425-$E$11,$F$11),0)</f>
        <v>300</v>
      </c>
      <c r="J425">
        <f>IF(D425&lt;=$A$15,0,D425-$A$15)</f>
        <v>93</v>
      </c>
      <c r="K425" s="5">
        <f>IF(D425&lt;$E$11,H425,0)</f>
        <v>0</v>
      </c>
      <c r="L425">
        <f>IF(D425&lt;$A$15,$C$11,$C$11*(1-$G$11))</f>
        <v>200</v>
      </c>
      <c r="M425">
        <f>IF(D425&lt;$A$15,0,1)</f>
        <v>1</v>
      </c>
    </row>
    <row r="426" spans="4:13" x14ac:dyDescent="0.2">
      <c r="D426">
        <f t="shared" si="21"/>
        <v>403</v>
      </c>
      <c r="E426" s="1">
        <f t="shared" si="19"/>
        <v>259.09173028720267</v>
      </c>
      <c r="F426" s="1">
        <f t="shared" si="22"/>
        <v>-7.2343378667922025</v>
      </c>
      <c r="G426" s="1">
        <f t="shared" si="20"/>
        <v>7.2138479499792019E-4</v>
      </c>
      <c r="H426" s="1">
        <f>G426/$G$21</f>
        <v>5.0585995501064298E-5</v>
      </c>
      <c r="I426">
        <f>IF($E$11&lt;=D426, IF(D426&lt;=$A$15,D426-$E$11,$F$11),0)</f>
        <v>300</v>
      </c>
      <c r="J426">
        <f>IF(D426&lt;=$A$15,0,D426-$A$15)</f>
        <v>94</v>
      </c>
      <c r="K426" s="5">
        <f>IF(D426&lt;$E$11,H426,0)</f>
        <v>0</v>
      </c>
      <c r="L426">
        <f>IF(D426&lt;$A$15,$C$11,$C$11*(1-$G$11))</f>
        <v>200</v>
      </c>
      <c r="M426">
        <f>IF(D426&lt;$A$15,0,1)</f>
        <v>1</v>
      </c>
    </row>
    <row r="427" spans="4:13" x14ac:dyDescent="0.2">
      <c r="D427">
        <f t="shared" si="21"/>
        <v>404</v>
      </c>
      <c r="E427" s="1">
        <f t="shared" si="19"/>
        <v>259.01476924606658</v>
      </c>
      <c r="F427" s="1">
        <f t="shared" si="22"/>
        <v>-7.3112989079282897</v>
      </c>
      <c r="G427" s="1">
        <f t="shared" si="20"/>
        <v>6.6794888425736093E-4</v>
      </c>
      <c r="H427" s="1">
        <f>G427/$G$21</f>
        <v>4.6838884723209605E-5</v>
      </c>
      <c r="I427">
        <f>IF($E$11&lt;=D427, IF(D427&lt;=$A$15,D427-$E$11,$F$11),0)</f>
        <v>300</v>
      </c>
      <c r="J427">
        <f>IF(D427&lt;=$A$15,0,D427-$A$15)</f>
        <v>95</v>
      </c>
      <c r="K427" s="5">
        <f>IF(D427&lt;$E$11,H427,0)</f>
        <v>0</v>
      </c>
      <c r="L427">
        <f>IF(D427&lt;$A$15,$C$11,$C$11*(1-$G$11))</f>
        <v>200</v>
      </c>
      <c r="M427">
        <f>IF(D427&lt;$A$15,0,1)</f>
        <v>1</v>
      </c>
    </row>
    <row r="428" spans="4:13" x14ac:dyDescent="0.2">
      <c r="D428">
        <f t="shared" si="21"/>
        <v>405</v>
      </c>
      <c r="E428" s="1">
        <f t="shared" si="19"/>
        <v>258.93780820493049</v>
      </c>
      <c r="F428" s="1">
        <f t="shared" si="22"/>
        <v>-7.388259949064377</v>
      </c>
      <c r="G428" s="1">
        <f t="shared" si="20"/>
        <v>6.184711891272115E-4</v>
      </c>
      <c r="H428" s="1">
        <f>G428/$G$21</f>
        <v>4.3369337706677344E-5</v>
      </c>
      <c r="I428">
        <f>IF($E$11&lt;=D428, IF(D428&lt;=$A$15,D428-$E$11,$F$11),0)</f>
        <v>300</v>
      </c>
      <c r="J428">
        <f>IF(D428&lt;=$A$15,0,D428-$A$15)</f>
        <v>96</v>
      </c>
      <c r="K428" s="5">
        <f>IF(D428&lt;$E$11,H428,0)</f>
        <v>0</v>
      </c>
      <c r="L428">
        <f>IF(D428&lt;$A$15,$C$11,$C$11*(1-$G$11))</f>
        <v>200</v>
      </c>
      <c r="M428">
        <f>IF(D428&lt;$A$15,0,1)</f>
        <v>1</v>
      </c>
    </row>
    <row r="429" spans="4:13" x14ac:dyDescent="0.2">
      <c r="D429">
        <f t="shared" si="21"/>
        <v>406</v>
      </c>
      <c r="E429" s="1">
        <f t="shared" si="19"/>
        <v>258.8608471637944</v>
      </c>
      <c r="F429" s="1">
        <f t="shared" si="22"/>
        <v>-7.4652209902004643</v>
      </c>
      <c r="G429" s="1">
        <f t="shared" si="20"/>
        <v>5.7265850845114521E-4</v>
      </c>
      <c r="H429" s="1">
        <f>G429/$G$21</f>
        <v>4.0156794172851037E-5</v>
      </c>
      <c r="I429">
        <f>IF($E$11&lt;=D429, IF(D429&lt;=$A$15,D429-$E$11,$F$11),0)</f>
        <v>300</v>
      </c>
      <c r="J429">
        <f>IF(D429&lt;=$A$15,0,D429-$A$15)</f>
        <v>97</v>
      </c>
      <c r="K429" s="5">
        <f>IF(D429&lt;$E$11,H429,0)</f>
        <v>0</v>
      </c>
      <c r="L429">
        <f>IF(D429&lt;$A$15,$C$11,$C$11*(1-$G$11))</f>
        <v>200</v>
      </c>
      <c r="M429">
        <f>IF(D429&lt;$A$15,0,1)</f>
        <v>1</v>
      </c>
    </row>
    <row r="430" spans="4:13" x14ac:dyDescent="0.2">
      <c r="D430">
        <f t="shared" si="21"/>
        <v>407</v>
      </c>
      <c r="E430" s="1">
        <f t="shared" si="19"/>
        <v>258.78388612265832</v>
      </c>
      <c r="F430" s="1">
        <f t="shared" si="22"/>
        <v>-7.5421820313365515</v>
      </c>
      <c r="G430" s="1">
        <f t="shared" si="20"/>
        <v>5.3023935967700807E-4</v>
      </c>
      <c r="H430" s="1">
        <f>G430/$G$21</f>
        <v>3.7182216826715447E-5</v>
      </c>
      <c r="I430">
        <f>IF($E$11&lt;=D430, IF(D430&lt;=$A$15,D430-$E$11,$F$11),0)</f>
        <v>300</v>
      </c>
      <c r="J430">
        <f>IF(D430&lt;=$A$15,0,D430-$A$15)</f>
        <v>98</v>
      </c>
      <c r="K430" s="5">
        <f>IF(D430&lt;$E$11,H430,0)</f>
        <v>0</v>
      </c>
      <c r="L430">
        <f>IF(D430&lt;$A$15,$C$11,$C$11*(1-$G$11))</f>
        <v>200</v>
      </c>
      <c r="M430">
        <f>IF(D430&lt;$A$15,0,1)</f>
        <v>1</v>
      </c>
    </row>
    <row r="431" spans="4:13" x14ac:dyDescent="0.2">
      <c r="D431">
        <f t="shared" si="21"/>
        <v>408</v>
      </c>
      <c r="E431" s="1">
        <f t="shared" si="19"/>
        <v>258.70692508152223</v>
      </c>
      <c r="F431" s="1">
        <f t="shared" si="22"/>
        <v>-7.6191430724726388</v>
      </c>
      <c r="G431" s="1">
        <f t="shared" si="20"/>
        <v>4.9096237007132391E-4</v>
      </c>
      <c r="H431" s="1">
        <f>G431/$G$21</f>
        <v>3.4427978543256456E-5</v>
      </c>
      <c r="I431">
        <f>IF($E$11&lt;=D431, IF(D431&lt;=$A$15,D431-$E$11,$F$11),0)</f>
        <v>300</v>
      </c>
      <c r="J431">
        <f>IF(D431&lt;=$A$15,0,D431-$A$15)</f>
        <v>99</v>
      </c>
      <c r="K431" s="5">
        <f>IF(D431&lt;$E$11,H431,0)</f>
        <v>0</v>
      </c>
      <c r="L431">
        <f>IF(D431&lt;$A$15,$C$11,$C$11*(1-$G$11))</f>
        <v>200</v>
      </c>
      <c r="M431">
        <f>IF(D431&lt;$A$15,0,1)</f>
        <v>1</v>
      </c>
    </row>
    <row r="432" spans="4:13" x14ac:dyDescent="0.2">
      <c r="D432">
        <f t="shared" si="21"/>
        <v>409</v>
      </c>
      <c r="E432" s="1">
        <f t="shared" si="19"/>
        <v>258.62996404038614</v>
      </c>
      <c r="F432" s="1">
        <f t="shared" si="22"/>
        <v>-7.696104113608726</v>
      </c>
      <c r="G432" s="1">
        <f t="shared" si="20"/>
        <v>4.5459478710309641E-4</v>
      </c>
      <c r="H432" s="1">
        <f>G432/$G$21</f>
        <v>3.1877757910423955E-5</v>
      </c>
      <c r="I432">
        <f>IF($E$11&lt;=D432, IF(D432&lt;=$A$15,D432-$E$11,$F$11),0)</f>
        <v>300</v>
      </c>
      <c r="J432">
        <f>IF(D432&lt;=$A$15,0,D432-$A$15)</f>
        <v>100</v>
      </c>
      <c r="K432" s="5">
        <f>IF(D432&lt;$E$11,H432,0)</f>
        <v>0</v>
      </c>
      <c r="L432">
        <f>IF(D432&lt;$A$15,$C$11,$C$11*(1-$G$11))</f>
        <v>200</v>
      </c>
      <c r="M432">
        <f>IF(D432&lt;$A$15,0,1)</f>
        <v>1</v>
      </c>
    </row>
    <row r="433" spans="4:13" x14ac:dyDescent="0.2">
      <c r="D433">
        <f t="shared" si="21"/>
        <v>410</v>
      </c>
      <c r="E433" s="1">
        <f t="shared" si="19"/>
        <v>258.55300299925005</v>
      </c>
      <c r="F433" s="1">
        <f t="shared" si="22"/>
        <v>-7.7730651547448133</v>
      </c>
      <c r="G433" s="1">
        <f t="shared" si="20"/>
        <v>4.2092109916955098E-4</v>
      </c>
      <c r="H433" s="1">
        <f>G433/$G$21</f>
        <v>2.9516442509653025E-5</v>
      </c>
      <c r="I433">
        <f>IF($E$11&lt;=D433, IF(D433&lt;=$A$15,D433-$E$11,$F$11),0)</f>
        <v>300</v>
      </c>
      <c r="J433">
        <f>IF(D433&lt;=$A$15,0,D433-$A$15)</f>
        <v>101</v>
      </c>
      <c r="K433" s="5">
        <f>IF(D433&lt;$E$11,H433,0)</f>
        <v>0</v>
      </c>
      <c r="L433">
        <f>IF(D433&lt;$A$15,$C$11,$C$11*(1-$G$11))</f>
        <v>200</v>
      </c>
      <c r="M433">
        <f>IF(D433&lt;$A$15,0,1)</f>
        <v>1</v>
      </c>
    </row>
    <row r="434" spans="4:13" x14ac:dyDescent="0.2">
      <c r="D434">
        <f t="shared" si="21"/>
        <v>411</v>
      </c>
      <c r="E434" s="1">
        <f t="shared" si="19"/>
        <v>258.47604195811397</v>
      </c>
      <c r="F434" s="1">
        <f t="shared" si="22"/>
        <v>-7.8500261958809006</v>
      </c>
      <c r="G434" s="1">
        <f t="shared" si="20"/>
        <v>3.8974175849034099E-4</v>
      </c>
      <c r="H434" s="1">
        <f>G434/$G$21</f>
        <v>2.7330039360790961E-5</v>
      </c>
      <c r="I434">
        <f>IF($E$11&lt;=D434, IF(D434&lt;=$A$15,D434-$E$11,$F$11),0)</f>
        <v>300</v>
      </c>
      <c r="J434">
        <f>IF(D434&lt;=$A$15,0,D434-$A$15)</f>
        <v>102</v>
      </c>
      <c r="K434" s="5">
        <f>IF(D434&lt;$E$11,H434,0)</f>
        <v>0</v>
      </c>
      <c r="L434">
        <f>IF(D434&lt;$A$15,$C$11,$C$11*(1-$G$11))</f>
        <v>200</v>
      </c>
      <c r="M434">
        <f>IF(D434&lt;$A$15,0,1)</f>
        <v>1</v>
      </c>
    </row>
    <row r="435" spans="4:13" x14ac:dyDescent="0.2">
      <c r="D435">
        <f t="shared" si="21"/>
        <v>412</v>
      </c>
      <c r="E435" s="1">
        <f t="shared" si="19"/>
        <v>258.39908091697788</v>
      </c>
      <c r="F435" s="1">
        <f t="shared" si="22"/>
        <v>-7.9269872370169878</v>
      </c>
      <c r="G435" s="1">
        <f t="shared" si="20"/>
        <v>3.6087199860218241E-4</v>
      </c>
      <c r="H435" s="1">
        <f>G435/$G$21</f>
        <v>2.530559200073341E-5</v>
      </c>
      <c r="I435">
        <f>IF($E$11&lt;=D435, IF(D435&lt;=$A$15,D435-$E$11,$F$11),0)</f>
        <v>300</v>
      </c>
      <c r="J435">
        <f>IF(D435&lt;=$A$15,0,D435-$A$15)</f>
        <v>103</v>
      </c>
      <c r="K435" s="5">
        <f>IF(D435&lt;$E$11,H435,0)</f>
        <v>0</v>
      </c>
      <c r="L435">
        <f>IF(D435&lt;$A$15,$C$11,$C$11*(1-$G$11))</f>
        <v>200</v>
      </c>
      <c r="M435">
        <f>IF(D435&lt;$A$15,0,1)</f>
        <v>1</v>
      </c>
    </row>
    <row r="436" spans="4:13" x14ac:dyDescent="0.2">
      <c r="D436">
        <f t="shared" si="21"/>
        <v>413</v>
      </c>
      <c r="E436" s="1">
        <f t="shared" si="19"/>
        <v>258.32211987584179</v>
      </c>
      <c r="F436" s="1">
        <f t="shared" si="22"/>
        <v>-8.0039482781530751</v>
      </c>
      <c r="G436" s="1">
        <f t="shared" si="20"/>
        <v>3.341407394464789E-4</v>
      </c>
      <c r="H436" s="1">
        <f>G436/$G$21</f>
        <v>2.3431103704383747E-5</v>
      </c>
      <c r="I436">
        <f>IF($E$11&lt;=D436, IF(D436&lt;=$A$15,D436-$E$11,$F$11),0)</f>
        <v>300</v>
      </c>
      <c r="J436">
        <f>IF(D436&lt;=$A$15,0,D436-$A$15)</f>
        <v>104</v>
      </c>
      <c r="K436" s="5">
        <f>IF(D436&lt;$E$11,H436,0)</f>
        <v>0</v>
      </c>
      <c r="L436">
        <f>IF(D436&lt;$A$15,$C$11,$C$11*(1-$G$11))</f>
        <v>200</v>
      </c>
      <c r="M436">
        <f>IF(D436&lt;$A$15,0,1)</f>
        <v>1</v>
      </c>
    </row>
    <row r="437" spans="4:13" x14ac:dyDescent="0.2">
      <c r="D437">
        <f t="shared" si="21"/>
        <v>414</v>
      </c>
      <c r="E437" s="1">
        <f t="shared" si="19"/>
        <v>258.24515883470571</v>
      </c>
      <c r="F437" s="1">
        <f t="shared" si="22"/>
        <v>-8.0809093192891623</v>
      </c>
      <c r="G437" s="1">
        <f t="shared" si="20"/>
        <v>3.0938957356156725E-4</v>
      </c>
      <c r="H437" s="1">
        <f>G437/$G$21</f>
        <v>2.1695466392948806E-5</v>
      </c>
      <c r="I437">
        <f>IF($E$11&lt;=D437, IF(D437&lt;=$A$15,D437-$E$11,$F$11),0)</f>
        <v>300</v>
      </c>
      <c r="J437">
        <f>IF(D437&lt;=$A$15,0,D437-$A$15)</f>
        <v>105</v>
      </c>
      <c r="K437" s="5">
        <f>IF(D437&lt;$E$11,H437,0)</f>
        <v>0</v>
      </c>
      <c r="L437">
        <f>IF(D437&lt;$A$15,$C$11,$C$11*(1-$G$11))</f>
        <v>200</v>
      </c>
      <c r="M437">
        <f>IF(D437&lt;$A$15,0,1)</f>
        <v>1</v>
      </c>
    </row>
    <row r="438" spans="4:13" x14ac:dyDescent="0.2">
      <c r="D438">
        <f t="shared" si="21"/>
        <v>415</v>
      </c>
      <c r="E438" s="1">
        <f t="shared" si="19"/>
        <v>258.16819779356962</v>
      </c>
      <c r="F438" s="1">
        <f t="shared" si="22"/>
        <v>-8.1578703604252496</v>
      </c>
      <c r="G438" s="1">
        <f t="shared" si="20"/>
        <v>2.8647182737183332E-4</v>
      </c>
      <c r="H438" s="1">
        <f>G438/$G$21</f>
        <v>2.0088394808286759E-5</v>
      </c>
      <c r="I438">
        <f>IF($E$11&lt;=D438, IF(D438&lt;=$A$15,D438-$E$11,$F$11),0)</f>
        <v>300</v>
      </c>
      <c r="J438">
        <f>IF(D438&lt;=$A$15,0,D438-$A$15)</f>
        <v>106</v>
      </c>
      <c r="K438" s="5">
        <f>IF(D438&lt;$E$11,H438,0)</f>
        <v>0</v>
      </c>
      <c r="L438">
        <f>IF(D438&lt;$A$15,$C$11,$C$11*(1-$G$11))</f>
        <v>200</v>
      </c>
      <c r="M438">
        <f>IF(D438&lt;$A$15,0,1)</f>
        <v>1</v>
      </c>
    </row>
    <row r="439" spans="4:13" x14ac:dyDescent="0.2">
      <c r="D439">
        <f t="shared" si="21"/>
        <v>416</v>
      </c>
      <c r="E439" s="1">
        <f t="shared" si="19"/>
        <v>258.09123675243353</v>
      </c>
      <c r="F439" s="1">
        <f t="shared" si="22"/>
        <v>-8.2348314015613369</v>
      </c>
      <c r="G439" s="1">
        <f t="shared" si="20"/>
        <v>2.6525169201096767E-4</v>
      </c>
      <c r="H439" s="1">
        <f>G439/$G$21</f>
        <v>1.8600365563229242E-5</v>
      </c>
      <c r="I439">
        <f>IF($E$11&lt;=D439, IF(D439&lt;=$A$15,D439-$E$11,$F$11),0)</f>
        <v>300</v>
      </c>
      <c r="J439">
        <f>IF(D439&lt;=$A$15,0,D439-$A$15)</f>
        <v>107</v>
      </c>
      <c r="K439" s="5">
        <f>IF(D439&lt;$E$11,H439,0)</f>
        <v>0</v>
      </c>
      <c r="L439">
        <f>IF(D439&lt;$A$15,$C$11,$C$11*(1-$G$11))</f>
        <v>200</v>
      </c>
      <c r="M439">
        <f>IF(D439&lt;$A$15,0,1)</f>
        <v>1</v>
      </c>
    </row>
    <row r="440" spans="4:13" x14ac:dyDescent="0.2">
      <c r="D440">
        <f t="shared" si="21"/>
        <v>417</v>
      </c>
      <c r="E440" s="1">
        <f t="shared" si="19"/>
        <v>258.01427571129744</v>
      </c>
      <c r="F440" s="1">
        <f t="shared" si="22"/>
        <v>-8.3117924426974241</v>
      </c>
      <c r="G440" s="1">
        <f t="shared" si="20"/>
        <v>2.4560341852868382E-4</v>
      </c>
      <c r="H440" s="1">
        <f>G440/$G$21</f>
        <v>1.7222560706694449E-5</v>
      </c>
      <c r="I440">
        <f>IF($E$11&lt;=D440, IF(D440&lt;=$A$15,D440-$E$11,$F$11),0)</f>
        <v>300</v>
      </c>
      <c r="J440">
        <f>IF(D440&lt;=$A$15,0,D440-$A$15)</f>
        <v>108</v>
      </c>
      <c r="K440" s="5">
        <f>IF(D440&lt;$E$11,H440,0)</f>
        <v>0</v>
      </c>
      <c r="L440">
        <f>IF(D440&lt;$A$15,$C$11,$C$11*(1-$G$11))</f>
        <v>200</v>
      </c>
      <c r="M440">
        <f>IF(D440&lt;$A$15,0,1)</f>
        <v>1</v>
      </c>
    </row>
    <row r="441" spans="4:13" x14ac:dyDescent="0.2">
      <c r="D441">
        <f t="shared" si="21"/>
        <v>418</v>
      </c>
      <c r="E441" s="1">
        <f t="shared" si="19"/>
        <v>257.93731467016136</v>
      </c>
      <c r="F441" s="1">
        <f t="shared" si="22"/>
        <v>-8.3887534838335114</v>
      </c>
      <c r="G441" s="1">
        <f t="shared" si="20"/>
        <v>2.2741057271175364E-4</v>
      </c>
      <c r="H441" s="1">
        <f>G441/$G$21</f>
        <v>1.5946815469162184E-5</v>
      </c>
      <c r="I441">
        <f>IF($E$11&lt;=D441, IF(D441&lt;=$A$15,D441-$E$11,$F$11),0)</f>
        <v>300</v>
      </c>
      <c r="J441">
        <f>IF(D441&lt;=$A$15,0,D441-$A$15)</f>
        <v>109</v>
      </c>
      <c r="K441" s="5">
        <f>IF(D441&lt;$E$11,H441,0)</f>
        <v>0</v>
      </c>
      <c r="L441">
        <f>IF(D441&lt;$A$15,$C$11,$C$11*(1-$G$11))</f>
        <v>200</v>
      </c>
      <c r="M441">
        <f>IF(D441&lt;$A$15,0,1)</f>
        <v>1</v>
      </c>
    </row>
    <row r="442" spans="4:13" x14ac:dyDescent="0.2">
      <c r="D442">
        <f t="shared" si="21"/>
        <v>419</v>
      </c>
      <c r="E442" s="1">
        <f t="shared" si="19"/>
        <v>257.86035362902527</v>
      </c>
      <c r="F442" s="1">
        <f t="shared" si="22"/>
        <v>-8.4657145249695986</v>
      </c>
      <c r="G442" s="1">
        <f t="shared" si="20"/>
        <v>2.1056534510348424E-4</v>
      </c>
      <c r="H442" s="1">
        <f>G442/$G$21</f>
        <v>1.4765569878854481E-5</v>
      </c>
      <c r="I442">
        <f>IF($E$11&lt;=D442, IF(D442&lt;=$A$15,D442-$E$11,$F$11),0)</f>
        <v>300</v>
      </c>
      <c r="J442">
        <f>IF(D442&lt;=$A$15,0,D442-$A$15)</f>
        <v>110</v>
      </c>
      <c r="K442" s="5">
        <f>IF(D442&lt;$E$11,H442,0)</f>
        <v>0</v>
      </c>
      <c r="L442">
        <f>IF(D442&lt;$A$15,$C$11,$C$11*(1-$G$11))</f>
        <v>200</v>
      </c>
      <c r="M442">
        <f>IF(D442&lt;$A$15,0,1)</f>
        <v>1</v>
      </c>
    </row>
    <row r="443" spans="4:13" x14ac:dyDescent="0.2">
      <c r="D443">
        <f t="shared" si="21"/>
        <v>420</v>
      </c>
      <c r="E443" s="1">
        <f t="shared" si="19"/>
        <v>257.78339258788918</v>
      </c>
      <c r="F443" s="1">
        <f t="shared" si="22"/>
        <v>-8.5426755661056859</v>
      </c>
      <c r="G443" s="1">
        <f t="shared" si="20"/>
        <v>1.9496791213286378E-4</v>
      </c>
      <c r="H443" s="1">
        <f>G443/$G$21</f>
        <v>1.3671823961902858E-5</v>
      </c>
      <c r="I443">
        <f>IF($E$11&lt;=D443, IF(D443&lt;=$A$15,D443-$E$11,$F$11),0)</f>
        <v>300</v>
      </c>
      <c r="J443">
        <f>IF(D443&lt;=$A$15,0,D443-$A$15)</f>
        <v>111</v>
      </c>
      <c r="K443" s="5">
        <f>IF(D443&lt;$E$11,H443,0)</f>
        <v>0</v>
      </c>
      <c r="L443">
        <f>IF(D443&lt;$A$15,$C$11,$C$11*(1-$G$11))</f>
        <v>200</v>
      </c>
      <c r="M443">
        <f>IF(D443&lt;$A$15,0,1)</f>
        <v>1</v>
      </c>
    </row>
    <row r="444" spans="4:13" x14ac:dyDescent="0.2">
      <c r="D444">
        <f t="shared" si="21"/>
        <v>421</v>
      </c>
      <c r="E444" s="1">
        <f t="shared" si="19"/>
        <v>257.70643154675309</v>
      </c>
      <c r="F444" s="1">
        <f t="shared" si="22"/>
        <v>-8.6196366072417732</v>
      </c>
      <c r="G444" s="1">
        <f t="shared" si="20"/>
        <v>1.8052584456747388E-4</v>
      </c>
      <c r="H444" s="1">
        <f>G444/$G$21</f>
        <v>1.2659096261021684E-5</v>
      </c>
      <c r="I444">
        <f>IF($E$11&lt;=D444, IF(D444&lt;=$A$15,D444-$E$11,$F$11),0)</f>
        <v>300</v>
      </c>
      <c r="J444">
        <f>IF(D444&lt;=$A$15,0,D444-$A$15)</f>
        <v>112</v>
      </c>
      <c r="K444" s="5">
        <f>IF(D444&lt;$E$11,H444,0)</f>
        <v>0</v>
      </c>
      <c r="L444">
        <f>IF(D444&lt;$A$15,$C$11,$C$11*(1-$G$11))</f>
        <v>200</v>
      </c>
      <c r="M444">
        <f>IF(D444&lt;$A$15,0,1)</f>
        <v>1</v>
      </c>
    </row>
    <row r="445" spans="4:13" x14ac:dyDescent="0.2">
      <c r="D445">
        <f t="shared" si="21"/>
        <v>422</v>
      </c>
      <c r="E445" s="1">
        <f t="shared" si="19"/>
        <v>257.62947050561701</v>
      </c>
      <c r="F445" s="1">
        <f t="shared" si="22"/>
        <v>-8.6965976483778604</v>
      </c>
      <c r="G445" s="1">
        <f t="shared" si="20"/>
        <v>1.6715355978470488E-4</v>
      </c>
      <c r="H445" s="1">
        <f>G445/$G$21</f>
        <v>1.172138542687241E-5</v>
      </c>
      <c r="I445">
        <f>IF($E$11&lt;=D445, IF(D445&lt;=$A$15,D445-$E$11,$F$11),0)</f>
        <v>300</v>
      </c>
      <c r="J445">
        <f>IF(D445&lt;=$A$15,0,D445-$A$15)</f>
        <v>113</v>
      </c>
      <c r="K445" s="5">
        <f>IF(D445&lt;$E$11,H445,0)</f>
        <v>0</v>
      </c>
      <c r="L445">
        <f>IF(D445&lt;$A$15,$C$11,$C$11*(1-$G$11))</f>
        <v>200</v>
      </c>
      <c r="M445">
        <f>IF(D445&lt;$A$15,0,1)</f>
        <v>1</v>
      </c>
    </row>
    <row r="446" spans="4:13" x14ac:dyDescent="0.2">
      <c r="D446">
        <f t="shared" si="21"/>
        <v>423</v>
      </c>
      <c r="E446" s="1">
        <f t="shared" si="19"/>
        <v>257.55250946448092</v>
      </c>
      <c r="F446" s="1">
        <f t="shared" si="22"/>
        <v>-8.7735586895139477</v>
      </c>
      <c r="G446" s="1">
        <f t="shared" si="20"/>
        <v>1.5477181461547384E-4</v>
      </c>
      <c r="H446" s="1">
        <f>G446/$G$21</f>
        <v>1.0853134654511937E-5</v>
      </c>
      <c r="I446">
        <f>IF($E$11&lt;=D446, IF(D446&lt;=$A$15,D446-$E$11,$F$11),0)</f>
        <v>300</v>
      </c>
      <c r="J446">
        <f>IF(D446&lt;=$A$15,0,D446-$A$15)</f>
        <v>114</v>
      </c>
      <c r="K446" s="5">
        <f>IF(D446&lt;$E$11,H446,0)</f>
        <v>0</v>
      </c>
      <c r="L446">
        <f>IF(D446&lt;$A$15,$C$11,$C$11*(1-$G$11))</f>
        <v>200</v>
      </c>
      <c r="M446">
        <f>IF(D446&lt;$A$15,0,1)</f>
        <v>1</v>
      </c>
    </row>
    <row r="447" spans="4:13" x14ac:dyDescent="0.2">
      <c r="D447">
        <f t="shared" si="21"/>
        <v>424</v>
      </c>
      <c r="E447" s="1">
        <f t="shared" si="19"/>
        <v>257.47554842334483</v>
      </c>
      <c r="F447" s="1">
        <f t="shared" si="22"/>
        <v>-8.8505197306500349</v>
      </c>
      <c r="G447" s="1">
        <f t="shared" si="20"/>
        <v>1.4330723575507425E-4</v>
      </c>
      <c r="H447" s="1">
        <f>G447/$G$21</f>
        <v>1.0049198754178131E-5</v>
      </c>
      <c r="I447">
        <f>IF($E$11&lt;=D447, IF(D447&lt;=$A$15,D447-$E$11,$F$11),0)</f>
        <v>300</v>
      </c>
      <c r="J447">
        <f>IF(D447&lt;=$A$15,0,D447-$A$15)</f>
        <v>115</v>
      </c>
      <c r="K447" s="5">
        <f>IF(D447&lt;$E$11,H447,0)</f>
        <v>0</v>
      </c>
      <c r="L447">
        <f>IF(D447&lt;$A$15,$C$11,$C$11*(1-$G$11))</f>
        <v>200</v>
      </c>
      <c r="M447">
        <f>IF(D447&lt;$A$15,0,1)</f>
        <v>1</v>
      </c>
    </row>
    <row r="448" spans="4:13" x14ac:dyDescent="0.2">
      <c r="D448">
        <f t="shared" si="21"/>
        <v>425</v>
      </c>
      <c r="E448" s="1">
        <f t="shared" si="19"/>
        <v>257.39858738220875</v>
      </c>
      <c r="F448" s="1">
        <f t="shared" si="22"/>
        <v>-8.9274807717861222</v>
      </c>
      <c r="G448" s="1">
        <f t="shared" si="20"/>
        <v>1.3269188495840755E-4</v>
      </c>
      <c r="H448" s="1">
        <f>G448/$G$21</f>
        <v>9.3048136612764315E-6</v>
      </c>
      <c r="I448">
        <f>IF($E$11&lt;=D448, IF(D448&lt;=$A$15,D448-$E$11,$F$11),0)</f>
        <v>300</v>
      </c>
      <c r="J448">
        <f>IF(D448&lt;=$A$15,0,D448-$A$15)</f>
        <v>116</v>
      </c>
      <c r="K448" s="5">
        <f>IF(D448&lt;$E$11,H448,0)</f>
        <v>0</v>
      </c>
      <c r="L448">
        <f>IF(D448&lt;$A$15,$C$11,$C$11*(1-$G$11))</f>
        <v>200</v>
      </c>
      <c r="M448">
        <f>IF(D448&lt;$A$15,0,1)</f>
        <v>1</v>
      </c>
    </row>
    <row r="449" spans="4:13" x14ac:dyDescent="0.2">
      <c r="D449">
        <f t="shared" si="21"/>
        <v>426</v>
      </c>
      <c r="E449" s="1">
        <f t="shared" si="19"/>
        <v>257.32162634107266</v>
      </c>
      <c r="F449" s="1">
        <f t="shared" si="22"/>
        <v>-9.0044418129222095</v>
      </c>
      <c r="G449" s="1">
        <f t="shared" si="20"/>
        <v>1.22862856442975E-4</v>
      </c>
      <c r="H449" s="1">
        <f>G449/$G$21</f>
        <v>8.6155682048859384E-6</v>
      </c>
      <c r="I449">
        <f>IF($E$11&lt;=D449, IF(D449&lt;=$A$15,D449-$E$11,$F$11),0)</f>
        <v>300</v>
      </c>
      <c r="J449">
        <f>IF(D449&lt;=$A$15,0,D449-$A$15)</f>
        <v>117</v>
      </c>
      <c r="K449" s="5">
        <f>IF(D449&lt;$E$11,H449,0)</f>
        <v>0</v>
      </c>
      <c r="L449">
        <f>IF(D449&lt;$A$15,$C$11,$C$11*(1-$G$11))</f>
        <v>200</v>
      </c>
      <c r="M449">
        <f>IF(D449&lt;$A$15,0,1)</f>
        <v>1</v>
      </c>
    </row>
    <row r="450" spans="4:13" x14ac:dyDescent="0.2">
      <c r="D450">
        <f t="shared" si="21"/>
        <v>427</v>
      </c>
      <c r="E450" s="1">
        <f t="shared" si="19"/>
        <v>257.24466529993657</v>
      </c>
      <c r="F450" s="1">
        <f t="shared" si="22"/>
        <v>-9.0814028540582967</v>
      </c>
      <c r="G450" s="1">
        <f t="shared" si="20"/>
        <v>1.1376190411387041E-4</v>
      </c>
      <c r="H450" s="1">
        <f>G450/$G$21</f>
        <v>7.9773779674873068E-6</v>
      </c>
      <c r="I450">
        <f>IF($E$11&lt;=D450, IF(D450&lt;=$A$15,D450-$E$11,$F$11),0)</f>
        <v>300</v>
      </c>
      <c r="J450">
        <f>IF(D450&lt;=$A$15,0,D450-$A$15)</f>
        <v>118</v>
      </c>
      <c r="K450" s="5">
        <f>IF(D450&lt;$E$11,H450,0)</f>
        <v>0</v>
      </c>
      <c r="L450">
        <f>IF(D450&lt;$A$15,$C$11,$C$11*(1-$G$11))</f>
        <v>200</v>
      </c>
      <c r="M450">
        <f>IF(D450&lt;$A$15,0,1)</f>
        <v>1</v>
      </c>
    </row>
    <row r="451" spans="4:13" x14ac:dyDescent="0.2">
      <c r="D451">
        <f t="shared" si="21"/>
        <v>428</v>
      </c>
      <c r="E451" s="1">
        <f t="shared" si="19"/>
        <v>257.16770425880048</v>
      </c>
      <c r="F451" s="1">
        <f t="shared" si="22"/>
        <v>-9.158363895194384</v>
      </c>
      <c r="G451" s="1">
        <f t="shared" si="20"/>
        <v>1.0533509640173618E-4</v>
      </c>
      <c r="H451" s="1">
        <f>G451/$G$21</f>
        <v>7.3864610810070686E-6</v>
      </c>
      <c r="I451">
        <f>IF($E$11&lt;=D451, IF(D451&lt;=$A$15,D451-$E$11,$F$11),0)</f>
        <v>300</v>
      </c>
      <c r="J451">
        <f>IF(D451&lt;=$A$15,0,D451-$A$15)</f>
        <v>119</v>
      </c>
      <c r="K451" s="5">
        <f>IF(D451&lt;$E$11,H451,0)</f>
        <v>0</v>
      </c>
      <c r="L451">
        <f>IF(D451&lt;$A$15,$C$11,$C$11*(1-$G$11))</f>
        <v>200</v>
      </c>
      <c r="M451">
        <f>IF(D451&lt;$A$15,0,1)</f>
        <v>1</v>
      </c>
    </row>
    <row r="452" spans="4:13" x14ac:dyDescent="0.2">
      <c r="D452">
        <f t="shared" si="21"/>
        <v>429</v>
      </c>
      <c r="E452" s="1">
        <f t="shared" ref="E452:F515" si="23">IF($G$11=1,IF(D452&lt;=$A$15, E451+LN($C$11)-LN(60/$D$11)-LN(MIN(D452,$E$11)), E451-LN(60/$D$11)-LN(MIN(D452,$E$11))), IF(D452&lt;=$A$15, E451+LN($C$11)-LN(60/$D$11)-LN(MIN(D452,$E$11)), E451+LN($C$11)+LN(1-$G$11)-LN(60/$D$11)-LN(MIN(D452,$E$11))))</f>
        <v>257.0907432176644</v>
      </c>
      <c r="F452" s="1">
        <f t="shared" si="22"/>
        <v>-9.2353249363304712</v>
      </c>
      <c r="G452" s="1">
        <f t="shared" si="20"/>
        <v>9.7532496668278256E-5</v>
      </c>
      <c r="H452" s="1">
        <f>G452/$G$21</f>
        <v>6.8393158157475678E-6</v>
      </c>
      <c r="I452">
        <f>IF($E$11&lt;=D452, IF(D452&lt;=$A$15,D452-$E$11,$F$11),0)</f>
        <v>300</v>
      </c>
      <c r="J452">
        <f>IF(D452&lt;=$A$15,0,D452-$A$15)</f>
        <v>120</v>
      </c>
      <c r="K452" s="5">
        <f>IF(D452&lt;$E$11,H452,0)</f>
        <v>0</v>
      </c>
      <c r="L452">
        <f>IF(D452&lt;$A$15,$C$11,$C$11*(1-$G$11))</f>
        <v>200</v>
      </c>
      <c r="M452">
        <f>IF(D452&lt;$A$15,0,1)</f>
        <v>1</v>
      </c>
    </row>
    <row r="453" spans="4:13" x14ac:dyDescent="0.2">
      <c r="D453">
        <f t="shared" si="21"/>
        <v>430</v>
      </c>
      <c r="E453" s="1">
        <f t="shared" si="23"/>
        <v>257.01378217652831</v>
      </c>
      <c r="F453" s="1">
        <f t="shared" si="22"/>
        <v>-9.3122859774665585</v>
      </c>
      <c r="G453" s="1">
        <f t="shared" si="20"/>
        <v>9.0307867285446532E-5</v>
      </c>
      <c r="H453" s="1">
        <f>G453/$G$21</f>
        <v>6.3326998293961553E-6</v>
      </c>
      <c r="I453">
        <f>IF($E$11&lt;=D453, IF(D453&lt;=$A$15,D453-$E$11,$F$11),0)</f>
        <v>300</v>
      </c>
      <c r="J453">
        <f>IF(D453&lt;=$A$15,0,D453-$A$15)</f>
        <v>121</v>
      </c>
      <c r="K453" s="5">
        <f>IF(D453&lt;$E$11,H453,0)</f>
        <v>0</v>
      </c>
      <c r="L453">
        <f>IF(D453&lt;$A$15,$C$11,$C$11*(1-$G$11))</f>
        <v>200</v>
      </c>
      <c r="M453">
        <f>IF(D453&lt;$A$15,0,1)</f>
        <v>1</v>
      </c>
    </row>
    <row r="454" spans="4:13" x14ac:dyDescent="0.2">
      <c r="D454">
        <f t="shared" si="21"/>
        <v>431</v>
      </c>
      <c r="E454" s="1">
        <f t="shared" si="23"/>
        <v>256.93682113539222</v>
      </c>
      <c r="F454" s="1">
        <f t="shared" si="22"/>
        <v>-9.3892470186026458</v>
      </c>
      <c r="G454" s="1">
        <f t="shared" si="20"/>
        <v>8.3618395634676155E-5</v>
      </c>
      <c r="H454" s="1">
        <f>G454/$G$21</f>
        <v>5.8636109531448294E-6</v>
      </c>
      <c r="I454">
        <f>IF($E$11&lt;=D454, IF(D454&lt;=$A$15,D454-$E$11,$F$11),0)</f>
        <v>300</v>
      </c>
      <c r="J454">
        <f>IF(D454&lt;=$A$15,0,D454-$A$15)</f>
        <v>122</v>
      </c>
      <c r="K454" s="5">
        <f>IF(D454&lt;$E$11,H454,0)</f>
        <v>0</v>
      </c>
      <c r="L454">
        <f>IF(D454&lt;$A$15,$C$11,$C$11*(1-$G$11))</f>
        <v>200</v>
      </c>
      <c r="M454">
        <f>IF(D454&lt;$A$15,0,1)</f>
        <v>1</v>
      </c>
    </row>
    <row r="455" spans="4:13" x14ac:dyDescent="0.2">
      <c r="D455">
        <f t="shared" si="21"/>
        <v>432</v>
      </c>
      <c r="E455" s="1">
        <f t="shared" si="23"/>
        <v>256.85986009425613</v>
      </c>
      <c r="F455" s="1">
        <f t="shared" si="22"/>
        <v>-9.466208059738733</v>
      </c>
      <c r="G455" s="1">
        <f t="shared" si="20"/>
        <v>7.7424440402481094E-5</v>
      </c>
      <c r="H455" s="1">
        <f>G455/$G$21</f>
        <v>5.4292694010602496E-6</v>
      </c>
      <c r="I455">
        <f>IF($E$11&lt;=D455, IF(D455&lt;=$A$15,D455-$E$11,$F$11),0)</f>
        <v>300</v>
      </c>
      <c r="J455">
        <f>IF(D455&lt;=$A$15,0,D455-$A$15)</f>
        <v>123</v>
      </c>
      <c r="K455" s="5">
        <f>IF(D455&lt;$E$11,H455,0)</f>
        <v>0</v>
      </c>
      <c r="L455">
        <f>IF(D455&lt;$A$15,$C$11,$C$11*(1-$G$11))</f>
        <v>200</v>
      </c>
      <c r="M455">
        <f>IF(D455&lt;$A$15,0,1)</f>
        <v>1</v>
      </c>
    </row>
    <row r="456" spans="4:13" x14ac:dyDescent="0.2">
      <c r="D456">
        <f t="shared" si="21"/>
        <v>433</v>
      </c>
      <c r="E456" s="1">
        <f t="shared" si="23"/>
        <v>256.78289905312005</v>
      </c>
      <c r="F456" s="1">
        <f t="shared" si="22"/>
        <v>-9.5431691008748203</v>
      </c>
      <c r="G456" s="1">
        <f t="shared" si="20"/>
        <v>7.1689296668966924E-5</v>
      </c>
      <c r="H456" s="1">
        <f>G456/$G$21</f>
        <v>5.0271012972782161E-6</v>
      </c>
      <c r="I456">
        <f>IF($E$11&lt;=D456, IF(D456&lt;=$A$15,D456-$E$11,$F$11),0)</f>
        <v>300</v>
      </c>
      <c r="J456">
        <f>IF(D456&lt;=$A$15,0,D456-$A$15)</f>
        <v>124</v>
      </c>
      <c r="K456" s="5">
        <f>IF(D456&lt;$E$11,H456,0)</f>
        <v>0</v>
      </c>
      <c r="L456">
        <f>IF(D456&lt;$A$15,$C$11,$C$11*(1-$G$11))</f>
        <v>200</v>
      </c>
      <c r="M456">
        <f>IF(D456&lt;$A$15,0,1)</f>
        <v>1</v>
      </c>
    </row>
    <row r="457" spans="4:13" x14ac:dyDescent="0.2">
      <c r="D457">
        <f t="shared" si="21"/>
        <v>434</v>
      </c>
      <c r="E457" s="1">
        <f t="shared" si="23"/>
        <v>256.70593801198396</v>
      </c>
      <c r="F457" s="1">
        <f t="shared" si="22"/>
        <v>-9.6201301420109075</v>
      </c>
      <c r="G457" s="1">
        <f t="shared" si="20"/>
        <v>6.6378978397194324E-5</v>
      </c>
      <c r="H457" s="1">
        <f>G457/$G$21</f>
        <v>4.6547234234059469E-6</v>
      </c>
      <c r="I457">
        <f>IF($E$11&lt;=D457, IF(D457&lt;=$A$15,D457-$E$11,$F$11),0)</f>
        <v>300</v>
      </c>
      <c r="J457">
        <f>IF(D457&lt;=$A$15,0,D457-$A$15)</f>
        <v>125</v>
      </c>
      <c r="K457" s="5">
        <f>IF(D457&lt;$E$11,H457,0)</f>
        <v>0</v>
      </c>
      <c r="L457">
        <f>IF(D457&lt;$A$15,$C$11,$C$11*(1-$G$11))</f>
        <v>200</v>
      </c>
      <c r="M457">
        <f>IF(D457&lt;$A$15,0,1)</f>
        <v>1</v>
      </c>
    </row>
    <row r="458" spans="4:13" x14ac:dyDescent="0.2">
      <c r="D458">
        <f t="shared" si="21"/>
        <v>435</v>
      </c>
      <c r="E458" s="1">
        <f t="shared" si="23"/>
        <v>256.62897697084787</v>
      </c>
      <c r="F458" s="1">
        <f t="shared" si="22"/>
        <v>-9.6970911831469948</v>
      </c>
      <c r="G458" s="1">
        <f t="shared" si="20"/>
        <v>6.1462017034441703E-5</v>
      </c>
      <c r="H458" s="1">
        <f>G458/$G$21</f>
        <v>4.3099290957464234E-6</v>
      </c>
      <c r="I458">
        <f>IF($E$11&lt;=D458, IF(D458&lt;=$A$15,D458-$E$11,$F$11),0)</f>
        <v>300</v>
      </c>
      <c r="J458">
        <f>IF(D458&lt;=$A$15,0,D458-$A$15)</f>
        <v>126</v>
      </c>
      <c r="K458" s="5">
        <f>IF(D458&lt;$E$11,H458,0)</f>
        <v>0</v>
      </c>
      <c r="L458">
        <f>IF(D458&lt;$A$15,$C$11,$C$11*(1-$G$11))</f>
        <v>200</v>
      </c>
      <c r="M458">
        <f>IF(D458&lt;$A$15,0,1)</f>
        <v>1</v>
      </c>
    </row>
    <row r="459" spans="4:13" x14ac:dyDescent="0.2">
      <c r="D459">
        <f t="shared" si="21"/>
        <v>436</v>
      </c>
      <c r="E459" s="1">
        <f t="shared" si="23"/>
        <v>256.55201592971179</v>
      </c>
      <c r="F459" s="1">
        <f t="shared" si="22"/>
        <v>-9.7740522242830821</v>
      </c>
      <c r="G459" s="1">
        <f t="shared" si="20"/>
        <v>5.6909275031892809E-5</v>
      </c>
      <c r="H459" s="1">
        <f>G459/$G$21</f>
        <v>3.9906750886542601E-6</v>
      </c>
      <c r="I459">
        <f>IF($E$11&lt;=D459, IF(D459&lt;=$A$15,D459-$E$11,$F$11),0)</f>
        <v>300</v>
      </c>
      <c r="J459">
        <f>IF(D459&lt;=$A$15,0,D459-$A$15)</f>
        <v>127</v>
      </c>
      <c r="K459" s="5">
        <f>IF(D459&lt;$E$11,H459,0)</f>
        <v>0</v>
      </c>
      <c r="L459">
        <f>IF(D459&lt;$A$15,$C$11,$C$11*(1-$G$11))</f>
        <v>200</v>
      </c>
      <c r="M459">
        <f>IF(D459&lt;$A$15,0,1)</f>
        <v>1</v>
      </c>
    </row>
    <row r="460" spans="4:13" x14ac:dyDescent="0.2">
      <c r="D460">
        <f t="shared" si="21"/>
        <v>437</v>
      </c>
      <c r="E460" s="1">
        <f t="shared" si="23"/>
        <v>256.4750548885757</v>
      </c>
      <c r="F460" s="1">
        <f t="shared" si="22"/>
        <v>-9.8510132654191693</v>
      </c>
      <c r="G460" s="1">
        <f t="shared" si="20"/>
        <v>5.2693773177680692E-5</v>
      </c>
      <c r="H460" s="1">
        <f>G460/$G$21</f>
        <v>3.6950695265318738E-6</v>
      </c>
      <c r="I460">
        <f>IF($E$11&lt;=D460, IF(D460&lt;=$A$15,D460-$E$11,$F$11),0)</f>
        <v>300</v>
      </c>
      <c r="J460">
        <f>IF(D460&lt;=$A$15,0,D460-$A$15)</f>
        <v>128</v>
      </c>
      <c r="K460" s="5">
        <f>IF(D460&lt;$E$11,H460,0)</f>
        <v>0</v>
      </c>
      <c r="L460">
        <f>IF(D460&lt;$A$15,$C$11,$C$11*(1-$G$11))</f>
        <v>200</v>
      </c>
      <c r="M460">
        <f>IF(D460&lt;$A$15,0,1)</f>
        <v>1</v>
      </c>
    </row>
    <row r="461" spans="4:13" x14ac:dyDescent="0.2">
      <c r="D461">
        <f t="shared" si="21"/>
        <v>438</v>
      </c>
      <c r="E461" s="1">
        <f t="shared" si="23"/>
        <v>256.39809384743961</v>
      </c>
      <c r="F461" s="1">
        <f t="shared" si="22"/>
        <v>-9.9279743065552566</v>
      </c>
      <c r="G461" s="1">
        <f t="shared" si="20"/>
        <v>4.8790530720076717E-5</v>
      </c>
      <c r="H461" s="1">
        <f>G461/$G$21</f>
        <v>3.4213606727148387E-6</v>
      </c>
      <c r="I461">
        <f>IF($E$11&lt;=D461, IF(D461&lt;=$A$15,D461-$E$11,$F$11),0)</f>
        <v>300</v>
      </c>
      <c r="J461">
        <f>IF(D461&lt;=$A$15,0,D461-$A$15)</f>
        <v>129</v>
      </c>
      <c r="K461" s="5">
        <f>IF(D461&lt;$E$11,H461,0)</f>
        <v>0</v>
      </c>
      <c r="L461">
        <f>IF(D461&lt;$A$15,$C$11,$C$11*(1-$G$11))</f>
        <v>200</v>
      </c>
      <c r="M461">
        <f>IF(D461&lt;$A$15,0,1)</f>
        <v>1</v>
      </c>
    </row>
    <row r="462" spans="4:13" x14ac:dyDescent="0.2">
      <c r="D462">
        <f t="shared" si="21"/>
        <v>439</v>
      </c>
      <c r="E462" s="1">
        <f t="shared" si="23"/>
        <v>256.32113280630352</v>
      </c>
      <c r="F462" s="1">
        <f t="shared" si="22"/>
        <v>-10.004935347691344</v>
      </c>
      <c r="G462" s="1">
        <f t="shared" si="20"/>
        <v>4.5176417333406225E-5</v>
      </c>
      <c r="H462" s="1">
        <f>G462/$G$21</f>
        <v>3.1679265488101658E-6</v>
      </c>
      <c r="I462">
        <f>IF($E$11&lt;=D462, IF(D462&lt;=$A$15,D462-$E$11,$F$11),0)</f>
        <v>300</v>
      </c>
      <c r="J462">
        <f>IF(D462&lt;=$A$15,0,D462-$A$15)</f>
        <v>130</v>
      </c>
      <c r="K462" s="5">
        <f>IF(D462&lt;$E$11,H462,0)</f>
        <v>0</v>
      </c>
      <c r="L462">
        <f>IF(D462&lt;$A$15,$C$11,$C$11*(1-$G$11))</f>
        <v>200</v>
      </c>
      <c r="M462">
        <f>IF(D462&lt;$A$15,0,1)</f>
        <v>1</v>
      </c>
    </row>
    <row r="463" spans="4:13" x14ac:dyDescent="0.2">
      <c r="D463">
        <f t="shared" si="21"/>
        <v>440</v>
      </c>
      <c r="E463" s="1">
        <f t="shared" si="23"/>
        <v>256.24417176516744</v>
      </c>
      <c r="F463" s="1">
        <f t="shared" si="22"/>
        <v>-10.081896388827431</v>
      </c>
      <c r="G463" s="1">
        <f t="shared" si="20"/>
        <v>4.1830016049451926E-5</v>
      </c>
      <c r="H463" s="1">
        <f>G463/$G$21</f>
        <v>2.9332653229724965E-6</v>
      </c>
      <c r="I463">
        <f>IF($E$11&lt;=D463, IF(D463&lt;=$A$15,D463-$E$11,$F$11),0)</f>
        <v>300</v>
      </c>
      <c r="J463">
        <f>IF(D463&lt;=$A$15,0,D463-$A$15)</f>
        <v>131</v>
      </c>
      <c r="K463" s="5">
        <f>IF(D463&lt;$E$11,H463,0)</f>
        <v>0</v>
      </c>
      <c r="L463">
        <f>IF(D463&lt;$A$15,$C$11,$C$11*(1-$G$11))</f>
        <v>200</v>
      </c>
      <c r="M463">
        <f>IF(D463&lt;$A$15,0,1)</f>
        <v>1</v>
      </c>
    </row>
    <row r="464" spans="4:13" x14ac:dyDescent="0.2">
      <c r="D464">
        <f t="shared" si="21"/>
        <v>441</v>
      </c>
      <c r="E464" s="1">
        <f t="shared" si="23"/>
        <v>256.16721072403135</v>
      </c>
      <c r="F464" s="1">
        <f t="shared" si="22"/>
        <v>-10.158857429963518</v>
      </c>
      <c r="G464" s="1">
        <f t="shared" si="20"/>
        <v>3.8731496342086706E-5</v>
      </c>
      <c r="H464" s="1">
        <f>G464/$G$21</f>
        <v>2.7159864101598304E-6</v>
      </c>
      <c r="I464">
        <f>IF($E$11&lt;=D464, IF(D464&lt;=$A$15,D464-$E$11,$F$11),0)</f>
        <v>300</v>
      </c>
      <c r="J464">
        <f>IF(D464&lt;=$A$15,0,D464-$A$15)</f>
        <v>132</v>
      </c>
      <c r="K464" s="5">
        <f>IF(D464&lt;$E$11,H464,0)</f>
        <v>0</v>
      </c>
      <c r="L464">
        <f>IF(D464&lt;$A$15,$C$11,$C$11*(1-$G$11))</f>
        <v>200</v>
      </c>
      <c r="M464">
        <f>IF(D464&lt;$A$15,0,1)</f>
        <v>1</v>
      </c>
    </row>
    <row r="465" spans="4:13" x14ac:dyDescent="0.2">
      <c r="D465">
        <f t="shared" si="21"/>
        <v>442</v>
      </c>
      <c r="E465" s="1">
        <f t="shared" si="23"/>
        <v>256.09024968289526</v>
      </c>
      <c r="F465" s="1">
        <f t="shared" si="22"/>
        <v>-10.235818471099606</v>
      </c>
      <c r="G465" s="1">
        <f t="shared" si="20"/>
        <v>3.5862496613044717E-5</v>
      </c>
      <c r="H465" s="1">
        <f>G465/$G$21</f>
        <v>2.5148022316295756E-6</v>
      </c>
      <c r="I465">
        <f>IF($E$11&lt;=D465, IF(D465&lt;=$A$15,D465-$E$11,$F$11),0)</f>
        <v>300</v>
      </c>
      <c r="J465">
        <f>IF(D465&lt;=$A$15,0,D465-$A$15)</f>
        <v>133</v>
      </c>
      <c r="K465" s="5">
        <f>IF(D465&lt;$E$11,H465,0)</f>
        <v>0</v>
      </c>
      <c r="L465">
        <f>IF(D465&lt;$A$15,$C$11,$C$11*(1-$G$11))</f>
        <v>200</v>
      </c>
      <c r="M465">
        <f>IF(D465&lt;$A$15,0,1)</f>
        <v>1</v>
      </c>
    </row>
    <row r="466" spans="4:13" x14ac:dyDescent="0.2">
      <c r="D466">
        <f t="shared" si="21"/>
        <v>443</v>
      </c>
      <c r="E466" s="1">
        <f t="shared" si="23"/>
        <v>256.01328864175917</v>
      </c>
      <c r="F466" s="1">
        <f t="shared" si="22"/>
        <v>-10.312779512235693</v>
      </c>
      <c r="G466" s="1">
        <f t="shared" si="20"/>
        <v>3.3206015382450176E-5</v>
      </c>
      <c r="H466" s="1">
        <f>G466/$G$21</f>
        <v>2.3285205848422954E-6</v>
      </c>
      <c r="I466">
        <f>IF($E$11&lt;=D466, IF(D466&lt;=$A$15,D466-$E$11,$F$11),0)</f>
        <v>300</v>
      </c>
      <c r="J466">
        <f>IF(D466&lt;=$A$15,0,D466-$A$15)</f>
        <v>134</v>
      </c>
      <c r="K466" s="5">
        <f>IF(D466&lt;$E$11,H466,0)</f>
        <v>0</v>
      </c>
      <c r="L466">
        <f>IF(D466&lt;$A$15,$C$11,$C$11*(1-$G$11))</f>
        <v>200</v>
      </c>
      <c r="M466">
        <f>IF(D466&lt;$A$15,0,1)</f>
        <v>1</v>
      </c>
    </row>
    <row r="467" spans="4:13" x14ac:dyDescent="0.2">
      <c r="D467">
        <f t="shared" si="21"/>
        <v>444</v>
      </c>
      <c r="E467" s="1">
        <f t="shared" si="23"/>
        <v>255.93632760062309</v>
      </c>
      <c r="F467" s="1">
        <f t="shared" si="22"/>
        <v>-10.38974055337178</v>
      </c>
      <c r="G467" s="1">
        <f t="shared" si="20"/>
        <v>3.0746310539306983E-5</v>
      </c>
      <c r="H467" s="1">
        <f>G467/$G$21</f>
        <v>2.1560375785577694E-6</v>
      </c>
      <c r="I467">
        <f>IF($E$11&lt;=D467, IF(D467&lt;=$A$15,D467-$E$11,$F$11),0)</f>
        <v>300</v>
      </c>
      <c r="J467">
        <f>IF(D467&lt;=$A$15,0,D467-$A$15)</f>
        <v>135</v>
      </c>
      <c r="K467" s="5">
        <f>IF(D467&lt;$E$11,H467,0)</f>
        <v>0</v>
      </c>
      <c r="L467">
        <f>IF(D467&lt;$A$15,$C$11,$C$11*(1-$G$11))</f>
        <v>200</v>
      </c>
      <c r="M467">
        <f>IF(D467&lt;$A$15,0,1)</f>
        <v>1</v>
      </c>
    </row>
    <row r="468" spans="4:13" x14ac:dyDescent="0.2">
      <c r="D468">
        <f t="shared" si="21"/>
        <v>445</v>
      </c>
      <c r="E468" s="1">
        <f t="shared" si="23"/>
        <v>255.859366559487</v>
      </c>
      <c r="F468" s="1">
        <f t="shared" si="22"/>
        <v>-10.466701594507867</v>
      </c>
      <c r="G468" s="1">
        <f t="shared" si="20"/>
        <v>2.8468806054915041E-5</v>
      </c>
      <c r="H468" s="1">
        <f>G468/$G$21</f>
        <v>1.9963310912572757E-6</v>
      </c>
      <c r="I468">
        <f>IF($E$11&lt;=D468, IF(D468&lt;=$A$15,D468-$E$11,$F$11),0)</f>
        <v>300</v>
      </c>
      <c r="J468">
        <f>IF(D468&lt;=$A$15,0,D468-$A$15)</f>
        <v>136</v>
      </c>
      <c r="K468" s="5">
        <f>IF(D468&lt;$E$11,H468,0)</f>
        <v>0</v>
      </c>
      <c r="L468">
        <f>IF(D468&lt;$A$15,$C$11,$C$11*(1-$G$11))</f>
        <v>200</v>
      </c>
      <c r="M468">
        <f>IF(D468&lt;$A$15,0,1)</f>
        <v>1</v>
      </c>
    </row>
    <row r="469" spans="4:13" x14ac:dyDescent="0.2">
      <c r="D469">
        <f t="shared" si="21"/>
        <v>446</v>
      </c>
      <c r="E469" s="1">
        <f t="shared" si="23"/>
        <v>255.78240551835091</v>
      </c>
      <c r="F469" s="1">
        <f t="shared" si="22"/>
        <v>-10.543662635643955</v>
      </c>
      <c r="G469" s="1">
        <f t="shared" si="20"/>
        <v>2.6360005606403899E-5</v>
      </c>
      <c r="H469" s="1">
        <f>G469/$G$21</f>
        <v>1.8484547141271833E-6</v>
      </c>
      <c r="I469">
        <f>IF($E$11&lt;=D469, IF(D469&lt;=$A$15,D469-$E$11,$F$11),0)</f>
        <v>300</v>
      </c>
      <c r="J469">
        <f>IF(D469&lt;=$A$15,0,D469-$A$15)</f>
        <v>137</v>
      </c>
      <c r="K469" s="5">
        <f>IF(D469&lt;$E$11,H469,0)</f>
        <v>0</v>
      </c>
      <c r="L469">
        <f>IF(D469&lt;$A$15,$C$11,$C$11*(1-$G$11))</f>
        <v>200</v>
      </c>
      <c r="M469">
        <f>IF(D469&lt;$A$15,0,1)</f>
        <v>1</v>
      </c>
    </row>
    <row r="470" spans="4:13" x14ac:dyDescent="0.2">
      <c r="D470">
        <f t="shared" si="21"/>
        <v>447</v>
      </c>
      <c r="E470" s="1">
        <f t="shared" si="23"/>
        <v>255.70544447721483</v>
      </c>
      <c r="F470" s="1">
        <f t="shared" si="22"/>
        <v>-10.620623676780042</v>
      </c>
      <c r="G470" s="1">
        <f t="shared" si="20"/>
        <v>2.4407412598523129E-5</v>
      </c>
      <c r="H470" s="1">
        <f>G470/$G$21</f>
        <v>1.7115321427104249E-6</v>
      </c>
      <c r="I470">
        <f>IF($E$11&lt;=D470, IF(D470&lt;=$A$15,D470-$E$11,$F$11),0)</f>
        <v>300</v>
      </c>
      <c r="J470">
        <f>IF(D470&lt;=$A$15,0,D470-$A$15)</f>
        <v>138</v>
      </c>
      <c r="K470" s="5">
        <f>IF(D470&lt;$E$11,H470,0)</f>
        <v>0</v>
      </c>
      <c r="L470">
        <f>IF(D470&lt;$A$15,$C$11,$C$11*(1-$G$11))</f>
        <v>200</v>
      </c>
      <c r="M470">
        <f>IF(D470&lt;$A$15,0,1)</f>
        <v>1</v>
      </c>
    </row>
    <row r="471" spans="4:13" x14ac:dyDescent="0.2">
      <c r="D471">
        <f t="shared" si="21"/>
        <v>448</v>
      </c>
      <c r="E471" s="1">
        <f t="shared" si="23"/>
        <v>255.62848343607874</v>
      </c>
      <c r="F471" s="1">
        <f t="shared" si="22"/>
        <v>-10.697584717916129</v>
      </c>
      <c r="G471" s="1">
        <f t="shared" si="20"/>
        <v>2.2599456109744566E-5</v>
      </c>
      <c r="H471" s="1">
        <f>G471/$G$21</f>
        <v>1.5847519839911993E-6</v>
      </c>
      <c r="I471">
        <f>IF($E$11&lt;=D471, IF(D471&lt;=$A$15,D471-$E$11,$F$11),0)</f>
        <v>300</v>
      </c>
      <c r="J471">
        <f>IF(D471&lt;=$A$15,0,D471-$A$15)</f>
        <v>139</v>
      </c>
      <c r="K471" s="5">
        <f>IF(D471&lt;$E$11,H471,0)</f>
        <v>0</v>
      </c>
      <c r="L471">
        <f>IF(D471&lt;$A$15,$C$11,$C$11*(1-$G$11))</f>
        <v>200</v>
      </c>
      <c r="M471">
        <f>IF(D471&lt;$A$15,0,1)</f>
        <v>1</v>
      </c>
    </row>
    <row r="472" spans="4:13" x14ac:dyDescent="0.2">
      <c r="D472">
        <f t="shared" si="21"/>
        <v>449</v>
      </c>
      <c r="E472" s="1">
        <f t="shared" si="23"/>
        <v>255.55152239494265</v>
      </c>
      <c r="F472" s="1">
        <f t="shared" si="22"/>
        <v>-10.774545759052216</v>
      </c>
      <c r="G472" s="1">
        <f t="shared" ref="G472:G535" si="24">EXP(F472)</f>
        <v>2.0925422323838421E-5</v>
      </c>
      <c r="H472" s="1">
        <f>G472/$G$21</f>
        <v>1.4673629481400596E-6</v>
      </c>
      <c r="I472">
        <f>IF($E$11&lt;=D472, IF(D472&lt;=$A$15,D472-$E$11,$F$11),0)</f>
        <v>300</v>
      </c>
      <c r="J472">
        <f>IF(D472&lt;=$A$15,0,D472-$A$15)</f>
        <v>140</v>
      </c>
      <c r="K472" s="5">
        <f>IF(D472&lt;$E$11,H472,0)</f>
        <v>0</v>
      </c>
      <c r="L472">
        <f>IF(D472&lt;$A$15,$C$11,$C$11*(1-$G$11))</f>
        <v>200</v>
      </c>
      <c r="M472">
        <f>IF(D472&lt;$A$15,0,1)</f>
        <v>1</v>
      </c>
    </row>
    <row r="473" spans="4:13" x14ac:dyDescent="0.2">
      <c r="D473">
        <f t="shared" ref="D473:D536" si="25">1+D472</f>
        <v>450</v>
      </c>
      <c r="E473" s="1">
        <f t="shared" si="23"/>
        <v>255.47456135380656</v>
      </c>
      <c r="F473" s="1">
        <f t="shared" ref="F473:F536" si="26">E473-$E$21</f>
        <v>-10.851506800188304</v>
      </c>
      <c r="G473" s="1">
        <f t="shared" si="24"/>
        <v>1.9375391040591926E-5</v>
      </c>
      <c r="H473" s="1">
        <f>G473/$G$21</f>
        <v>1.358669396426037E-6</v>
      </c>
      <c r="I473">
        <f>IF($E$11&lt;=D473, IF(D473&lt;=$A$15,D473-$E$11,$F$11),0)</f>
        <v>300</v>
      </c>
      <c r="J473">
        <f>IF(D473&lt;=$A$15,0,D473-$A$15)</f>
        <v>141</v>
      </c>
      <c r="K473" s="5">
        <f>IF(D473&lt;$E$11,H473,0)</f>
        <v>0</v>
      </c>
      <c r="L473">
        <f>IF(D473&lt;$A$15,$C$11,$C$11*(1-$G$11))</f>
        <v>200</v>
      </c>
      <c r="M473">
        <f>IF(D473&lt;$A$15,0,1)</f>
        <v>1</v>
      </c>
    </row>
    <row r="474" spans="4:13" x14ac:dyDescent="0.2">
      <c r="D474">
        <f t="shared" si="25"/>
        <v>451</v>
      </c>
      <c r="E474" s="1">
        <f t="shared" si="23"/>
        <v>255.39760031267048</v>
      </c>
      <c r="F474" s="1">
        <f t="shared" si="26"/>
        <v>-10.928467841324391</v>
      </c>
      <c r="G474" s="1">
        <f t="shared" si="24"/>
        <v>1.7940176889437706E-5</v>
      </c>
      <c r="H474" s="1">
        <f>G474/$G$21</f>
        <v>1.2580272189130489E-6</v>
      </c>
      <c r="I474">
        <f>IF($E$11&lt;=D474, IF(D474&lt;=$A$15,D474-$E$11,$F$11),0)</f>
        <v>300</v>
      </c>
      <c r="J474">
        <f>IF(D474&lt;=$A$15,0,D474-$A$15)</f>
        <v>142</v>
      </c>
      <c r="K474" s="5">
        <f>IF(D474&lt;$E$11,H474,0)</f>
        <v>0</v>
      </c>
      <c r="L474">
        <f>IF(D474&lt;$A$15,$C$11,$C$11*(1-$G$11))</f>
        <v>200</v>
      </c>
      <c r="M474">
        <f>IF(D474&lt;$A$15,0,1)</f>
        <v>1</v>
      </c>
    </row>
    <row r="475" spans="4:13" x14ac:dyDescent="0.2">
      <c r="D475">
        <f t="shared" si="25"/>
        <v>452</v>
      </c>
      <c r="E475" s="1">
        <f t="shared" si="23"/>
        <v>255.32063927153439</v>
      </c>
      <c r="F475" s="1">
        <f t="shared" si="26"/>
        <v>-11.005428882460478</v>
      </c>
      <c r="G475" s="1">
        <f t="shared" si="24"/>
        <v>1.6611274897628187E-5</v>
      </c>
      <c r="H475" s="1">
        <f>G475/$G$21</f>
        <v>1.1648400175121302E-6</v>
      </c>
      <c r="I475">
        <f>IF($E$11&lt;=D475, IF(D475&lt;=$A$15,D475-$E$11,$F$11),0)</f>
        <v>300</v>
      </c>
      <c r="J475">
        <f>IF(D475&lt;=$A$15,0,D475-$A$15)</f>
        <v>143</v>
      </c>
      <c r="K475" s="5">
        <f>IF(D475&lt;$E$11,H475,0)</f>
        <v>0</v>
      </c>
      <c r="L475">
        <f>IF(D475&lt;$A$15,$C$11,$C$11*(1-$G$11))</f>
        <v>200</v>
      </c>
      <c r="M475">
        <f>IF(D475&lt;$A$15,0,1)</f>
        <v>1</v>
      </c>
    </row>
    <row r="476" spans="4:13" x14ac:dyDescent="0.2">
      <c r="D476">
        <f t="shared" si="25"/>
        <v>453</v>
      </c>
      <c r="E476" s="1">
        <f t="shared" si="23"/>
        <v>255.2436782303983</v>
      </c>
      <c r="F476" s="1">
        <f t="shared" si="26"/>
        <v>-11.082389923596565</v>
      </c>
      <c r="G476" s="1">
        <f t="shared" si="24"/>
        <v>1.5380810090397102E-5</v>
      </c>
      <c r="H476" s="1">
        <f>G476/$G$21</f>
        <v>1.0785555717705351E-6</v>
      </c>
      <c r="I476">
        <f>IF($E$11&lt;=D476, IF(D476&lt;=$A$15,D476-$E$11,$F$11),0)</f>
        <v>300</v>
      </c>
      <c r="J476">
        <f>IF(D476&lt;=$A$15,0,D476-$A$15)</f>
        <v>144</v>
      </c>
      <c r="K476" s="5">
        <f>IF(D476&lt;$E$11,H476,0)</f>
        <v>0</v>
      </c>
      <c r="L476">
        <f>IF(D476&lt;$A$15,$C$11,$C$11*(1-$G$11))</f>
        <v>200</v>
      </c>
      <c r="M476">
        <f>IF(D476&lt;$A$15,0,1)</f>
        <v>1</v>
      </c>
    </row>
    <row r="477" spans="4:13" x14ac:dyDescent="0.2">
      <c r="D477">
        <f t="shared" si="25"/>
        <v>454</v>
      </c>
      <c r="E477" s="1">
        <f t="shared" si="23"/>
        <v>255.16671718926222</v>
      </c>
      <c r="F477" s="1">
        <f t="shared" si="26"/>
        <v>-11.159350964732653</v>
      </c>
      <c r="G477" s="1">
        <f t="shared" si="24"/>
        <v>1.4241490824442345E-5</v>
      </c>
      <c r="H477" s="1">
        <f>G477/$G$21</f>
        <v>9.9866256645424007E-7</v>
      </c>
      <c r="I477">
        <f>IF($E$11&lt;=D477, IF(D477&lt;=$A$15,D477-$E$11,$F$11),0)</f>
        <v>300</v>
      </c>
      <c r="J477">
        <f>IF(D477&lt;=$A$15,0,D477-$A$15)</f>
        <v>145</v>
      </c>
      <c r="K477" s="5">
        <f>IF(D477&lt;$E$11,H477,0)</f>
        <v>0</v>
      </c>
      <c r="L477">
        <f>IF(D477&lt;$A$15,$C$11,$C$11*(1-$G$11))</f>
        <v>200</v>
      </c>
      <c r="M477">
        <f>IF(D477&lt;$A$15,0,1)</f>
        <v>1</v>
      </c>
    </row>
    <row r="478" spans="4:13" x14ac:dyDescent="0.2">
      <c r="D478">
        <f t="shared" si="25"/>
        <v>455</v>
      </c>
      <c r="E478" s="1">
        <f t="shared" si="23"/>
        <v>255.08975614812613</v>
      </c>
      <c r="F478" s="1">
        <f t="shared" si="26"/>
        <v>-11.23631200586874</v>
      </c>
      <c r="G478" s="1">
        <f t="shared" si="24"/>
        <v>1.3186565578187898E-5</v>
      </c>
      <c r="H478" s="1">
        <f>G478/$G$21</f>
        <v>9.2468756153174187E-7</v>
      </c>
      <c r="I478">
        <f>IF($E$11&lt;=D478, IF(D478&lt;=$A$15,D478-$E$11,$F$11),0)</f>
        <v>300</v>
      </c>
      <c r="J478">
        <f>IF(D478&lt;=$A$15,0,D478-$A$15)</f>
        <v>146</v>
      </c>
      <c r="K478" s="5">
        <f>IF(D478&lt;$E$11,H478,0)</f>
        <v>0</v>
      </c>
      <c r="L478">
        <f>IF(D478&lt;$A$15,$C$11,$C$11*(1-$G$11))</f>
        <v>200</v>
      </c>
      <c r="M478">
        <f>IF(D478&lt;$A$15,0,1)</f>
        <v>1</v>
      </c>
    </row>
    <row r="479" spans="4:13" x14ac:dyDescent="0.2">
      <c r="D479">
        <f t="shared" si="25"/>
        <v>456</v>
      </c>
      <c r="E479" s="1">
        <f t="shared" si="23"/>
        <v>255.01279510699004</v>
      </c>
      <c r="F479" s="1">
        <f t="shared" si="26"/>
        <v>-11.313273047004827</v>
      </c>
      <c r="G479" s="1">
        <f t="shared" si="24"/>
        <v>1.2209782942767074E-5</v>
      </c>
      <c r="H479" s="1">
        <f>G479/$G$21</f>
        <v>8.5619218660349984E-7</v>
      </c>
      <c r="I479">
        <f>IF($E$11&lt;=D479, IF(D479&lt;=$A$15,D479-$E$11,$F$11),0)</f>
        <v>300</v>
      </c>
      <c r="J479">
        <f>IF(D479&lt;=$A$15,0,D479-$A$15)</f>
        <v>147</v>
      </c>
      <c r="K479" s="5">
        <f>IF(D479&lt;$E$11,H479,0)</f>
        <v>0</v>
      </c>
      <c r="L479">
        <f>IF(D479&lt;$A$15,$C$11,$C$11*(1-$G$11))</f>
        <v>200</v>
      </c>
      <c r="M479">
        <f>IF(D479&lt;$A$15,0,1)</f>
        <v>1</v>
      </c>
    </row>
    <row r="480" spans="4:13" x14ac:dyDescent="0.2">
      <c r="D480">
        <f t="shared" si="25"/>
        <v>457</v>
      </c>
      <c r="E480" s="1">
        <f t="shared" si="23"/>
        <v>254.93583406585395</v>
      </c>
      <c r="F480" s="1">
        <f t="shared" si="26"/>
        <v>-11.390234088140915</v>
      </c>
      <c r="G480" s="1">
        <f t="shared" si="24"/>
        <v>1.1305354576636643E-5</v>
      </c>
      <c r="H480" s="1">
        <f>G480/$G$21</f>
        <v>7.9277054315142126E-7</v>
      </c>
      <c r="I480">
        <f>IF($E$11&lt;=D480, IF(D480&lt;=$A$15,D480-$E$11,$F$11),0)</f>
        <v>300</v>
      </c>
      <c r="J480">
        <f>IF(D480&lt;=$A$15,0,D480-$A$15)</f>
        <v>148</v>
      </c>
      <c r="K480" s="5">
        <f>IF(D480&lt;$E$11,H480,0)</f>
        <v>0</v>
      </c>
      <c r="L480">
        <f>IF(D480&lt;$A$15,$C$11,$C$11*(1-$G$11))</f>
        <v>200</v>
      </c>
      <c r="M480">
        <f>IF(D480&lt;$A$15,0,1)</f>
        <v>1</v>
      </c>
    </row>
    <row r="481" spans="4:13" x14ac:dyDescent="0.2">
      <c r="D481">
        <f t="shared" si="25"/>
        <v>458</v>
      </c>
      <c r="E481" s="1">
        <f t="shared" si="23"/>
        <v>254.85887302471787</v>
      </c>
      <c r="F481" s="1">
        <f t="shared" si="26"/>
        <v>-11.467195129277002</v>
      </c>
      <c r="G481" s="1">
        <f t="shared" si="24"/>
        <v>1.0467920904293618E-5</v>
      </c>
      <c r="H481" s="1">
        <f>G481/$G$21</f>
        <v>7.340467992143091E-7</v>
      </c>
      <c r="I481">
        <f>IF($E$11&lt;=D481, IF(D481&lt;=$A$15,D481-$E$11,$F$11),0)</f>
        <v>300</v>
      </c>
      <c r="J481">
        <f>IF(D481&lt;=$A$15,0,D481-$A$15)</f>
        <v>149</v>
      </c>
      <c r="K481" s="5">
        <f>IF(D481&lt;$E$11,H481,0)</f>
        <v>0</v>
      </c>
      <c r="L481">
        <f>IF(D481&lt;$A$15,$C$11,$C$11*(1-$G$11))</f>
        <v>200</v>
      </c>
      <c r="M481">
        <f>IF(D481&lt;$A$15,0,1)</f>
        <v>1</v>
      </c>
    </row>
    <row r="482" spans="4:13" x14ac:dyDescent="0.2">
      <c r="D482">
        <f t="shared" si="25"/>
        <v>459</v>
      </c>
      <c r="E482" s="1">
        <f t="shared" si="23"/>
        <v>254.78191198358178</v>
      </c>
      <c r="F482" s="1">
        <f t="shared" si="26"/>
        <v>-11.544156170413089</v>
      </c>
      <c r="G482" s="1">
        <f t="shared" si="24"/>
        <v>9.6925193558278222E-6</v>
      </c>
      <c r="H482" s="1">
        <f>G482/$G$21</f>
        <v>6.796729622354993E-7</v>
      </c>
      <c r="I482">
        <f>IF($E$11&lt;=D482, IF(D482&lt;=$A$15,D482-$E$11,$F$11),0)</f>
        <v>300</v>
      </c>
      <c r="J482">
        <f>IF(D482&lt;=$A$15,0,D482-$A$15)</f>
        <v>150</v>
      </c>
      <c r="K482" s="5">
        <f>IF(D482&lt;$E$11,H482,0)</f>
        <v>0</v>
      </c>
      <c r="L482">
        <f>IF(D482&lt;$A$15,$C$11,$C$11*(1-$G$11))</f>
        <v>200</v>
      </c>
      <c r="M482">
        <f>IF(D482&lt;$A$15,0,1)</f>
        <v>1</v>
      </c>
    </row>
    <row r="483" spans="4:13" x14ac:dyDescent="0.2">
      <c r="D483">
        <f t="shared" si="25"/>
        <v>460</v>
      </c>
      <c r="E483" s="1">
        <f t="shared" si="23"/>
        <v>254.70495094244569</v>
      </c>
      <c r="F483" s="1">
        <f t="shared" si="26"/>
        <v>-11.621117211549176</v>
      </c>
      <c r="G483" s="1">
        <f t="shared" si="24"/>
        <v>8.9745549591002051E-6</v>
      </c>
      <c r="H483" s="1">
        <f>G483/$G$21</f>
        <v>6.2932681688474754E-7</v>
      </c>
      <c r="I483">
        <f>IF($E$11&lt;=D483, IF(D483&lt;=$A$15,D483-$E$11,$F$11),0)</f>
        <v>300</v>
      </c>
      <c r="J483">
        <f>IF(D483&lt;=$A$15,0,D483-$A$15)</f>
        <v>151</v>
      </c>
      <c r="K483" s="5">
        <f>IF(D483&lt;$E$11,H483,0)</f>
        <v>0</v>
      </c>
      <c r="L483">
        <f>IF(D483&lt;$A$15,$C$11,$C$11*(1-$G$11))</f>
        <v>200</v>
      </c>
      <c r="M483">
        <f>IF(D483&lt;$A$15,0,1)</f>
        <v>1</v>
      </c>
    </row>
    <row r="484" spans="4:13" x14ac:dyDescent="0.2">
      <c r="D484">
        <f t="shared" si="25"/>
        <v>461</v>
      </c>
      <c r="E484" s="1">
        <f t="shared" si="23"/>
        <v>254.6279899013096</v>
      </c>
      <c r="F484" s="1">
        <f t="shared" si="26"/>
        <v>-11.698078252685264</v>
      </c>
      <c r="G484" s="1">
        <f t="shared" si="24"/>
        <v>8.3097731102783085E-6</v>
      </c>
      <c r="H484" s="1">
        <f>G484/$G$21</f>
        <v>5.8271001563404933E-7</v>
      </c>
      <c r="I484">
        <f>IF($E$11&lt;=D484, IF(D484&lt;=$A$15,D484-$E$11,$F$11),0)</f>
        <v>300</v>
      </c>
      <c r="J484">
        <f>IF(D484&lt;=$A$15,0,D484-$A$15)</f>
        <v>152</v>
      </c>
      <c r="K484" s="5">
        <f>IF(D484&lt;$E$11,H484,0)</f>
        <v>0</v>
      </c>
      <c r="L484">
        <f>IF(D484&lt;$A$15,$C$11,$C$11*(1-$G$11))</f>
        <v>200</v>
      </c>
      <c r="M484">
        <f>IF(D484&lt;$A$15,0,1)</f>
        <v>1</v>
      </c>
    </row>
    <row r="485" spans="4:13" x14ac:dyDescent="0.2">
      <c r="D485">
        <f t="shared" si="25"/>
        <v>462</v>
      </c>
      <c r="E485" s="1">
        <f t="shared" si="23"/>
        <v>254.55102886017352</v>
      </c>
      <c r="F485" s="1">
        <f t="shared" si="26"/>
        <v>-11.775039293821351</v>
      </c>
      <c r="G485" s="1">
        <f t="shared" si="24"/>
        <v>7.6942343613691204E-6</v>
      </c>
      <c r="H485" s="1">
        <f>G485/$G$21</f>
        <v>5.3954631077229006E-7</v>
      </c>
      <c r="I485">
        <f>IF($E$11&lt;=D485, IF(D485&lt;=$A$15,D485-$E$11,$F$11),0)</f>
        <v>300</v>
      </c>
      <c r="J485">
        <f>IF(D485&lt;=$A$15,0,D485-$A$15)</f>
        <v>153</v>
      </c>
      <c r="K485" s="5">
        <f>IF(D485&lt;$E$11,H485,0)</f>
        <v>0</v>
      </c>
      <c r="L485">
        <f>IF(D485&lt;$A$15,$C$11,$C$11*(1-$G$11))</f>
        <v>200</v>
      </c>
      <c r="M485">
        <f>IF(D485&lt;$A$15,0,1)</f>
        <v>1</v>
      </c>
    </row>
    <row r="486" spans="4:13" x14ac:dyDescent="0.2">
      <c r="D486">
        <f t="shared" si="25"/>
        <v>463</v>
      </c>
      <c r="E486" s="1">
        <f t="shared" si="23"/>
        <v>254.47406781903743</v>
      </c>
      <c r="F486" s="1">
        <f t="shared" si="26"/>
        <v>-11.852000334957438</v>
      </c>
      <c r="G486" s="1">
        <f t="shared" si="24"/>
        <v>7.1242910753420705E-6</v>
      </c>
      <c r="H486" s="1">
        <f>G486/$G$21</f>
        <v>4.9957991738177061E-7</v>
      </c>
      <c r="I486">
        <f>IF($E$11&lt;=D486, IF(D486&lt;=$A$15,D486-$E$11,$F$11),0)</f>
        <v>300</v>
      </c>
      <c r="J486">
        <f>IF(D486&lt;=$A$15,0,D486-$A$15)</f>
        <v>154</v>
      </c>
      <c r="K486" s="5">
        <f>IF(D486&lt;$E$11,H486,0)</f>
        <v>0</v>
      </c>
      <c r="L486">
        <f>IF(D486&lt;$A$15,$C$11,$C$11*(1-$G$11))</f>
        <v>200</v>
      </c>
      <c r="M486">
        <f>IF(D486&lt;$A$15,0,1)</f>
        <v>1</v>
      </c>
    </row>
    <row r="487" spans="4:13" x14ac:dyDescent="0.2">
      <c r="D487">
        <f t="shared" si="25"/>
        <v>464</v>
      </c>
      <c r="E487" s="1">
        <f t="shared" si="23"/>
        <v>254.39710677790134</v>
      </c>
      <c r="F487" s="1">
        <f t="shared" si="26"/>
        <v>-11.928961376093525</v>
      </c>
      <c r="G487" s="1">
        <f t="shared" si="24"/>
        <v>6.596565810502188E-6</v>
      </c>
      <c r="H487" s="1">
        <f>G487/$G$21</f>
        <v>4.6257399757573252E-7</v>
      </c>
      <c r="I487">
        <f>IF($E$11&lt;=D487, IF(D487&lt;=$A$15,D487-$E$11,$F$11),0)</f>
        <v>300</v>
      </c>
      <c r="J487">
        <f>IF(D487&lt;=$A$15,0,D487-$A$15)</f>
        <v>155</v>
      </c>
      <c r="K487" s="5">
        <f>IF(D487&lt;$E$11,H487,0)</f>
        <v>0</v>
      </c>
      <c r="L487">
        <f>IF(D487&lt;$A$15,$C$11,$C$11*(1-$G$11))</f>
        <v>200</v>
      </c>
      <c r="M487">
        <f>IF(D487&lt;$A$15,0,1)</f>
        <v>1</v>
      </c>
    </row>
    <row r="488" spans="4:13" x14ac:dyDescent="0.2">
      <c r="D488">
        <f t="shared" si="25"/>
        <v>465</v>
      </c>
      <c r="E488" s="1">
        <f t="shared" si="23"/>
        <v>254.32014573676526</v>
      </c>
      <c r="F488" s="1">
        <f t="shared" si="26"/>
        <v>-12.005922417229613</v>
      </c>
      <c r="G488" s="1">
        <f t="shared" si="24"/>
        <v>6.1079313060207949E-6</v>
      </c>
      <c r="H488" s="1">
        <f>G488/$G$21</f>
        <v>4.283092570145847E-7</v>
      </c>
      <c r="I488">
        <f>IF($E$11&lt;=D488, IF(D488&lt;=$A$15,D488-$E$11,$F$11),0)</f>
        <v>300</v>
      </c>
      <c r="J488">
        <f>IF(D488&lt;=$A$15,0,D488-$A$15)</f>
        <v>156</v>
      </c>
      <c r="K488" s="5">
        <f>IF(D488&lt;$E$11,H488,0)</f>
        <v>0</v>
      </c>
      <c r="L488">
        <f>IF(D488&lt;$A$15,$C$11,$C$11*(1-$G$11))</f>
        <v>200</v>
      </c>
      <c r="M488">
        <f>IF(D488&lt;$A$15,0,1)</f>
        <v>1</v>
      </c>
    </row>
    <row r="489" spans="4:13" x14ac:dyDescent="0.2">
      <c r="D489">
        <f t="shared" si="25"/>
        <v>466</v>
      </c>
      <c r="E489" s="1">
        <f t="shared" si="23"/>
        <v>254.24318469562917</v>
      </c>
      <c r="F489" s="1">
        <f t="shared" si="26"/>
        <v>-12.0828834583657</v>
      </c>
      <c r="G489" s="1">
        <f t="shared" si="24"/>
        <v>5.655491950019487E-6</v>
      </c>
      <c r="H489" s="1">
        <f>G489/$G$21</f>
        <v>3.9658264538389104E-7</v>
      </c>
      <c r="I489">
        <f>IF($E$11&lt;=D489, IF(D489&lt;=$A$15,D489-$E$11,$F$11),0)</f>
        <v>300</v>
      </c>
      <c r="J489">
        <f>IF(D489&lt;=$A$15,0,D489-$A$15)</f>
        <v>157</v>
      </c>
      <c r="K489" s="5">
        <f>IF(D489&lt;$E$11,H489,0)</f>
        <v>0</v>
      </c>
      <c r="L489">
        <f>IF(D489&lt;$A$15,$C$11,$C$11*(1-$G$11))</f>
        <v>200</v>
      </c>
      <c r="M489">
        <f>IF(D489&lt;$A$15,0,1)</f>
        <v>1</v>
      </c>
    </row>
    <row r="490" spans="4:13" x14ac:dyDescent="0.2">
      <c r="D490">
        <f t="shared" si="25"/>
        <v>467</v>
      </c>
      <c r="E490" s="1">
        <f t="shared" si="23"/>
        <v>254.16622365449308</v>
      </c>
      <c r="F490" s="1">
        <f t="shared" si="26"/>
        <v>-12.159844499501787</v>
      </c>
      <c r="G490" s="1">
        <f t="shared" si="24"/>
        <v>5.2365666203886285E-6</v>
      </c>
      <c r="H490" s="1">
        <f>G490/$G$21</f>
        <v>3.6720615313324748E-7</v>
      </c>
      <c r="I490">
        <f>IF($E$11&lt;=D490, IF(D490&lt;=$A$15,D490-$E$11,$F$11),0)</f>
        <v>300</v>
      </c>
      <c r="J490">
        <f>IF(D490&lt;=$A$15,0,D490-$A$15)</f>
        <v>158</v>
      </c>
      <c r="K490" s="5">
        <f>IF(D490&lt;$E$11,H490,0)</f>
        <v>0</v>
      </c>
      <c r="L490">
        <f>IF(D490&lt;$A$15,$C$11,$C$11*(1-$G$11))</f>
        <v>200</v>
      </c>
      <c r="M490">
        <f>IF(D490&lt;$A$15,0,1)</f>
        <v>1</v>
      </c>
    </row>
    <row r="491" spans="4:13" x14ac:dyDescent="0.2">
      <c r="D491">
        <f t="shared" si="25"/>
        <v>468</v>
      </c>
      <c r="E491" s="1">
        <f t="shared" si="23"/>
        <v>254.08926261335699</v>
      </c>
      <c r="F491" s="1">
        <f t="shared" si="26"/>
        <v>-12.236805540637874</v>
      </c>
      <c r="G491" s="1">
        <f t="shared" si="24"/>
        <v>4.8486727966563369E-6</v>
      </c>
      <c r="H491" s="1">
        <f>G491/$G$21</f>
        <v>3.4000569734561352E-7</v>
      </c>
      <c r="I491">
        <f>IF($E$11&lt;=D491, IF(D491&lt;=$A$15,D491-$E$11,$F$11),0)</f>
        <v>300</v>
      </c>
      <c r="J491">
        <f>IF(D491&lt;=$A$15,0,D491-$A$15)</f>
        <v>159</v>
      </c>
      <c r="K491" s="5">
        <f>IF(D491&lt;$E$11,H491,0)</f>
        <v>0</v>
      </c>
      <c r="L491">
        <f>IF(D491&lt;$A$15,$C$11,$C$11*(1-$G$11))</f>
        <v>200</v>
      </c>
      <c r="M491">
        <f>IF(D491&lt;$A$15,0,1)</f>
        <v>1</v>
      </c>
    </row>
    <row r="492" spans="4:13" x14ac:dyDescent="0.2">
      <c r="D492">
        <f t="shared" si="25"/>
        <v>469</v>
      </c>
      <c r="E492" s="1">
        <f t="shared" si="23"/>
        <v>254.01230157222091</v>
      </c>
      <c r="F492" s="1">
        <f t="shared" si="26"/>
        <v>-12.313766581773962</v>
      </c>
      <c r="G492" s="1">
        <f t="shared" si="24"/>
        <v>4.489511848756052E-6</v>
      </c>
      <c r="H492" s="1">
        <f>G492/$G$21</f>
        <v>3.1482009013484025E-7</v>
      </c>
      <c r="I492">
        <f>IF($E$11&lt;=D492, IF(D492&lt;=$A$15,D492-$E$11,$F$11),0)</f>
        <v>300</v>
      </c>
      <c r="J492">
        <f>IF(D492&lt;=$A$15,0,D492-$A$15)</f>
        <v>160</v>
      </c>
      <c r="K492" s="5">
        <f>IF(D492&lt;$E$11,H492,0)</f>
        <v>0</v>
      </c>
      <c r="L492">
        <f>IF(D492&lt;$A$15,$C$11,$C$11*(1-$G$11))</f>
        <v>200</v>
      </c>
      <c r="M492">
        <f>IF(D492&lt;$A$15,0,1)</f>
        <v>1</v>
      </c>
    </row>
    <row r="493" spans="4:13" x14ac:dyDescent="0.2">
      <c r="D493">
        <f t="shared" si="25"/>
        <v>470</v>
      </c>
      <c r="E493" s="1">
        <f t="shared" si="23"/>
        <v>253.93534053108482</v>
      </c>
      <c r="F493" s="1">
        <f t="shared" si="26"/>
        <v>-12.390727622910049</v>
      </c>
      <c r="G493" s="1">
        <f t="shared" si="24"/>
        <v>4.1569554155150332E-6</v>
      </c>
      <c r="H493" s="1">
        <f>G493/$G$21</f>
        <v>2.9150008345819736E-7</v>
      </c>
      <c r="I493">
        <f>IF($E$11&lt;=D493, IF(D493&lt;=$A$15,D493-$E$11,$F$11),0)</f>
        <v>300</v>
      </c>
      <c r="J493">
        <f>IF(D493&lt;=$A$15,0,D493-$A$15)</f>
        <v>161</v>
      </c>
      <c r="K493" s="5">
        <f>IF(D493&lt;$E$11,H493,0)</f>
        <v>0</v>
      </c>
      <c r="L493">
        <f>IF(D493&lt;$A$15,$C$11,$C$11*(1-$G$11))</f>
        <v>200</v>
      </c>
      <c r="M493">
        <f>IF(D493&lt;$A$15,0,1)</f>
        <v>1</v>
      </c>
    </row>
    <row r="494" spans="4:13" x14ac:dyDescent="0.2">
      <c r="D494">
        <f t="shared" si="25"/>
        <v>471</v>
      </c>
      <c r="E494" s="1">
        <f t="shared" si="23"/>
        <v>253.85837948994873</v>
      </c>
      <c r="F494" s="1">
        <f t="shared" si="26"/>
        <v>-12.467688664046136</v>
      </c>
      <c r="G494" s="1">
        <f t="shared" si="24"/>
        <v>3.8490327921437079E-6</v>
      </c>
      <c r="H494" s="1">
        <f>G494/$G$21</f>
        <v>2.699074846835272E-7</v>
      </c>
      <c r="I494">
        <f>IF($E$11&lt;=D494, IF(D494&lt;=$A$15,D494-$E$11,$F$11),0)</f>
        <v>300</v>
      </c>
      <c r="J494">
        <f>IF(D494&lt;=$A$15,0,D494-$A$15)</f>
        <v>162</v>
      </c>
      <c r="K494" s="5">
        <f>IF(D494&lt;$E$11,H494,0)</f>
        <v>0</v>
      </c>
      <c r="L494">
        <f>IF(D494&lt;$A$15,$C$11,$C$11*(1-$G$11))</f>
        <v>200</v>
      </c>
      <c r="M494">
        <f>IF(D494&lt;$A$15,0,1)</f>
        <v>1</v>
      </c>
    </row>
    <row r="495" spans="4:13" x14ac:dyDescent="0.2">
      <c r="D495">
        <f t="shared" si="25"/>
        <v>472</v>
      </c>
      <c r="E495" s="1">
        <f t="shared" si="23"/>
        <v>253.78141844881264</v>
      </c>
      <c r="F495" s="1">
        <f t="shared" si="26"/>
        <v>-12.544649705182223</v>
      </c>
      <c r="G495" s="1">
        <f t="shared" si="24"/>
        <v>3.5639192519850607E-6</v>
      </c>
      <c r="H495" s="1">
        <f>G495/$G$21</f>
        <v>2.4991433766994282E-7</v>
      </c>
      <c r="I495">
        <f>IF($E$11&lt;=D495, IF(D495&lt;=$A$15,D495-$E$11,$F$11),0)</f>
        <v>300</v>
      </c>
      <c r="J495">
        <f>IF(D495&lt;=$A$15,0,D495-$A$15)</f>
        <v>163</v>
      </c>
      <c r="K495" s="5">
        <f>IF(D495&lt;$E$11,H495,0)</f>
        <v>0</v>
      </c>
      <c r="L495">
        <f>IF(D495&lt;$A$15,$C$11,$C$11*(1-$G$11))</f>
        <v>200</v>
      </c>
      <c r="M495">
        <f>IF(D495&lt;$A$15,0,1)</f>
        <v>1</v>
      </c>
    </row>
    <row r="496" spans="4:13" x14ac:dyDescent="0.2">
      <c r="D496">
        <f t="shared" si="25"/>
        <v>473</v>
      </c>
      <c r="E496" s="1">
        <f t="shared" si="23"/>
        <v>253.70445740767656</v>
      </c>
      <c r="F496" s="1">
        <f t="shared" si="26"/>
        <v>-12.621610746318311</v>
      </c>
      <c r="G496" s="1">
        <f t="shared" si="24"/>
        <v>3.2999252333196362E-6</v>
      </c>
      <c r="H496" s="1">
        <f>G496/$G$21</f>
        <v>2.3140216450921584E-7</v>
      </c>
      <c r="I496">
        <f>IF($E$11&lt;=D496, IF(D496&lt;=$A$15,D496-$E$11,$F$11),0)</f>
        <v>300</v>
      </c>
      <c r="J496">
        <f>IF(D496&lt;=$A$15,0,D496-$A$15)</f>
        <v>164</v>
      </c>
      <c r="K496" s="5">
        <f>IF(D496&lt;$E$11,H496,0)</f>
        <v>0</v>
      </c>
      <c r="L496">
        <f>IF(D496&lt;$A$15,$C$11,$C$11*(1-$G$11))</f>
        <v>200</v>
      </c>
      <c r="M496">
        <f>IF(D496&lt;$A$15,0,1)</f>
        <v>1</v>
      </c>
    </row>
    <row r="497" spans="4:13" x14ac:dyDescent="0.2">
      <c r="D497">
        <f t="shared" si="25"/>
        <v>474</v>
      </c>
      <c r="E497" s="1">
        <f t="shared" si="23"/>
        <v>253.62749636654047</v>
      </c>
      <c r="F497" s="1">
        <f t="shared" si="26"/>
        <v>-12.698571787454398</v>
      </c>
      <c r="G497" s="1">
        <f t="shared" si="24"/>
        <v>3.0554863271479367E-6</v>
      </c>
      <c r="H497" s="1">
        <f>G497/$G$21</f>
        <v>2.1426126343446788E-7</v>
      </c>
      <c r="I497">
        <f>IF($E$11&lt;=D497, IF(D497&lt;=$A$15,D497-$E$11,$F$11),0)</f>
        <v>300</v>
      </c>
      <c r="J497">
        <f>IF(D497&lt;=$A$15,0,D497-$A$15)</f>
        <v>165</v>
      </c>
      <c r="K497" s="5">
        <f>IF(D497&lt;$E$11,H497,0)</f>
        <v>0</v>
      </c>
      <c r="L497">
        <f>IF(D497&lt;$A$15,$C$11,$C$11*(1-$G$11))</f>
        <v>200</v>
      </c>
      <c r="M497">
        <f>IF(D497&lt;$A$15,0,1)</f>
        <v>1</v>
      </c>
    </row>
    <row r="498" spans="4:13" x14ac:dyDescent="0.2">
      <c r="D498">
        <f t="shared" si="25"/>
        <v>475</v>
      </c>
      <c r="E498" s="1">
        <f t="shared" si="23"/>
        <v>253.55053532540438</v>
      </c>
      <c r="F498" s="1">
        <f t="shared" si="26"/>
        <v>-12.775532828590485</v>
      </c>
      <c r="G498" s="1">
        <f t="shared" si="24"/>
        <v>2.8291540066185761E-6</v>
      </c>
      <c r="H498" s="1">
        <f>G498/$G$21</f>
        <v>1.9839005873562656E-7</v>
      </c>
      <c r="I498">
        <f>IF($E$11&lt;=D498, IF(D498&lt;=$A$15,D498-$E$11,$F$11),0)</f>
        <v>300</v>
      </c>
      <c r="J498">
        <f>IF(D498&lt;=$A$15,0,D498-$A$15)</f>
        <v>166</v>
      </c>
      <c r="K498" s="5">
        <f>IF(D498&lt;$E$11,H498,0)</f>
        <v>0</v>
      </c>
      <c r="L498">
        <f>IF(D498&lt;$A$15,$C$11,$C$11*(1-$G$11))</f>
        <v>200</v>
      </c>
      <c r="M498">
        <f>IF(D498&lt;$A$15,0,1)</f>
        <v>1</v>
      </c>
    </row>
    <row r="499" spans="4:13" x14ac:dyDescent="0.2">
      <c r="D499">
        <f t="shared" si="25"/>
        <v>476</v>
      </c>
      <c r="E499" s="1">
        <f t="shared" si="23"/>
        <v>253.4735742842683</v>
      </c>
      <c r="F499" s="1">
        <f t="shared" si="26"/>
        <v>-12.852493869726572</v>
      </c>
      <c r="G499" s="1">
        <f t="shared" si="24"/>
        <v>2.619587043165456E-6</v>
      </c>
      <c r="H499" s="1">
        <f>G499/$G$21</f>
        <v>1.836944988292914E-7</v>
      </c>
      <c r="I499">
        <f>IF($E$11&lt;=D499, IF(D499&lt;=$A$15,D499-$E$11,$F$11),0)</f>
        <v>300</v>
      </c>
      <c r="J499">
        <f>IF(D499&lt;=$A$15,0,D499-$A$15)</f>
        <v>167</v>
      </c>
      <c r="K499" s="5">
        <f>IF(D499&lt;$E$11,H499,0)</f>
        <v>0</v>
      </c>
      <c r="L499">
        <f>IF(D499&lt;$A$15,$C$11,$C$11*(1-$G$11))</f>
        <v>200</v>
      </c>
      <c r="M499">
        <f>IF(D499&lt;$A$15,0,1)</f>
        <v>1</v>
      </c>
    </row>
    <row r="500" spans="4:13" x14ac:dyDescent="0.2">
      <c r="D500">
        <f t="shared" si="25"/>
        <v>477</v>
      </c>
      <c r="E500" s="1">
        <f t="shared" si="23"/>
        <v>253.39661324313221</v>
      </c>
      <c r="F500" s="1">
        <f t="shared" si="26"/>
        <v>-12.92945491086266</v>
      </c>
      <c r="G500" s="1">
        <f t="shared" si="24"/>
        <v>2.4255435584866329E-6</v>
      </c>
      <c r="H500" s="1">
        <f>G500/$G$21</f>
        <v>1.7008749891601755E-7</v>
      </c>
      <c r="I500">
        <f>IF($E$11&lt;=D500, IF(D500&lt;=$A$15,D500-$E$11,$F$11),0)</f>
        <v>300</v>
      </c>
      <c r="J500">
        <f>IF(D500&lt;=$A$15,0,D500-$A$15)</f>
        <v>168</v>
      </c>
      <c r="K500" s="5">
        <f>IF(D500&lt;$E$11,H500,0)</f>
        <v>0</v>
      </c>
      <c r="L500">
        <f>IF(D500&lt;$A$15,$C$11,$C$11*(1-$G$11))</f>
        <v>200</v>
      </c>
      <c r="M500">
        <f>IF(D500&lt;$A$15,0,1)</f>
        <v>1</v>
      </c>
    </row>
    <row r="501" spans="4:13" x14ac:dyDescent="0.2">
      <c r="D501">
        <f t="shared" si="25"/>
        <v>478</v>
      </c>
      <c r="E501" s="1">
        <f t="shared" si="23"/>
        <v>253.31965220199612</v>
      </c>
      <c r="F501" s="1">
        <f t="shared" si="26"/>
        <v>-13.006415951998747</v>
      </c>
      <c r="G501" s="1">
        <f t="shared" si="24"/>
        <v>2.2458736652654932E-6</v>
      </c>
      <c r="H501" s="1">
        <f>G501/$G$21</f>
        <v>1.5748842492224494E-7</v>
      </c>
      <c r="I501">
        <f>IF($E$11&lt;=D501, IF(D501&lt;=$A$15,D501-$E$11,$F$11),0)</f>
        <v>300</v>
      </c>
      <c r="J501">
        <f>IF(D501&lt;=$A$15,0,D501-$A$15)</f>
        <v>169</v>
      </c>
      <c r="K501" s="5">
        <f>IF(D501&lt;$E$11,H501,0)</f>
        <v>0</v>
      </c>
      <c r="L501">
        <f>IF(D501&lt;$A$15,$C$11,$C$11*(1-$G$11))</f>
        <v>200</v>
      </c>
      <c r="M501">
        <f>IF(D501&lt;$A$15,0,1)</f>
        <v>1</v>
      </c>
    </row>
    <row r="502" spans="4:13" x14ac:dyDescent="0.2">
      <c r="D502">
        <f t="shared" si="25"/>
        <v>479</v>
      </c>
      <c r="E502" s="1">
        <f t="shared" si="23"/>
        <v>253.24269116086003</v>
      </c>
      <c r="F502" s="1">
        <f t="shared" si="26"/>
        <v>-13.083376993134834</v>
      </c>
      <c r="G502" s="1">
        <f t="shared" si="24"/>
        <v>2.07951265302369E-6</v>
      </c>
      <c r="H502" s="1">
        <f>G502/$G$21</f>
        <v>1.4582261566875131E-7</v>
      </c>
      <c r="I502">
        <f>IF($E$11&lt;=D502, IF(D502&lt;=$A$15,D502-$E$11,$F$11),0)</f>
        <v>300</v>
      </c>
      <c r="J502">
        <f>IF(D502&lt;=$A$15,0,D502-$A$15)</f>
        <v>170</v>
      </c>
      <c r="K502" s="5">
        <f>IF(D502&lt;$E$11,H502,0)</f>
        <v>0</v>
      </c>
      <c r="L502">
        <f>IF(D502&lt;$A$15,$C$11,$C$11*(1-$G$11))</f>
        <v>200</v>
      </c>
      <c r="M502">
        <f>IF(D502&lt;$A$15,0,1)</f>
        <v>1</v>
      </c>
    </row>
    <row r="503" spans="4:13" x14ac:dyDescent="0.2">
      <c r="D503">
        <f t="shared" si="25"/>
        <v>480</v>
      </c>
      <c r="E503" s="1">
        <f t="shared" si="23"/>
        <v>253.16573011972395</v>
      </c>
      <c r="F503" s="1">
        <f t="shared" si="26"/>
        <v>-13.160338034270922</v>
      </c>
      <c r="G503" s="1">
        <f t="shared" si="24"/>
        <v>1.9254746787257178E-6</v>
      </c>
      <c r="H503" s="1">
        <f>G503/$G$21</f>
        <v>1.350209404340345E-7</v>
      </c>
      <c r="I503">
        <f>IF($E$11&lt;=D503, IF(D503&lt;=$A$15,D503-$E$11,$F$11),0)</f>
        <v>300</v>
      </c>
      <c r="J503">
        <f>IF(D503&lt;=$A$15,0,D503-$A$15)</f>
        <v>171</v>
      </c>
      <c r="K503" s="5">
        <f>IF(D503&lt;$E$11,H503,0)</f>
        <v>0</v>
      </c>
      <c r="L503">
        <f>IF(D503&lt;$A$15,$C$11,$C$11*(1-$G$11))</f>
        <v>200</v>
      </c>
      <c r="M503">
        <f>IF(D503&lt;$A$15,0,1)</f>
        <v>1</v>
      </c>
    </row>
    <row r="504" spans="4:13" x14ac:dyDescent="0.2">
      <c r="D504">
        <f t="shared" si="25"/>
        <v>481</v>
      </c>
      <c r="E504" s="1">
        <f t="shared" si="23"/>
        <v>253.08876907858786</v>
      </c>
      <c r="F504" s="1">
        <f t="shared" si="26"/>
        <v>-13.237299075407009</v>
      </c>
      <c r="G504" s="1">
        <f t="shared" si="24"/>
        <v>1.7828469247461084E-6</v>
      </c>
      <c r="H504" s="1">
        <f>G504/$G$21</f>
        <v>1.2501938929077783E-7</v>
      </c>
      <c r="I504">
        <f>IF($E$11&lt;=D504, IF(D504&lt;=$A$15,D504-$E$11,$F$11),0)</f>
        <v>300</v>
      </c>
      <c r="J504">
        <f>IF(D504&lt;=$A$15,0,D504-$A$15)</f>
        <v>172</v>
      </c>
      <c r="K504" s="5">
        <f>IF(D504&lt;$E$11,H504,0)</f>
        <v>0</v>
      </c>
      <c r="L504">
        <f>IF(D504&lt;$A$15,$C$11,$C$11*(1-$G$11))</f>
        <v>200</v>
      </c>
      <c r="M504">
        <f>IF(D504&lt;$A$15,0,1)</f>
        <v>1</v>
      </c>
    </row>
    <row r="505" spans="4:13" x14ac:dyDescent="0.2">
      <c r="D505">
        <f t="shared" si="25"/>
        <v>482</v>
      </c>
      <c r="E505" s="1">
        <f t="shared" si="23"/>
        <v>253.01180803745177</v>
      </c>
      <c r="F505" s="1">
        <f t="shared" si="26"/>
        <v>-13.314260116543096</v>
      </c>
      <c r="G505" s="1">
        <f t="shared" si="24"/>
        <v>1.6507841895797977E-6</v>
      </c>
      <c r="H505" s="1">
        <f>G505/$G$21</f>
        <v>1.1575869378776201E-7</v>
      </c>
      <c r="I505">
        <f>IF($E$11&lt;=D505, IF(D505&lt;=$A$15,D505-$E$11,$F$11),0)</f>
        <v>300</v>
      </c>
      <c r="J505">
        <f>IF(D505&lt;=$A$15,0,D505-$A$15)</f>
        <v>173</v>
      </c>
      <c r="K505" s="5">
        <f>IF(D505&lt;$E$11,H505,0)</f>
        <v>0</v>
      </c>
      <c r="L505">
        <f>IF(D505&lt;$A$15,$C$11,$C$11*(1-$G$11))</f>
        <v>200</v>
      </c>
      <c r="M505">
        <f>IF(D505&lt;$A$15,0,1)</f>
        <v>1</v>
      </c>
    </row>
    <row r="506" spans="4:13" x14ac:dyDescent="0.2">
      <c r="D506">
        <f t="shared" si="25"/>
        <v>483</v>
      </c>
      <c r="E506" s="1">
        <f t="shared" si="23"/>
        <v>252.93484699631568</v>
      </c>
      <c r="F506" s="1">
        <f t="shared" si="26"/>
        <v>-13.391221157679183</v>
      </c>
      <c r="G506" s="1">
        <f t="shared" si="24"/>
        <v>1.5285038792406163E-6</v>
      </c>
      <c r="H506" s="1">
        <f>G506/$G$21</f>
        <v>1.0718397572941368E-7</v>
      </c>
      <c r="I506">
        <f>IF($E$11&lt;=D506, IF(D506&lt;=$A$15,D506-$E$11,$F$11),0)</f>
        <v>300</v>
      </c>
      <c r="J506">
        <f>IF(D506&lt;=$A$15,0,D506-$A$15)</f>
        <v>174</v>
      </c>
      <c r="K506" s="5">
        <f>IF(D506&lt;$E$11,H506,0)</f>
        <v>0</v>
      </c>
      <c r="L506">
        <f>IF(D506&lt;$A$15,$C$11,$C$11*(1-$G$11))</f>
        <v>200</v>
      </c>
      <c r="M506">
        <f>IF(D506&lt;$A$15,0,1)</f>
        <v>1</v>
      </c>
    </row>
    <row r="507" spans="4:13" x14ac:dyDescent="0.2">
      <c r="D507">
        <f t="shared" si="25"/>
        <v>484</v>
      </c>
      <c r="E507" s="1">
        <f t="shared" si="23"/>
        <v>252.8578859551796</v>
      </c>
      <c r="F507" s="1">
        <f t="shared" si="26"/>
        <v>-13.468182198815271</v>
      </c>
      <c r="G507" s="1">
        <f t="shared" si="24"/>
        <v>1.4152813696672954E-6</v>
      </c>
      <c r="H507" s="1">
        <f>G507/$G$21</f>
        <v>9.9244421971683405E-8</v>
      </c>
      <c r="I507">
        <f>IF($E$11&lt;=D507, IF(D507&lt;=$A$15,D507-$E$11,$F$11),0)</f>
        <v>300</v>
      </c>
      <c r="J507">
        <f>IF(D507&lt;=$A$15,0,D507-$A$15)</f>
        <v>175</v>
      </c>
      <c r="K507" s="5">
        <f>IF(D507&lt;$E$11,H507,0)</f>
        <v>0</v>
      </c>
      <c r="L507">
        <f>IF(D507&lt;$A$15,$C$11,$C$11*(1-$G$11))</f>
        <v>200</v>
      </c>
      <c r="M507">
        <f>IF(D507&lt;$A$15,0,1)</f>
        <v>1</v>
      </c>
    </row>
    <row r="508" spans="4:13" x14ac:dyDescent="0.2">
      <c r="D508">
        <f t="shared" si="25"/>
        <v>485</v>
      </c>
      <c r="E508" s="1">
        <f t="shared" si="23"/>
        <v>252.78092491404351</v>
      </c>
      <c r="F508" s="1">
        <f t="shared" si="26"/>
        <v>-13.545143239951358</v>
      </c>
      <c r="G508" s="1">
        <f t="shared" si="24"/>
        <v>1.310445712654957E-6</v>
      </c>
      <c r="H508" s="1">
        <f>G508/$G$21</f>
        <v>9.1892983307118045E-8</v>
      </c>
      <c r="I508">
        <f>IF($E$11&lt;=D508, IF(D508&lt;=$A$15,D508-$E$11,$F$11),0)</f>
        <v>300</v>
      </c>
      <c r="J508">
        <f>IF(D508&lt;=$A$15,0,D508-$A$15)</f>
        <v>176</v>
      </c>
      <c r="K508" s="5">
        <f>IF(D508&lt;$E$11,H508,0)</f>
        <v>0</v>
      </c>
      <c r="L508">
        <f>IF(D508&lt;$A$15,$C$11,$C$11*(1-$G$11))</f>
        <v>200</v>
      </c>
      <c r="M508">
        <f>IF(D508&lt;$A$15,0,1)</f>
        <v>1</v>
      </c>
    </row>
    <row r="509" spans="4:13" x14ac:dyDescent="0.2">
      <c r="D509">
        <f t="shared" si="25"/>
        <v>486</v>
      </c>
      <c r="E509" s="1">
        <f t="shared" si="23"/>
        <v>252.70396387290742</v>
      </c>
      <c r="F509" s="1">
        <f t="shared" si="26"/>
        <v>-13.622104281087445</v>
      </c>
      <c r="G509" s="1">
        <f t="shared" si="24"/>
        <v>1.2133756598657507E-6</v>
      </c>
      <c r="H509" s="1">
        <f>G509/$G$21</f>
        <v>8.5086095654742412E-8</v>
      </c>
      <c r="I509">
        <f>IF($E$11&lt;=D509, IF(D509&lt;=$A$15,D509-$E$11,$F$11),0)</f>
        <v>300</v>
      </c>
      <c r="J509">
        <f>IF(D509&lt;=$A$15,0,D509-$A$15)</f>
        <v>177</v>
      </c>
      <c r="K509" s="5">
        <f>IF(D509&lt;$E$11,H509,0)</f>
        <v>0</v>
      </c>
      <c r="L509">
        <f>IF(D509&lt;$A$15,$C$11,$C$11*(1-$G$11))</f>
        <v>200</v>
      </c>
      <c r="M509">
        <f>IF(D509&lt;$A$15,0,1)</f>
        <v>1</v>
      </c>
    </row>
    <row r="510" spans="4:13" x14ac:dyDescent="0.2">
      <c r="D510">
        <f t="shared" si="25"/>
        <v>487</v>
      </c>
      <c r="E510" s="1">
        <f t="shared" si="23"/>
        <v>252.62700283177134</v>
      </c>
      <c r="F510" s="1">
        <f t="shared" si="26"/>
        <v>-13.699065322223532</v>
      </c>
      <c r="G510" s="1">
        <f t="shared" si="24"/>
        <v>1.1234959813572226E-6</v>
      </c>
      <c r="H510" s="1">
        <f>G510/$G$21</f>
        <v>7.87834219025425E-8</v>
      </c>
      <c r="I510">
        <f>IF($E$11&lt;=D510, IF(D510&lt;=$A$15,D510-$E$11,$F$11),0)</f>
        <v>300</v>
      </c>
      <c r="J510">
        <f>IF(D510&lt;=$A$15,0,D510-$A$15)</f>
        <v>178</v>
      </c>
      <c r="K510" s="5">
        <f>IF(D510&lt;$E$11,H510,0)</f>
        <v>0</v>
      </c>
      <c r="L510">
        <f>IF(D510&lt;$A$15,$C$11,$C$11*(1-$G$11))</f>
        <v>200</v>
      </c>
      <c r="M510">
        <f>IF(D510&lt;$A$15,0,1)</f>
        <v>1</v>
      </c>
    </row>
    <row r="511" spans="4:13" x14ac:dyDescent="0.2">
      <c r="D511">
        <f t="shared" si="25"/>
        <v>488</v>
      </c>
      <c r="E511" s="1">
        <f t="shared" si="23"/>
        <v>252.55004179063525</v>
      </c>
      <c r="F511" s="1">
        <f t="shared" si="26"/>
        <v>-13.77602636335962</v>
      </c>
      <c r="G511" s="1">
        <f t="shared" si="24"/>
        <v>1.0402740568122859E-6</v>
      </c>
      <c r="H511" s="1">
        <f>G511/$G$21</f>
        <v>7.2947612872727541E-8</v>
      </c>
      <c r="I511">
        <f>IF($E$11&lt;=D511, IF(D511&lt;=$A$15,D511-$E$11,$F$11),0)</f>
        <v>300</v>
      </c>
      <c r="J511">
        <f>IF(D511&lt;=$A$15,0,D511-$A$15)</f>
        <v>179</v>
      </c>
      <c r="K511" s="5">
        <f>IF(D511&lt;$E$11,H511,0)</f>
        <v>0</v>
      </c>
      <c r="L511">
        <f>IF(D511&lt;$A$15,$C$11,$C$11*(1-$G$11))</f>
        <v>200</v>
      </c>
      <c r="M511">
        <f>IF(D511&lt;$A$15,0,1)</f>
        <v>1</v>
      </c>
    </row>
    <row r="512" spans="4:13" x14ac:dyDescent="0.2">
      <c r="D512">
        <f t="shared" si="25"/>
        <v>489</v>
      </c>
      <c r="E512" s="1">
        <f t="shared" si="23"/>
        <v>252.47308074949916</v>
      </c>
      <c r="F512" s="1">
        <f t="shared" si="26"/>
        <v>-13.852987404495707</v>
      </c>
      <c r="G512" s="1">
        <f t="shared" si="24"/>
        <v>9.6321671927067481E-7</v>
      </c>
      <c r="H512" s="1">
        <f>G512/$G$21</f>
        <v>6.754408599326902E-8</v>
      </c>
      <c r="I512">
        <f>IF($E$11&lt;=D512, IF(D512&lt;=$A$15,D512-$E$11,$F$11),0)</f>
        <v>300</v>
      </c>
      <c r="J512">
        <f>IF(D512&lt;=$A$15,0,D512-$A$15)</f>
        <v>180</v>
      </c>
      <c r="K512" s="5">
        <f>IF(D512&lt;$E$11,H512,0)</f>
        <v>0</v>
      </c>
      <c r="L512">
        <f>IF(D512&lt;$A$15,$C$11,$C$11*(1-$G$11))</f>
        <v>200</v>
      </c>
      <c r="M512">
        <f>IF(D512&lt;$A$15,0,1)</f>
        <v>1</v>
      </c>
    </row>
    <row r="513" spans="4:13" x14ac:dyDescent="0.2">
      <c r="D513">
        <f t="shared" si="25"/>
        <v>490</v>
      </c>
      <c r="E513" s="1">
        <f t="shared" si="23"/>
        <v>252.39611970836307</v>
      </c>
      <c r="F513" s="1">
        <f t="shared" si="26"/>
        <v>-13.929948445631794</v>
      </c>
      <c r="G513" s="1">
        <f t="shared" si="24"/>
        <v>8.9186733265806875E-7</v>
      </c>
      <c r="H513" s="1">
        <f>G513/$G$21</f>
        <v>6.2540820364140549E-8</v>
      </c>
      <c r="I513">
        <f>IF($E$11&lt;=D513, IF(D513&lt;=$A$15,D513-$E$11,$F$11),0)</f>
        <v>300</v>
      </c>
      <c r="J513">
        <f>IF(D513&lt;=$A$15,0,D513-$A$15)</f>
        <v>181</v>
      </c>
      <c r="K513" s="5">
        <f>IF(D513&lt;$E$11,H513,0)</f>
        <v>0</v>
      </c>
      <c r="L513">
        <f>IF(D513&lt;$A$15,$C$11,$C$11*(1-$G$11))</f>
        <v>200</v>
      </c>
      <c r="M513">
        <f>IF(D513&lt;$A$15,0,1)</f>
        <v>1</v>
      </c>
    </row>
    <row r="514" spans="4:13" x14ac:dyDescent="0.2">
      <c r="D514">
        <f t="shared" si="25"/>
        <v>491</v>
      </c>
      <c r="E514" s="1">
        <f t="shared" si="23"/>
        <v>252.31915866722699</v>
      </c>
      <c r="F514" s="1">
        <f t="shared" si="26"/>
        <v>-14.006909486767881</v>
      </c>
      <c r="G514" s="1">
        <f t="shared" si="24"/>
        <v>8.2580308579454207E-7</v>
      </c>
      <c r="H514" s="1">
        <f>G514/$G$21</f>
        <v>5.7908167003836221E-8</v>
      </c>
      <c r="I514">
        <f>IF($E$11&lt;=D514, IF(D514&lt;=$A$15,D514-$E$11,$F$11),0)</f>
        <v>300</v>
      </c>
      <c r="J514">
        <f>IF(D514&lt;=$A$15,0,D514-$A$15)</f>
        <v>182</v>
      </c>
      <c r="K514" s="5">
        <f>IF(D514&lt;$E$11,H514,0)</f>
        <v>0</v>
      </c>
      <c r="L514">
        <f>IF(D514&lt;$A$15,$C$11,$C$11*(1-$G$11))</f>
        <v>200</v>
      </c>
      <c r="M514">
        <f>IF(D514&lt;$A$15,0,1)</f>
        <v>1</v>
      </c>
    </row>
    <row r="515" spans="4:13" x14ac:dyDescent="0.2">
      <c r="D515">
        <f t="shared" si="25"/>
        <v>492</v>
      </c>
      <c r="E515" s="1">
        <f t="shared" si="23"/>
        <v>252.2421976260909</v>
      </c>
      <c r="F515" s="1">
        <f t="shared" si="26"/>
        <v>-14.083870527903969</v>
      </c>
      <c r="G515" s="1">
        <f t="shared" si="24"/>
        <v>7.6463248684682961E-7</v>
      </c>
      <c r="H515" s="1">
        <f>G515/$G$21</f>
        <v>5.3618673151702407E-8</v>
      </c>
      <c r="I515">
        <f>IF($E$11&lt;=D515, IF(D515&lt;=$A$15,D515-$E$11,$F$11),0)</f>
        <v>300</v>
      </c>
      <c r="J515">
        <f>IF(D515&lt;=$A$15,0,D515-$A$15)</f>
        <v>183</v>
      </c>
      <c r="K515" s="5">
        <f>IF(D515&lt;$E$11,H515,0)</f>
        <v>0</v>
      </c>
      <c r="L515">
        <f>IF(D515&lt;$A$15,$C$11,$C$11*(1-$G$11))</f>
        <v>200</v>
      </c>
      <c r="M515">
        <f>IF(D515&lt;$A$15,0,1)</f>
        <v>1</v>
      </c>
    </row>
    <row r="516" spans="4:13" x14ac:dyDescent="0.2">
      <c r="D516">
        <f t="shared" si="25"/>
        <v>493</v>
      </c>
      <c r="E516" s="1">
        <f t="shared" ref="E516:F579" si="27">IF($G$11=1,IF(D516&lt;=$A$15, E515+LN($C$11)-LN(60/$D$11)-LN(MIN(D516,$E$11)), E515-LN(60/$D$11)-LN(MIN(D516,$E$11))), IF(D516&lt;=$A$15, E515+LN($C$11)-LN(60/$D$11)-LN(MIN(D516,$E$11)), E515+LN($C$11)+LN(1-$G$11)-LN(60/$D$11)-LN(MIN(D516,$E$11))))</f>
        <v>252.16523658495481</v>
      </c>
      <c r="F516" s="1">
        <f t="shared" si="26"/>
        <v>-14.160831569040056</v>
      </c>
      <c r="G516" s="1">
        <f t="shared" si="24"/>
        <v>7.0799304337672309E-7</v>
      </c>
      <c r="H516" s="1">
        <f>G516/$G$21</f>
        <v>4.9646919584911665E-8</v>
      </c>
      <c r="I516">
        <f>IF($E$11&lt;=D516, IF(D516&lt;=$A$15,D516-$E$11,$F$11),0)</f>
        <v>300</v>
      </c>
      <c r="J516">
        <f>IF(D516&lt;=$A$15,0,D516-$A$15)</f>
        <v>184</v>
      </c>
      <c r="K516" s="5">
        <f>IF(D516&lt;$E$11,H516,0)</f>
        <v>0</v>
      </c>
      <c r="L516">
        <f>IF(D516&lt;$A$15,$C$11,$C$11*(1-$G$11))</f>
        <v>200</v>
      </c>
      <c r="M516">
        <f>IF(D516&lt;$A$15,0,1)</f>
        <v>1</v>
      </c>
    </row>
    <row r="517" spans="4:13" x14ac:dyDescent="0.2">
      <c r="D517">
        <f t="shared" si="25"/>
        <v>494</v>
      </c>
      <c r="E517" s="1">
        <f t="shared" si="27"/>
        <v>252.08827554381872</v>
      </c>
      <c r="F517" s="1">
        <f t="shared" si="26"/>
        <v>-14.237792610176143</v>
      </c>
      <c r="G517" s="1">
        <f t="shared" si="24"/>
        <v>6.5554911423773354E-7</v>
      </c>
      <c r="H517" s="1">
        <f>G517/$G$21</f>
        <v>4.5969369986031214E-8</v>
      </c>
      <c r="I517">
        <f>IF($E$11&lt;=D517, IF(D517&lt;=$A$15,D517-$E$11,$F$11),0)</f>
        <v>300</v>
      </c>
      <c r="J517">
        <f>IF(D517&lt;=$A$15,0,D517-$A$15)</f>
        <v>185</v>
      </c>
      <c r="K517" s="5">
        <f>IF(D517&lt;$E$11,H517,0)</f>
        <v>0</v>
      </c>
      <c r="L517">
        <f>IF(D517&lt;$A$15,$C$11,$C$11*(1-$G$11))</f>
        <v>200</v>
      </c>
      <c r="M517">
        <f>IF(D517&lt;$A$15,0,1)</f>
        <v>1</v>
      </c>
    </row>
    <row r="518" spans="4:13" x14ac:dyDescent="0.2">
      <c r="D518">
        <f t="shared" si="25"/>
        <v>495</v>
      </c>
      <c r="E518" s="1">
        <f t="shared" si="27"/>
        <v>252.01131450268264</v>
      </c>
      <c r="F518" s="1">
        <f t="shared" si="26"/>
        <v>-14.31475365131223</v>
      </c>
      <c r="G518" s="1">
        <f t="shared" si="24"/>
        <v>6.069899205905189E-7</v>
      </c>
      <c r="H518" s="1">
        <f>G518/$G$21</f>
        <v>4.2564231468549166E-8</v>
      </c>
      <c r="I518">
        <f>IF($E$11&lt;=D518, IF(D518&lt;=$A$15,D518-$E$11,$F$11),0)</f>
        <v>300</v>
      </c>
      <c r="J518">
        <f>IF(D518&lt;=$A$15,0,D518-$A$15)</f>
        <v>186</v>
      </c>
      <c r="K518" s="5">
        <f>IF(D518&lt;$E$11,H518,0)</f>
        <v>0</v>
      </c>
      <c r="L518">
        <f>IF(D518&lt;$A$15,$C$11,$C$11*(1-$G$11))</f>
        <v>200</v>
      </c>
      <c r="M518">
        <f>IF(D518&lt;$A$15,0,1)</f>
        <v>1</v>
      </c>
    </row>
    <row r="519" spans="4:13" x14ac:dyDescent="0.2">
      <c r="D519">
        <f t="shared" si="25"/>
        <v>496</v>
      </c>
      <c r="E519" s="1">
        <f t="shared" si="27"/>
        <v>251.93435346154655</v>
      </c>
      <c r="F519" s="1">
        <f t="shared" si="26"/>
        <v>-14.391714692448318</v>
      </c>
      <c r="G519" s="1">
        <f t="shared" si="24"/>
        <v>5.6202770425050353E-7</v>
      </c>
      <c r="H519" s="1">
        <f>G519/$G$21</f>
        <v>3.9411325433843435E-8</v>
      </c>
      <c r="I519">
        <f>IF($E$11&lt;=D519, IF(D519&lt;=$A$15,D519-$E$11,$F$11),0)</f>
        <v>300</v>
      </c>
      <c r="J519">
        <f>IF(D519&lt;=$A$15,0,D519-$A$15)</f>
        <v>187</v>
      </c>
      <c r="K519" s="5">
        <f>IF(D519&lt;$E$11,H519,0)</f>
        <v>0</v>
      </c>
      <c r="L519">
        <f>IF(D519&lt;$A$15,$C$11,$C$11*(1-$G$11))</f>
        <v>200</v>
      </c>
      <c r="M519">
        <f>IF(D519&lt;$A$15,0,1)</f>
        <v>1</v>
      </c>
    </row>
    <row r="520" spans="4:13" x14ac:dyDescent="0.2">
      <c r="D520">
        <f t="shared" si="25"/>
        <v>497</v>
      </c>
      <c r="E520" s="1">
        <f t="shared" si="27"/>
        <v>251.85739242041046</v>
      </c>
      <c r="F520" s="1">
        <f t="shared" si="26"/>
        <v>-14.468675733584405</v>
      </c>
      <c r="G520" s="1">
        <f t="shared" si="24"/>
        <v>5.2039602245419135E-7</v>
      </c>
      <c r="H520" s="1">
        <f>G520/$G$21</f>
        <v>3.649196799430098E-8</v>
      </c>
      <c r="I520">
        <f>IF($E$11&lt;=D520, IF(D520&lt;=$A$15,D520-$E$11,$F$11),0)</f>
        <v>300</v>
      </c>
      <c r="J520">
        <f>IF(D520&lt;=$A$15,0,D520-$A$15)</f>
        <v>188</v>
      </c>
      <c r="K520" s="5">
        <f>IF(D520&lt;$E$11,H520,0)</f>
        <v>0</v>
      </c>
      <c r="L520">
        <f>IF(D520&lt;$A$15,$C$11,$C$11*(1-$G$11))</f>
        <v>200</v>
      </c>
      <c r="M520">
        <f>IF(D520&lt;$A$15,0,1)</f>
        <v>1</v>
      </c>
    </row>
    <row r="521" spans="4:13" x14ac:dyDescent="0.2">
      <c r="D521">
        <f t="shared" si="25"/>
        <v>498</v>
      </c>
      <c r="E521" s="1">
        <f t="shared" si="27"/>
        <v>251.78043137927438</v>
      </c>
      <c r="F521" s="1">
        <f t="shared" si="26"/>
        <v>-14.545636774720492</v>
      </c>
      <c r="G521" s="1">
        <f t="shared" si="24"/>
        <v>4.8184816893908586E-7</v>
      </c>
      <c r="H521" s="1">
        <f>G521/$G$21</f>
        <v>3.3788859253983779E-8</v>
      </c>
      <c r="I521">
        <f>IF($E$11&lt;=D521, IF(D521&lt;=$A$15,D521-$E$11,$F$11),0)</f>
        <v>300</v>
      </c>
      <c r="J521">
        <f>IF(D521&lt;=$A$15,0,D521-$A$15)</f>
        <v>189</v>
      </c>
      <c r="K521" s="5">
        <f>IF(D521&lt;$E$11,H521,0)</f>
        <v>0</v>
      </c>
      <c r="L521">
        <f>IF(D521&lt;$A$15,$C$11,$C$11*(1-$G$11))</f>
        <v>200</v>
      </c>
      <c r="M521">
        <f>IF(D521&lt;$A$15,0,1)</f>
        <v>1</v>
      </c>
    </row>
    <row r="522" spans="4:13" x14ac:dyDescent="0.2">
      <c r="D522">
        <f t="shared" si="25"/>
        <v>499</v>
      </c>
      <c r="E522" s="1">
        <f t="shared" si="27"/>
        <v>251.70347033813829</v>
      </c>
      <c r="F522" s="1">
        <f t="shared" si="26"/>
        <v>-14.622597815856579</v>
      </c>
      <c r="G522" s="1">
        <f t="shared" si="24"/>
        <v>4.4615571198065337E-7</v>
      </c>
      <c r="H522" s="1">
        <f>G522/$G$21</f>
        <v>3.1285980790727001E-8</v>
      </c>
      <c r="I522">
        <f>IF($E$11&lt;=D522, IF(D522&lt;=$A$15,D522-$E$11,$F$11),0)</f>
        <v>300</v>
      </c>
      <c r="J522">
        <f>IF(D522&lt;=$A$15,0,D522-$A$15)</f>
        <v>190</v>
      </c>
      <c r="K522" s="5">
        <f>IF(D522&lt;$E$11,H522,0)</f>
        <v>0</v>
      </c>
      <c r="L522">
        <f>IF(D522&lt;$A$15,$C$11,$C$11*(1-$G$11))</f>
        <v>200</v>
      </c>
      <c r="M522">
        <f>IF(D522&lt;$A$15,0,1)</f>
        <v>1</v>
      </c>
    </row>
    <row r="523" spans="4:13" x14ac:dyDescent="0.2">
      <c r="D523">
        <f t="shared" si="25"/>
        <v>500</v>
      </c>
      <c r="E523" s="1">
        <f t="shared" si="27"/>
        <v>251.6265092970022</v>
      </c>
      <c r="F523" s="1">
        <f t="shared" si="26"/>
        <v>-14.699558856992667</v>
      </c>
      <c r="G523" s="1">
        <f t="shared" si="24"/>
        <v>4.1310714072284413E-7</v>
      </c>
      <c r="H523" s="1">
        <f>G523/$G$21</f>
        <v>2.896850073215582E-8</v>
      </c>
      <c r="I523">
        <f>IF($E$11&lt;=D523, IF(D523&lt;=$A$15,D523-$E$11,$F$11),0)</f>
        <v>300</v>
      </c>
      <c r="J523">
        <f>IF(D523&lt;=$A$15,0,D523-$A$15)</f>
        <v>191</v>
      </c>
      <c r="K523" s="5">
        <f>IF(D523&lt;$E$11,H523,0)</f>
        <v>0</v>
      </c>
      <c r="L523">
        <f>IF(D523&lt;$A$15,$C$11,$C$11*(1-$G$11))</f>
        <v>200</v>
      </c>
      <c r="M523">
        <f>IF(D523&lt;$A$15,0,1)</f>
        <v>1</v>
      </c>
    </row>
    <row r="524" spans="4:13" x14ac:dyDescent="0.2">
      <c r="D524">
        <f t="shared" si="25"/>
        <v>501</v>
      </c>
      <c r="E524" s="1">
        <f t="shared" si="27"/>
        <v>251.54954825586611</v>
      </c>
      <c r="F524" s="1">
        <f t="shared" si="26"/>
        <v>-14.776519898128754</v>
      </c>
      <c r="G524" s="1">
        <f t="shared" si="24"/>
        <v>3.8250661178042698E-7</v>
      </c>
      <c r="H524" s="1">
        <f>G524/$G$21</f>
        <v>2.6822685863108346E-8</v>
      </c>
      <c r="I524">
        <f>IF($E$11&lt;=D524, IF(D524&lt;=$A$15,D524-$E$11,$F$11),0)</f>
        <v>300</v>
      </c>
      <c r="J524">
        <f>IF(D524&lt;=$A$15,0,D524-$A$15)</f>
        <v>192</v>
      </c>
      <c r="K524" s="5">
        <f>IF(D524&lt;$E$11,H524,0)</f>
        <v>0</v>
      </c>
      <c r="L524">
        <f>IF(D524&lt;$A$15,$C$11,$C$11*(1-$G$11))</f>
        <v>200</v>
      </c>
      <c r="M524">
        <f>IF(D524&lt;$A$15,0,1)</f>
        <v>1</v>
      </c>
    </row>
    <row r="525" spans="4:13" x14ac:dyDescent="0.2">
      <c r="D525">
        <f t="shared" si="25"/>
        <v>502</v>
      </c>
      <c r="E525" s="1">
        <f t="shared" si="27"/>
        <v>251.47258721473003</v>
      </c>
      <c r="F525" s="1">
        <f t="shared" si="26"/>
        <v>-14.853480939264841</v>
      </c>
      <c r="G525" s="1">
        <f t="shared" si="24"/>
        <v>3.5417278868559503E-7</v>
      </c>
      <c r="H525" s="1">
        <f>G525/$G$21</f>
        <v>2.4835820243619855E-8</v>
      </c>
      <c r="I525">
        <f>IF($E$11&lt;=D525, IF(D525&lt;=$A$15,D525-$E$11,$F$11),0)</f>
        <v>300</v>
      </c>
      <c r="J525">
        <f>IF(D525&lt;=$A$15,0,D525-$A$15)</f>
        <v>193</v>
      </c>
      <c r="K525" s="5">
        <f>IF(D525&lt;$E$11,H525,0)</f>
        <v>0</v>
      </c>
      <c r="L525">
        <f>IF(D525&lt;$A$15,$C$11,$C$11*(1-$G$11))</f>
        <v>200</v>
      </c>
      <c r="M525">
        <f>IF(D525&lt;$A$15,0,1)</f>
        <v>1</v>
      </c>
    </row>
    <row r="526" spans="4:13" x14ac:dyDescent="0.2">
      <c r="D526">
        <f t="shared" si="25"/>
        <v>503</v>
      </c>
      <c r="E526" s="1">
        <f t="shared" si="27"/>
        <v>251.39562617359394</v>
      </c>
      <c r="F526" s="1">
        <f t="shared" si="26"/>
        <v>-14.930441980400929</v>
      </c>
      <c r="G526" s="1">
        <f t="shared" si="24"/>
        <v>3.2793776730149038E-7</v>
      </c>
      <c r="H526" s="1">
        <f>G526/$G$21</f>
        <v>2.2996129855204517E-8</v>
      </c>
      <c r="I526">
        <f>IF($E$11&lt;=D526, IF(D526&lt;=$A$15,D526-$E$11,$F$11),0)</f>
        <v>300</v>
      </c>
      <c r="J526">
        <f>IF(D526&lt;=$A$15,0,D526-$A$15)</f>
        <v>194</v>
      </c>
      <c r="K526" s="5">
        <f>IF(D526&lt;$E$11,H526,0)</f>
        <v>0</v>
      </c>
      <c r="L526">
        <f>IF(D526&lt;$A$15,$C$11,$C$11*(1-$G$11))</f>
        <v>200</v>
      </c>
      <c r="M526">
        <f>IF(D526&lt;$A$15,0,1)</f>
        <v>1</v>
      </c>
    </row>
    <row r="527" spans="4:13" x14ac:dyDescent="0.2">
      <c r="D527">
        <f t="shared" si="25"/>
        <v>504</v>
      </c>
      <c r="E527" s="1">
        <f t="shared" si="27"/>
        <v>251.31866513245785</v>
      </c>
      <c r="F527" s="1">
        <f t="shared" si="26"/>
        <v>-15.007403021537016</v>
      </c>
      <c r="G527" s="1">
        <f t="shared" si="24"/>
        <v>3.0364608083472579E-7</v>
      </c>
      <c r="H527" s="1">
        <f>G527/$G$21</f>
        <v>2.1292712828893947E-8</v>
      </c>
      <c r="I527">
        <f>IF($E$11&lt;=D527, IF(D527&lt;=$A$15,D527-$E$11,$F$11),0)</f>
        <v>300</v>
      </c>
      <c r="J527">
        <f>IF(D527&lt;=$A$15,0,D527-$A$15)</f>
        <v>195</v>
      </c>
      <c r="K527" s="5">
        <f>IF(D527&lt;$E$11,H527,0)</f>
        <v>0</v>
      </c>
      <c r="L527">
        <f>IF(D527&lt;$A$15,$C$11,$C$11*(1-$G$11))</f>
        <v>200</v>
      </c>
      <c r="M527">
        <f>IF(D527&lt;$A$15,0,1)</f>
        <v>1</v>
      </c>
    </row>
    <row r="528" spans="4:13" x14ac:dyDescent="0.2">
      <c r="D528">
        <f t="shared" si="25"/>
        <v>505</v>
      </c>
      <c r="E528" s="1">
        <f t="shared" si="27"/>
        <v>251.24170409132176</v>
      </c>
      <c r="F528" s="1">
        <f t="shared" si="26"/>
        <v>-15.084364062673103</v>
      </c>
      <c r="G528" s="1">
        <f t="shared" si="24"/>
        <v>2.8115377855068359E-7</v>
      </c>
      <c r="H528" s="1">
        <f>G528/$G$21</f>
        <v>1.9715474841569277E-8</v>
      </c>
      <c r="I528">
        <f>IF($E$11&lt;=D528, IF(D528&lt;=$A$15,D528-$E$11,$F$11),0)</f>
        <v>300</v>
      </c>
      <c r="J528">
        <f>IF(D528&lt;=$A$15,0,D528-$A$15)</f>
        <v>196</v>
      </c>
      <c r="K528" s="5">
        <f>IF(D528&lt;$E$11,H528,0)</f>
        <v>0</v>
      </c>
      <c r="L528">
        <f>IF(D528&lt;$A$15,$C$11,$C$11*(1-$G$11))</f>
        <v>200</v>
      </c>
      <c r="M528">
        <f>IF(D528&lt;$A$15,0,1)</f>
        <v>1</v>
      </c>
    </row>
    <row r="529" spans="4:13" x14ac:dyDescent="0.2">
      <c r="D529">
        <f t="shared" si="25"/>
        <v>506</v>
      </c>
      <c r="E529" s="1">
        <f t="shared" si="27"/>
        <v>251.16474305018568</v>
      </c>
      <c r="F529" s="1">
        <f t="shared" si="26"/>
        <v>-15.16132510380919</v>
      </c>
      <c r="G529" s="1">
        <f t="shared" si="24"/>
        <v>2.6032757273212508E-7</v>
      </c>
      <c r="H529" s="1">
        <f>G529/$G$21</f>
        <v>1.825506929775008E-8</v>
      </c>
      <c r="I529">
        <f>IF($E$11&lt;=D529, IF(D529&lt;=$A$15,D529-$E$11,$F$11),0)</f>
        <v>300</v>
      </c>
      <c r="J529">
        <f>IF(D529&lt;=$A$15,0,D529-$A$15)</f>
        <v>197</v>
      </c>
      <c r="K529" s="5">
        <f>IF(D529&lt;$E$11,H529,0)</f>
        <v>0</v>
      </c>
      <c r="L529">
        <f>IF(D529&lt;$A$15,$C$11,$C$11*(1-$G$11))</f>
        <v>200</v>
      </c>
      <c r="M529">
        <f>IF(D529&lt;$A$15,0,1)</f>
        <v>1</v>
      </c>
    </row>
    <row r="530" spans="4:13" x14ac:dyDescent="0.2">
      <c r="D530">
        <f t="shared" si="25"/>
        <v>507</v>
      </c>
      <c r="E530" s="1">
        <f t="shared" si="27"/>
        <v>251.08778200904959</v>
      </c>
      <c r="F530" s="1">
        <f t="shared" si="26"/>
        <v>-15.238286144945278</v>
      </c>
      <c r="G530" s="1">
        <f t="shared" si="24"/>
        <v>2.4104404882605164E-7</v>
      </c>
      <c r="H530" s="1">
        <f>G530/$G$21</f>
        <v>1.6902841942361878E-8</v>
      </c>
      <c r="I530">
        <f>IF($E$11&lt;=D530, IF(D530&lt;=$A$15,D530-$E$11,$F$11),0)</f>
        <v>300</v>
      </c>
      <c r="J530">
        <f>IF(D530&lt;=$A$15,0,D530-$A$15)</f>
        <v>198</v>
      </c>
      <c r="K530" s="5">
        <f>IF(D530&lt;$E$11,H530,0)</f>
        <v>0</v>
      </c>
      <c r="L530">
        <f>IF(D530&lt;$A$15,$C$11,$C$11*(1-$G$11))</f>
        <v>200</v>
      </c>
      <c r="M530">
        <f>IF(D530&lt;$A$15,0,1)</f>
        <v>1</v>
      </c>
    </row>
    <row r="531" spans="4:13" x14ac:dyDescent="0.2">
      <c r="D531">
        <f t="shared" si="25"/>
        <v>508</v>
      </c>
      <c r="E531" s="1">
        <f t="shared" si="27"/>
        <v>251.0108209679135</v>
      </c>
      <c r="F531" s="1">
        <f t="shared" si="26"/>
        <v>-15.315247186081365</v>
      </c>
      <c r="G531" s="1">
        <f t="shared" si="24"/>
        <v>2.2318893409820513E-7</v>
      </c>
      <c r="H531" s="1">
        <f>G531/$G$21</f>
        <v>1.5650779576261642E-8</v>
      </c>
      <c r="I531">
        <f>IF($E$11&lt;=D531, IF(D531&lt;=$A$15,D531-$E$11,$F$11),0)</f>
        <v>300</v>
      </c>
      <c r="J531">
        <f>IF(D531&lt;=$A$15,0,D531-$A$15)</f>
        <v>199</v>
      </c>
      <c r="K531" s="5">
        <f>IF(D531&lt;$E$11,H531,0)</f>
        <v>0</v>
      </c>
      <c r="L531">
        <f>IF(D531&lt;$A$15,$C$11,$C$11*(1-$G$11))</f>
        <v>200</v>
      </c>
      <c r="M531">
        <f>IF(D531&lt;$A$15,0,1)</f>
        <v>1</v>
      </c>
    </row>
    <row r="532" spans="4:13" x14ac:dyDescent="0.2">
      <c r="D532">
        <f t="shared" si="25"/>
        <v>509</v>
      </c>
      <c r="E532" s="1">
        <f t="shared" si="27"/>
        <v>250.93385992677742</v>
      </c>
      <c r="F532" s="1">
        <f t="shared" si="26"/>
        <v>-15.392208227217452</v>
      </c>
      <c r="G532" s="1">
        <f t="shared" si="24"/>
        <v>2.0665642046130956E-7</v>
      </c>
      <c r="H532" s="1">
        <f>G532/$G$21</f>
        <v>1.4491462570613228E-8</v>
      </c>
      <c r="I532">
        <f>IF($E$11&lt;=D532, IF(D532&lt;=$A$15,D532-$E$11,$F$11),0)</f>
        <v>300</v>
      </c>
      <c r="J532">
        <f>IF(D532&lt;=$A$15,0,D532-$A$15)</f>
        <v>200</v>
      </c>
      <c r="K532" s="5">
        <f>IF(D532&lt;$E$11,H532,0)</f>
        <v>0</v>
      </c>
      <c r="L532">
        <f>IF(D532&lt;$A$15,$C$11,$C$11*(1-$G$11))</f>
        <v>200</v>
      </c>
      <c r="M532">
        <f>IF(D532&lt;$A$15,0,1)</f>
        <v>1</v>
      </c>
    </row>
    <row r="533" spans="4:13" x14ac:dyDescent="0.2">
      <c r="D533">
        <f t="shared" si="25"/>
        <v>510</v>
      </c>
      <c r="E533" s="1">
        <f t="shared" si="27"/>
        <v>250.85689888564133</v>
      </c>
      <c r="F533" s="1">
        <f t="shared" si="26"/>
        <v>-15.469169268353539</v>
      </c>
      <c r="G533" s="1">
        <f t="shared" si="24"/>
        <v>1.9134853746418336E-7</v>
      </c>
      <c r="H533" s="1">
        <f>G533/$G$21</f>
        <v>1.3418020898716502E-8</v>
      </c>
      <c r="I533">
        <f>IF($E$11&lt;=D533, IF(D533&lt;=$A$15,D533-$E$11,$F$11),0)</f>
        <v>300</v>
      </c>
      <c r="J533">
        <f>IF(D533&lt;=$A$15,0,D533-$A$15)</f>
        <v>201</v>
      </c>
      <c r="K533" s="5">
        <f>IF(D533&lt;$E$11,H533,0)</f>
        <v>0</v>
      </c>
      <c r="L533">
        <f>IF(D533&lt;$A$15,$C$11,$C$11*(1-$G$11))</f>
        <v>200</v>
      </c>
      <c r="M533">
        <f>IF(D533&lt;$A$15,0,1)</f>
        <v>1</v>
      </c>
    </row>
    <row r="534" spans="4:13" x14ac:dyDescent="0.2">
      <c r="D534">
        <f t="shared" si="25"/>
        <v>511</v>
      </c>
      <c r="E534" s="1">
        <f t="shared" si="27"/>
        <v>250.77993784450524</v>
      </c>
      <c r="F534" s="1">
        <f t="shared" si="26"/>
        <v>-15.546130309489627</v>
      </c>
      <c r="G534" s="1">
        <f t="shared" si="24"/>
        <v>1.7717457172610298E-7</v>
      </c>
      <c r="H534" s="1">
        <f>G534/$G$21</f>
        <v>1.2424093424738012E-8</v>
      </c>
      <c r="I534">
        <f>IF($E$11&lt;=D534, IF(D534&lt;=$A$15,D534-$E$11,$F$11),0)</f>
        <v>300</v>
      </c>
      <c r="J534">
        <f>IF(D534&lt;=$A$15,0,D534-$A$15)</f>
        <v>202</v>
      </c>
      <c r="K534" s="5">
        <f>IF(D534&lt;$E$11,H534,0)</f>
        <v>0</v>
      </c>
      <c r="L534">
        <f>IF(D534&lt;$A$15,$C$11,$C$11*(1-$G$11))</f>
        <v>200</v>
      </c>
      <c r="M534">
        <f>IF(D534&lt;$A$15,0,1)</f>
        <v>1</v>
      </c>
    </row>
    <row r="535" spans="4:13" x14ac:dyDescent="0.2">
      <c r="D535">
        <f t="shared" si="25"/>
        <v>512</v>
      </c>
      <c r="E535" s="1">
        <f t="shared" si="27"/>
        <v>250.70297680336915</v>
      </c>
      <c r="F535" s="1">
        <f t="shared" si="26"/>
        <v>-15.623091350625714</v>
      </c>
      <c r="G535" s="1">
        <f t="shared" si="24"/>
        <v>1.6405052937602802E-7</v>
      </c>
      <c r="H535" s="1">
        <f>G535/$G$21</f>
        <v>1.1503790208091225E-8</v>
      </c>
      <c r="I535">
        <f>IF($E$11&lt;=D535, IF(D535&lt;=$A$15,D535-$E$11,$F$11),0)</f>
        <v>300</v>
      </c>
      <c r="J535">
        <f>IF(D535&lt;=$A$15,0,D535-$A$15)</f>
        <v>203</v>
      </c>
      <c r="K535" s="5">
        <f>IF(D535&lt;$E$11,H535,0)</f>
        <v>0</v>
      </c>
      <c r="L535">
        <f>IF(D535&lt;$A$15,$C$11,$C$11*(1-$G$11))</f>
        <v>200</v>
      </c>
      <c r="M535">
        <f>IF(D535&lt;$A$15,0,1)</f>
        <v>1</v>
      </c>
    </row>
    <row r="536" spans="4:13" x14ac:dyDescent="0.2">
      <c r="D536">
        <f t="shared" si="25"/>
        <v>513</v>
      </c>
      <c r="E536" s="1">
        <f t="shared" si="27"/>
        <v>250.62601576223307</v>
      </c>
      <c r="F536" s="1">
        <f t="shared" si="26"/>
        <v>-15.700052391761801</v>
      </c>
      <c r="G536" s="1">
        <f t="shared" ref="G536:G599" si="28">EXP(F536)</f>
        <v>1.518986383111433E-7</v>
      </c>
      <c r="H536" s="1">
        <f>G536/$G$21</f>
        <v>1.0651657600084905E-8</v>
      </c>
      <c r="I536">
        <f>IF($E$11&lt;=D536, IF(D536&lt;=$A$15,D536-$E$11,$F$11),0)</f>
        <v>300</v>
      </c>
      <c r="J536">
        <f>IF(D536&lt;=$A$15,0,D536-$A$15)</f>
        <v>204</v>
      </c>
      <c r="K536" s="5">
        <f>IF(D536&lt;$E$11,H536,0)</f>
        <v>0</v>
      </c>
      <c r="L536">
        <f>IF(D536&lt;$A$15,$C$11,$C$11*(1-$G$11))</f>
        <v>200</v>
      </c>
      <c r="M536">
        <f>IF(D536&lt;$A$15,0,1)</f>
        <v>1</v>
      </c>
    </row>
    <row r="537" spans="4:13" x14ac:dyDescent="0.2">
      <c r="D537">
        <f t="shared" ref="D537:D600" si="29">1+D536</f>
        <v>514</v>
      </c>
      <c r="E537" s="1">
        <f t="shared" si="27"/>
        <v>250.54905472109698</v>
      </c>
      <c r="F537" s="1">
        <f t="shared" ref="F537:F600" si="30">E537-$E$21</f>
        <v>-15.777013432897888</v>
      </c>
      <c r="G537" s="1">
        <f t="shared" si="28"/>
        <v>1.4064688732513846E-7</v>
      </c>
      <c r="H537" s="1">
        <f>G537/$G$21</f>
        <v>9.8626459260049454E-9</v>
      </c>
      <c r="I537">
        <f>IF($E$11&lt;=D537, IF(D537&lt;=$A$15,D537-$E$11,$F$11),0)</f>
        <v>300</v>
      </c>
      <c r="J537">
        <f>IF(D537&lt;=$A$15,0,D537-$A$15)</f>
        <v>205</v>
      </c>
      <c r="K537" s="5">
        <f>IF(D537&lt;$E$11,H537,0)</f>
        <v>0</v>
      </c>
      <c r="L537">
        <f>IF(D537&lt;$A$15,$C$11,$C$11*(1-$G$11))</f>
        <v>200</v>
      </c>
      <c r="M537">
        <f>IF(D537&lt;$A$15,0,1)</f>
        <v>1</v>
      </c>
    </row>
    <row r="538" spans="4:13" x14ac:dyDescent="0.2">
      <c r="D538">
        <f t="shared" si="29"/>
        <v>515</v>
      </c>
      <c r="E538" s="1">
        <f t="shared" si="27"/>
        <v>250.47209367996089</v>
      </c>
      <c r="F538" s="1">
        <f t="shared" si="30"/>
        <v>-15.853974474033976</v>
      </c>
      <c r="G538" s="1">
        <f t="shared" si="28"/>
        <v>1.3022859937513355E-7</v>
      </c>
      <c r="H538" s="1">
        <f>G538/$G$21</f>
        <v>9.1320795611160667E-9</v>
      </c>
      <c r="I538">
        <f>IF($E$11&lt;=D538, IF(D538&lt;=$A$15,D538-$E$11,$F$11),0)</f>
        <v>300</v>
      </c>
      <c r="J538">
        <f>IF(D538&lt;=$A$15,0,D538-$A$15)</f>
        <v>206</v>
      </c>
      <c r="K538" s="5">
        <f>IF(D538&lt;$E$11,H538,0)</f>
        <v>0</v>
      </c>
      <c r="L538">
        <f>IF(D538&lt;$A$15,$C$11,$C$11*(1-$G$11))</f>
        <v>200</v>
      </c>
      <c r="M538">
        <f>IF(D538&lt;$A$15,0,1)</f>
        <v>1</v>
      </c>
    </row>
    <row r="539" spans="4:13" x14ac:dyDescent="0.2">
      <c r="D539">
        <f t="shared" si="29"/>
        <v>516</v>
      </c>
      <c r="E539" s="1">
        <f t="shared" si="27"/>
        <v>250.3951326388248</v>
      </c>
      <c r="F539" s="1">
        <f t="shared" si="30"/>
        <v>-15.930935515170063</v>
      </c>
      <c r="G539" s="1">
        <f t="shared" si="28"/>
        <v>1.2058203645846194E-7</v>
      </c>
      <c r="H539" s="1">
        <f>G539/$G$21</f>
        <v>8.4556292232559636E-9</v>
      </c>
      <c r="I539">
        <f>IF($E$11&lt;=D539, IF(D539&lt;=$A$15,D539-$E$11,$F$11),0)</f>
        <v>300</v>
      </c>
      <c r="J539">
        <f>IF(D539&lt;=$A$15,0,D539-$A$15)</f>
        <v>207</v>
      </c>
      <c r="K539" s="5">
        <f>IF(D539&lt;$E$11,H539,0)</f>
        <v>0</v>
      </c>
      <c r="L539">
        <f>IF(D539&lt;$A$15,$C$11,$C$11*(1-$G$11))</f>
        <v>200</v>
      </c>
      <c r="M539">
        <f>IF(D539&lt;$A$15,0,1)</f>
        <v>1</v>
      </c>
    </row>
    <row r="540" spans="4:13" x14ac:dyDescent="0.2">
      <c r="D540">
        <f t="shared" si="29"/>
        <v>517</v>
      </c>
      <c r="E540" s="1">
        <f t="shared" si="27"/>
        <v>250.31817159768872</v>
      </c>
      <c r="F540" s="1">
        <f t="shared" si="30"/>
        <v>-16.00789655630615</v>
      </c>
      <c r="G540" s="1">
        <f t="shared" si="28"/>
        <v>1.1165003375783971E-7</v>
      </c>
      <c r="H540" s="1">
        <f>G540/$G$21</f>
        <v>7.8292863178299182E-9</v>
      </c>
      <c r="I540">
        <f>IF($E$11&lt;=D540, IF(D540&lt;=$A$15,D540-$E$11,$F$11),0)</f>
        <v>300</v>
      </c>
      <c r="J540">
        <f>IF(D540&lt;=$A$15,0,D540-$A$15)</f>
        <v>208</v>
      </c>
      <c r="K540" s="5">
        <f>IF(D540&lt;$E$11,H540,0)</f>
        <v>0</v>
      </c>
      <c r="L540">
        <f>IF(D540&lt;$A$15,$C$11,$C$11*(1-$G$11))</f>
        <v>200</v>
      </c>
      <c r="M540">
        <f>IF(D540&lt;$A$15,0,1)</f>
        <v>1</v>
      </c>
    </row>
    <row r="541" spans="4:13" x14ac:dyDescent="0.2">
      <c r="D541">
        <f t="shared" si="29"/>
        <v>518</v>
      </c>
      <c r="E541" s="1">
        <f t="shared" si="27"/>
        <v>250.24121055655263</v>
      </c>
      <c r="F541" s="1">
        <f t="shared" si="30"/>
        <v>-16.084857597442237</v>
      </c>
      <c r="G541" s="1">
        <f t="shared" si="28"/>
        <v>1.0337966088689286E-7</v>
      </c>
      <c r="H541" s="1">
        <f>G541/$G$21</f>
        <v>7.2493391831761471E-9</v>
      </c>
      <c r="I541">
        <f>IF($E$11&lt;=D541, IF(D541&lt;=$A$15,D541-$E$11,$F$11),0)</f>
        <v>300</v>
      </c>
      <c r="J541">
        <f>IF(D541&lt;=$A$15,0,D541-$A$15)</f>
        <v>209</v>
      </c>
      <c r="K541" s="5">
        <f>IF(D541&lt;$E$11,H541,0)</f>
        <v>0</v>
      </c>
      <c r="L541">
        <f>IF(D541&lt;$A$15,$C$11,$C$11*(1-$G$11))</f>
        <v>200</v>
      </c>
      <c r="M541">
        <f>IF(D541&lt;$A$15,0,1)</f>
        <v>1</v>
      </c>
    </row>
    <row r="542" spans="4:13" x14ac:dyDescent="0.2">
      <c r="D542">
        <f t="shared" si="29"/>
        <v>519</v>
      </c>
      <c r="E542" s="1">
        <f t="shared" si="27"/>
        <v>250.16424951541654</v>
      </c>
      <c r="F542" s="1">
        <f t="shared" si="30"/>
        <v>-16.161818638578325</v>
      </c>
      <c r="G542" s="1">
        <f t="shared" si="28"/>
        <v>9.5721908228608434E-8</v>
      </c>
      <c r="H542" s="1">
        <f>G542/$G$21</f>
        <v>6.7123510955337452E-9</v>
      </c>
      <c r="I542">
        <f>IF($E$11&lt;=D542, IF(D542&lt;=$A$15,D542-$E$11,$F$11),0)</f>
        <v>300</v>
      </c>
      <c r="J542">
        <f>IF(D542&lt;=$A$15,0,D542-$A$15)</f>
        <v>210</v>
      </c>
      <c r="K542" s="5">
        <f>IF(D542&lt;$E$11,H542,0)</f>
        <v>0</v>
      </c>
      <c r="L542">
        <f>IF(D542&lt;$A$15,$C$11,$C$11*(1-$G$11))</f>
        <v>200</v>
      </c>
      <c r="M542">
        <f>IF(D542&lt;$A$15,0,1)</f>
        <v>1</v>
      </c>
    </row>
    <row r="543" spans="4:13" x14ac:dyDescent="0.2">
      <c r="D543">
        <f t="shared" si="29"/>
        <v>520</v>
      </c>
      <c r="E543" s="1">
        <f t="shared" si="27"/>
        <v>250.08728847428046</v>
      </c>
      <c r="F543" s="1">
        <f t="shared" si="30"/>
        <v>-16.238779679714412</v>
      </c>
      <c r="G543" s="1">
        <f t="shared" si="28"/>
        <v>8.8631396507974409E-8</v>
      </c>
      <c r="H543" s="1">
        <f>G543/$G$21</f>
        <v>6.215139903272241E-9</v>
      </c>
      <c r="I543">
        <f>IF($E$11&lt;=D543, IF(D543&lt;=$A$15,D543-$E$11,$F$11),0)</f>
        <v>300</v>
      </c>
      <c r="J543">
        <f>IF(D543&lt;=$A$15,0,D543-$A$15)</f>
        <v>211</v>
      </c>
      <c r="K543" s="5">
        <f>IF(D543&lt;$E$11,H543,0)</f>
        <v>0</v>
      </c>
      <c r="L543">
        <f>IF(D543&lt;$A$15,$C$11,$C$11*(1-$G$11))</f>
        <v>200</v>
      </c>
      <c r="M543">
        <f>IF(D543&lt;$A$15,0,1)</f>
        <v>1</v>
      </c>
    </row>
    <row r="544" spans="4:13" x14ac:dyDescent="0.2">
      <c r="D544">
        <f t="shared" si="29"/>
        <v>521</v>
      </c>
      <c r="E544" s="1">
        <f t="shared" si="27"/>
        <v>250.01032743314437</v>
      </c>
      <c r="F544" s="1">
        <f t="shared" si="30"/>
        <v>-16.315740720850499</v>
      </c>
      <c r="G544" s="1">
        <f t="shared" si="28"/>
        <v>8.2066107877757459E-8</v>
      </c>
      <c r="H544" s="1">
        <f>G544/$G$21</f>
        <v>5.7547591696967563E-9</v>
      </c>
      <c r="I544">
        <f>IF($E$11&lt;=D544, IF(D544&lt;=$A$15,D544-$E$11,$F$11),0)</f>
        <v>300</v>
      </c>
      <c r="J544">
        <f>IF(D544&lt;=$A$15,0,D544-$A$15)</f>
        <v>212</v>
      </c>
      <c r="K544" s="5">
        <f>IF(D544&lt;$E$11,H544,0)</f>
        <v>0</v>
      </c>
      <c r="L544">
        <f>IF(D544&lt;$A$15,$C$11,$C$11*(1-$G$11))</f>
        <v>200</v>
      </c>
      <c r="M544">
        <f>IF(D544&lt;$A$15,0,1)</f>
        <v>1</v>
      </c>
    </row>
    <row r="545" spans="4:13" x14ac:dyDescent="0.2">
      <c r="D545">
        <f t="shared" si="29"/>
        <v>522</v>
      </c>
      <c r="E545" s="1">
        <f t="shared" si="27"/>
        <v>249.93336639200828</v>
      </c>
      <c r="F545" s="1">
        <f t="shared" si="30"/>
        <v>-16.392701761986586</v>
      </c>
      <c r="G545" s="1">
        <f t="shared" si="28"/>
        <v>7.5987136923852623E-8</v>
      </c>
      <c r="H545" s="1">
        <f>G545/$G$21</f>
        <v>5.328480712682401E-9</v>
      </c>
      <c r="I545">
        <f>IF($E$11&lt;=D545, IF(D545&lt;=$A$15,D545-$E$11,$F$11),0)</f>
        <v>300</v>
      </c>
      <c r="J545">
        <f>IF(D545&lt;=$A$15,0,D545-$A$15)</f>
        <v>213</v>
      </c>
      <c r="K545" s="5">
        <f>IF(D545&lt;$E$11,H545,0)</f>
        <v>0</v>
      </c>
      <c r="L545">
        <f>IF(D545&lt;$A$15,$C$11,$C$11*(1-$G$11))</f>
        <v>200</v>
      </c>
      <c r="M545">
        <f>IF(D545&lt;$A$15,0,1)</f>
        <v>1</v>
      </c>
    </row>
    <row r="546" spans="4:13" x14ac:dyDescent="0.2">
      <c r="D546">
        <f t="shared" si="29"/>
        <v>523</v>
      </c>
      <c r="E546" s="1">
        <f t="shared" si="27"/>
        <v>249.85640535087219</v>
      </c>
      <c r="F546" s="1">
        <f t="shared" si="30"/>
        <v>-16.469662803122674</v>
      </c>
      <c r="G546" s="1">
        <f t="shared" si="28"/>
        <v>7.0358460114681235E-8</v>
      </c>
      <c r="H546" s="1">
        <f>G546/$G$21</f>
        <v>4.9337784376690914E-9</v>
      </c>
      <c r="I546">
        <f>IF($E$11&lt;=D546, IF(D546&lt;=$A$15,D546-$E$11,$F$11),0)</f>
        <v>300</v>
      </c>
      <c r="J546">
        <f>IF(D546&lt;=$A$15,0,D546-$A$15)</f>
        <v>214</v>
      </c>
      <c r="K546" s="5">
        <f>IF(D546&lt;$E$11,H546,0)</f>
        <v>0</v>
      </c>
      <c r="L546">
        <f>IF(D546&lt;$A$15,$C$11,$C$11*(1-$G$11))</f>
        <v>200</v>
      </c>
      <c r="M546">
        <f>IF(D546&lt;$A$15,0,1)</f>
        <v>1</v>
      </c>
    </row>
    <row r="547" spans="4:13" x14ac:dyDescent="0.2">
      <c r="D547">
        <f t="shared" si="29"/>
        <v>524</v>
      </c>
      <c r="E547" s="1">
        <f t="shared" si="27"/>
        <v>249.77944430973611</v>
      </c>
      <c r="F547" s="1">
        <f t="shared" si="30"/>
        <v>-16.546623844258761</v>
      </c>
      <c r="G547" s="1">
        <f t="shared" si="28"/>
        <v>6.5146722328411235E-8</v>
      </c>
      <c r="H547" s="1">
        <f>G547/$G$21</f>
        <v>4.5683133682123099E-9</v>
      </c>
      <c r="I547">
        <f>IF($E$11&lt;=D547, IF(D547&lt;=$A$15,D547-$E$11,$F$11),0)</f>
        <v>300</v>
      </c>
      <c r="J547">
        <f>IF(D547&lt;=$A$15,0,D547-$A$15)</f>
        <v>215</v>
      </c>
      <c r="K547" s="5">
        <f>IF(D547&lt;$E$11,H547,0)</f>
        <v>0</v>
      </c>
      <c r="L547">
        <f>IF(D547&lt;$A$15,$C$11,$C$11*(1-$G$11))</f>
        <v>200</v>
      </c>
      <c r="M547">
        <f>IF(D547&lt;$A$15,0,1)</f>
        <v>1</v>
      </c>
    </row>
    <row r="548" spans="4:13" x14ac:dyDescent="0.2">
      <c r="D548">
        <f t="shared" si="29"/>
        <v>525</v>
      </c>
      <c r="E548" s="1">
        <f t="shared" si="27"/>
        <v>249.70248326859999</v>
      </c>
      <c r="F548" s="1">
        <f t="shared" si="30"/>
        <v>-16.623584885394877</v>
      </c>
      <c r="G548" s="1">
        <f t="shared" si="28"/>
        <v>6.0321039192974127E-8</v>
      </c>
      <c r="H548" s="1">
        <f>G548/$G$21</f>
        <v>4.2299197853818216E-9</v>
      </c>
      <c r="I548">
        <f>IF($E$11&lt;=D548, IF(D548&lt;=$A$15,D548-$E$11,$F$11),0)</f>
        <v>300</v>
      </c>
      <c r="J548">
        <f>IF(D548&lt;=$A$15,0,D548-$A$15)</f>
        <v>216</v>
      </c>
      <c r="K548" s="5">
        <f>IF(D548&lt;$E$11,H548,0)</f>
        <v>0</v>
      </c>
      <c r="L548">
        <f>IF(D548&lt;$A$15,$C$11,$C$11*(1-$G$11))</f>
        <v>200</v>
      </c>
      <c r="M548">
        <f>IF(D548&lt;$A$15,0,1)</f>
        <v>1</v>
      </c>
    </row>
    <row r="549" spans="4:13" x14ac:dyDescent="0.2">
      <c r="D549">
        <f t="shared" si="29"/>
        <v>526</v>
      </c>
      <c r="E549" s="1">
        <f t="shared" si="27"/>
        <v>249.62552222746388</v>
      </c>
      <c r="F549" s="1">
        <f t="shared" si="30"/>
        <v>-16.700545926530992</v>
      </c>
      <c r="G549" s="1">
        <f t="shared" si="28"/>
        <v>5.5852814067569338E-8</v>
      </c>
      <c r="H549" s="1">
        <f>G549/$G$21</f>
        <v>3.9165923938721066E-9</v>
      </c>
      <c r="I549">
        <f>IF($E$11&lt;=D549, IF(D549&lt;=$A$15,D549-$E$11,$F$11),0)</f>
        <v>300</v>
      </c>
      <c r="J549">
        <f>IF(D549&lt;=$A$15,0,D549-$A$15)</f>
        <v>217</v>
      </c>
      <c r="K549" s="5">
        <f>IF(D549&lt;$E$11,H549,0)</f>
        <v>0</v>
      </c>
      <c r="L549">
        <f>IF(D549&lt;$A$15,$C$11,$C$11*(1-$G$11))</f>
        <v>200</v>
      </c>
      <c r="M549">
        <f>IF(D549&lt;$A$15,0,1)</f>
        <v>1</v>
      </c>
    </row>
    <row r="550" spans="4:13" x14ac:dyDescent="0.2">
      <c r="D550">
        <f t="shared" si="29"/>
        <v>527</v>
      </c>
      <c r="E550" s="1">
        <f t="shared" si="27"/>
        <v>249.54856118632776</v>
      </c>
      <c r="F550" s="1">
        <f t="shared" si="30"/>
        <v>-16.777506967667108</v>
      </c>
      <c r="G550" s="1">
        <f t="shared" si="28"/>
        <v>5.1715568581083375E-8</v>
      </c>
      <c r="H550" s="1">
        <f>G550/$G$21</f>
        <v>3.6264744387705148E-9</v>
      </c>
      <c r="I550">
        <f>IF($E$11&lt;=D550, IF(D550&lt;=$A$15,D550-$E$11,$F$11),0)</f>
        <v>300</v>
      </c>
      <c r="J550">
        <f>IF(D550&lt;=$A$15,0,D550-$A$15)</f>
        <v>218</v>
      </c>
      <c r="K550" s="5">
        <f>IF(D550&lt;$E$11,H550,0)</f>
        <v>0</v>
      </c>
      <c r="L550">
        <f>IF(D550&lt;$A$15,$C$11,$C$11*(1-$G$11))</f>
        <v>200</v>
      </c>
      <c r="M550">
        <f>IF(D550&lt;$A$15,0,1)</f>
        <v>1</v>
      </c>
    </row>
    <row r="551" spans="4:13" x14ac:dyDescent="0.2">
      <c r="D551">
        <f t="shared" si="29"/>
        <v>528</v>
      </c>
      <c r="E551" s="1">
        <f t="shared" si="27"/>
        <v>249.47160014519164</v>
      </c>
      <c r="F551" s="1">
        <f t="shared" si="30"/>
        <v>-16.854468008803224</v>
      </c>
      <c r="G551" s="1">
        <f t="shared" si="28"/>
        <v>4.7884785723225956E-8</v>
      </c>
      <c r="H551" s="1">
        <f>G551/$G$21</f>
        <v>3.3578467025653341E-9</v>
      </c>
      <c r="I551">
        <f>IF($E$11&lt;=D551, IF(D551&lt;=$A$15,D551-$E$11,$F$11),0)</f>
        <v>300</v>
      </c>
      <c r="J551">
        <f>IF(D551&lt;=$A$15,0,D551-$A$15)</f>
        <v>219</v>
      </c>
      <c r="K551" s="5">
        <f>IF(D551&lt;$E$11,H551,0)</f>
        <v>0</v>
      </c>
      <c r="L551">
        <f>IF(D551&lt;$A$15,$C$11,$C$11*(1-$G$11))</f>
        <v>200</v>
      </c>
      <c r="M551">
        <f>IF(D551&lt;$A$15,0,1)</f>
        <v>1</v>
      </c>
    </row>
    <row r="552" spans="4:13" x14ac:dyDescent="0.2">
      <c r="D552">
        <f t="shared" si="29"/>
        <v>529</v>
      </c>
      <c r="E552" s="1">
        <f t="shared" si="27"/>
        <v>249.39463910405553</v>
      </c>
      <c r="F552" s="1">
        <f t="shared" si="30"/>
        <v>-16.931429049939339</v>
      </c>
      <c r="G552" s="1">
        <f t="shared" si="28"/>
        <v>4.4337764558543108E-8</v>
      </c>
      <c r="H552" s="1">
        <f>G552/$G$21</f>
        <v>3.1091173171901636E-9</v>
      </c>
      <c r="I552">
        <f>IF($E$11&lt;=D552, IF(D552&lt;=$A$15,D552-$E$11,$F$11),0)</f>
        <v>300</v>
      </c>
      <c r="J552">
        <f>IF(D552&lt;=$A$15,0,D552-$A$15)</f>
        <v>220</v>
      </c>
      <c r="K552" s="5">
        <f>IF(D552&lt;$E$11,H552,0)</f>
        <v>0</v>
      </c>
      <c r="L552">
        <f>IF(D552&lt;$A$15,$C$11,$C$11*(1-$G$11))</f>
        <v>200</v>
      </c>
      <c r="M552">
        <f>IF(D552&lt;$A$15,0,1)</f>
        <v>1</v>
      </c>
    </row>
    <row r="553" spans="4:13" x14ac:dyDescent="0.2">
      <c r="D553">
        <f t="shared" si="29"/>
        <v>530</v>
      </c>
      <c r="E553" s="1">
        <f t="shared" si="27"/>
        <v>249.31767806291941</v>
      </c>
      <c r="F553" s="1">
        <f t="shared" si="30"/>
        <v>-17.008390091075455</v>
      </c>
      <c r="G553" s="1">
        <f t="shared" si="28"/>
        <v>4.1053485702355249E-8</v>
      </c>
      <c r="H553" s="1">
        <f>G553/$G$21</f>
        <v>2.8788123307316691E-9</v>
      </c>
      <c r="I553">
        <f>IF($E$11&lt;=D553, IF(D553&lt;=$A$15,D553-$E$11,$F$11),0)</f>
        <v>300</v>
      </c>
      <c r="J553">
        <f>IF(D553&lt;=$A$15,0,D553-$A$15)</f>
        <v>221</v>
      </c>
      <c r="K553" s="5">
        <f>IF(D553&lt;$E$11,H553,0)</f>
        <v>0</v>
      </c>
      <c r="L553">
        <f>IF(D553&lt;$A$15,$C$11,$C$11*(1-$G$11))</f>
        <v>200</v>
      </c>
      <c r="M553">
        <f>IF(D553&lt;$A$15,0,1)</f>
        <v>1</v>
      </c>
    </row>
    <row r="554" spans="4:13" x14ac:dyDescent="0.2">
      <c r="D554">
        <f t="shared" si="29"/>
        <v>531</v>
      </c>
      <c r="E554" s="1">
        <f t="shared" si="27"/>
        <v>249.2407170217833</v>
      </c>
      <c r="F554" s="1">
        <f t="shared" si="30"/>
        <v>-17.085351132211571</v>
      </c>
      <c r="G554" s="1">
        <f t="shared" si="28"/>
        <v>3.8012486761440525E-8</v>
      </c>
      <c r="H554" s="1">
        <f>G554/$G$21</f>
        <v>2.6655669728997274E-9</v>
      </c>
      <c r="I554">
        <f>IF($E$11&lt;=D554, IF(D554&lt;=$A$15,D554-$E$11,$F$11),0)</f>
        <v>300</v>
      </c>
      <c r="J554">
        <f>IF(D554&lt;=$A$15,0,D554-$A$15)</f>
        <v>222</v>
      </c>
      <c r="K554" s="5">
        <f>IF(D554&lt;$E$11,H554,0)</f>
        <v>0</v>
      </c>
      <c r="L554">
        <f>IF(D554&lt;$A$15,$C$11,$C$11*(1-$G$11))</f>
        <v>200</v>
      </c>
      <c r="M554">
        <f>IF(D554&lt;$A$15,0,1)</f>
        <v>1</v>
      </c>
    </row>
    <row r="555" spans="4:13" x14ac:dyDescent="0.2">
      <c r="D555">
        <f t="shared" si="29"/>
        <v>532</v>
      </c>
      <c r="E555" s="1">
        <f t="shared" si="27"/>
        <v>249.16375598064718</v>
      </c>
      <c r="F555" s="1">
        <f t="shared" si="30"/>
        <v>-17.162312173347686</v>
      </c>
      <c r="G555" s="1">
        <f t="shared" si="28"/>
        <v>3.5196747001334265E-8</v>
      </c>
      <c r="H555" s="1">
        <f>G555/$G$21</f>
        <v>2.4681175674997789E-9</v>
      </c>
      <c r="I555">
        <f>IF($E$11&lt;=D555, IF(D555&lt;=$A$15,D555-$E$11,$F$11),0)</f>
        <v>300</v>
      </c>
      <c r="J555">
        <f>IF(D555&lt;=$A$15,0,D555-$A$15)</f>
        <v>223</v>
      </c>
      <c r="K555" s="5">
        <f>IF(D555&lt;$E$11,H555,0)</f>
        <v>0</v>
      </c>
      <c r="L555">
        <f>IF(D555&lt;$A$15,$C$11,$C$11*(1-$G$11))</f>
        <v>200</v>
      </c>
      <c r="M555">
        <f>IF(D555&lt;$A$15,0,1)</f>
        <v>1</v>
      </c>
    </row>
    <row r="556" spans="4:13" x14ac:dyDescent="0.2">
      <c r="D556">
        <f t="shared" si="29"/>
        <v>533</v>
      </c>
      <c r="E556" s="1">
        <f t="shared" si="27"/>
        <v>249.08679493951107</v>
      </c>
      <c r="F556" s="1">
        <f t="shared" si="30"/>
        <v>-17.239273214483802</v>
      </c>
      <c r="G556" s="1">
        <f t="shared" si="28"/>
        <v>3.2589580556791398E-8</v>
      </c>
      <c r="H556" s="1">
        <f>G556/$G$21</f>
        <v>2.2852940439813054E-9</v>
      </c>
      <c r="I556">
        <f>IF($E$11&lt;=D556, IF(D556&lt;=$A$15,D556-$E$11,$F$11),0)</f>
        <v>300</v>
      </c>
      <c r="J556">
        <f>IF(D556&lt;=$A$15,0,D556-$A$15)</f>
        <v>224</v>
      </c>
      <c r="K556" s="5">
        <f>IF(D556&lt;$E$11,H556,0)</f>
        <v>0</v>
      </c>
      <c r="L556">
        <f>IF(D556&lt;$A$15,$C$11,$C$11*(1-$G$11))</f>
        <v>200</v>
      </c>
      <c r="M556">
        <f>IF(D556&lt;$A$15,0,1)</f>
        <v>1</v>
      </c>
    </row>
    <row r="557" spans="4:13" x14ac:dyDescent="0.2">
      <c r="D557">
        <f t="shared" si="29"/>
        <v>534</v>
      </c>
      <c r="E557" s="1">
        <f t="shared" si="27"/>
        <v>249.00983389837495</v>
      </c>
      <c r="F557" s="1">
        <f t="shared" si="30"/>
        <v>-17.316234255619918</v>
      </c>
      <c r="G557" s="1">
        <f t="shared" si="28"/>
        <v>3.0175537552585011E-8</v>
      </c>
      <c r="H557" s="1">
        <f>G557/$G$21</f>
        <v>2.1160130036864207E-9</v>
      </c>
      <c r="I557">
        <f>IF($E$11&lt;=D557, IF(D557&lt;=$A$15,D557-$E$11,$F$11),0)</f>
        <v>300</v>
      </c>
      <c r="J557">
        <f>IF(D557&lt;=$A$15,0,D557-$A$15)</f>
        <v>225</v>
      </c>
      <c r="K557" s="5">
        <f>IF(D557&lt;$E$11,H557,0)</f>
        <v>0</v>
      </c>
      <c r="L557">
        <f>IF(D557&lt;$A$15,$C$11,$C$11*(1-$G$11))</f>
        <v>200</v>
      </c>
      <c r="M557">
        <f>IF(D557&lt;$A$15,0,1)</f>
        <v>1</v>
      </c>
    </row>
    <row r="558" spans="4:13" x14ac:dyDescent="0.2">
      <c r="D558">
        <f t="shared" si="29"/>
        <v>535</v>
      </c>
      <c r="E558" s="1">
        <f t="shared" si="27"/>
        <v>248.93287285723883</v>
      </c>
      <c r="F558" s="1">
        <f t="shared" si="30"/>
        <v>-17.393195296756033</v>
      </c>
      <c r="G558" s="1">
        <f t="shared" si="28"/>
        <v>2.7940312548690176E-8</v>
      </c>
      <c r="H558" s="1">
        <f>G558/$G$21</f>
        <v>1.9592712997096737E-9</v>
      </c>
      <c r="I558">
        <f>IF($E$11&lt;=D558, IF(D558&lt;=$A$15,D558-$E$11,$F$11),0)</f>
        <v>300</v>
      </c>
      <c r="J558">
        <f>IF(D558&lt;=$A$15,0,D558-$A$15)</f>
        <v>226</v>
      </c>
      <c r="K558" s="5">
        <f>IF(D558&lt;$E$11,H558,0)</f>
        <v>0</v>
      </c>
      <c r="L558">
        <f>IF(D558&lt;$A$15,$C$11,$C$11*(1-$G$11))</f>
        <v>200</v>
      </c>
      <c r="M558">
        <f>IF(D558&lt;$A$15,0,1)</f>
        <v>1</v>
      </c>
    </row>
    <row r="559" spans="4:13" x14ac:dyDescent="0.2">
      <c r="D559">
        <f t="shared" si="29"/>
        <v>536</v>
      </c>
      <c r="E559" s="1">
        <f t="shared" si="27"/>
        <v>248.85591181610272</v>
      </c>
      <c r="F559" s="1">
        <f t="shared" si="30"/>
        <v>-17.470156337892149</v>
      </c>
      <c r="G559" s="1">
        <f t="shared" si="28"/>
        <v>2.5870659767306048E-8</v>
      </c>
      <c r="H559" s="1">
        <f>G559/$G$21</f>
        <v>1.8141400923237949E-9</v>
      </c>
      <c r="I559">
        <f>IF($E$11&lt;=D559, IF(D559&lt;=$A$15,D559-$E$11,$F$11),0)</f>
        <v>300</v>
      </c>
      <c r="J559">
        <f>IF(D559&lt;=$A$15,0,D559-$A$15)</f>
        <v>227</v>
      </c>
      <c r="K559" s="5">
        <f>IF(D559&lt;$E$11,H559,0)</f>
        <v>0</v>
      </c>
      <c r="L559">
        <f>IF(D559&lt;$A$15,$C$11,$C$11*(1-$G$11))</f>
        <v>200</v>
      </c>
      <c r="M559">
        <f>IF(D559&lt;$A$15,0,1)</f>
        <v>1</v>
      </c>
    </row>
    <row r="560" spans="4:13" x14ac:dyDescent="0.2">
      <c r="D560">
        <f t="shared" si="29"/>
        <v>537</v>
      </c>
      <c r="E560" s="1">
        <f t="shared" si="27"/>
        <v>248.7789507749666</v>
      </c>
      <c r="F560" s="1">
        <f t="shared" si="30"/>
        <v>-17.547117379028265</v>
      </c>
      <c r="G560" s="1">
        <f t="shared" si="28"/>
        <v>2.3954314599357755E-8</v>
      </c>
      <c r="H560" s="1">
        <f>G560/$G$21</f>
        <v>1.6797593447442757E-9</v>
      </c>
      <c r="I560">
        <f>IF($E$11&lt;=D560, IF(D560&lt;=$A$15,D560-$E$11,$F$11),0)</f>
        <v>300</v>
      </c>
      <c r="J560">
        <f>IF(D560&lt;=$A$15,0,D560-$A$15)</f>
        <v>228</v>
      </c>
      <c r="K560" s="5">
        <f>IF(D560&lt;$E$11,H560,0)</f>
        <v>0</v>
      </c>
      <c r="L560">
        <f>IF(D560&lt;$A$15,$C$11,$C$11*(1-$G$11))</f>
        <v>200</v>
      </c>
      <c r="M560">
        <f>IF(D560&lt;$A$15,0,1)</f>
        <v>1</v>
      </c>
    </row>
    <row r="561" spans="4:13" x14ac:dyDescent="0.2">
      <c r="D561">
        <f t="shared" si="29"/>
        <v>538</v>
      </c>
      <c r="E561" s="1">
        <f t="shared" si="27"/>
        <v>248.70198973383049</v>
      </c>
      <c r="F561" s="1">
        <f t="shared" si="30"/>
        <v>-17.624078420164381</v>
      </c>
      <c r="G561" s="1">
        <f t="shared" si="28"/>
        <v>2.2179920925331533E-8</v>
      </c>
      <c r="H561" s="1">
        <f>G561/$G$21</f>
        <v>1.5553327266150897E-9</v>
      </c>
      <c r="I561">
        <f>IF($E$11&lt;=D561, IF(D561&lt;=$A$15,D561-$E$11,$F$11),0)</f>
        <v>300</v>
      </c>
      <c r="J561">
        <f>IF(D561&lt;=$A$15,0,D561-$A$15)</f>
        <v>229</v>
      </c>
      <c r="K561" s="5">
        <f>IF(D561&lt;$E$11,H561,0)</f>
        <v>0</v>
      </c>
      <c r="L561">
        <f>IF(D561&lt;$A$15,$C$11,$C$11*(1-$G$11))</f>
        <v>200</v>
      </c>
      <c r="M561">
        <f>IF(D561&lt;$A$15,0,1)</f>
        <v>1</v>
      </c>
    </row>
    <row r="562" spans="4:13" x14ac:dyDescent="0.2">
      <c r="D562">
        <f t="shared" si="29"/>
        <v>539</v>
      </c>
      <c r="E562" s="1">
        <f t="shared" si="27"/>
        <v>248.62502869269437</v>
      </c>
      <c r="F562" s="1">
        <f t="shared" si="30"/>
        <v>-17.701039461300496</v>
      </c>
      <c r="G562" s="1">
        <f t="shared" si="28"/>
        <v>2.0536963819751679E-8</v>
      </c>
      <c r="H562" s="1">
        <f>G562/$G$21</f>
        <v>1.4401228950139901E-9</v>
      </c>
      <c r="I562">
        <f>IF($E$11&lt;=D562, IF(D562&lt;=$A$15,D562-$E$11,$F$11),0)</f>
        <v>300</v>
      </c>
      <c r="J562">
        <f>IF(D562&lt;=$A$15,0,D562-$A$15)</f>
        <v>230</v>
      </c>
      <c r="K562" s="5">
        <f>IF(D562&lt;$E$11,H562,0)</f>
        <v>0</v>
      </c>
      <c r="L562">
        <f>IF(D562&lt;$A$15,$C$11,$C$11*(1-$G$11))</f>
        <v>200</v>
      </c>
      <c r="M562">
        <f>IF(D562&lt;$A$15,0,1)</f>
        <v>1</v>
      </c>
    </row>
    <row r="563" spans="4:13" x14ac:dyDescent="0.2">
      <c r="D563">
        <f t="shared" si="29"/>
        <v>540</v>
      </c>
      <c r="E563" s="1">
        <f t="shared" si="27"/>
        <v>248.54806765155826</v>
      </c>
      <c r="F563" s="1">
        <f t="shared" si="30"/>
        <v>-17.778000502436612</v>
      </c>
      <c r="G563" s="1">
        <f t="shared" si="28"/>
        <v>1.9015707240511057E-8</v>
      </c>
      <c r="H563" s="1">
        <f>G563/$G$21</f>
        <v>1.3334471250129709E-9</v>
      </c>
      <c r="I563">
        <f>IF($E$11&lt;=D563, IF(D563&lt;=$A$15,D563-$E$11,$F$11),0)</f>
        <v>300</v>
      </c>
      <c r="J563">
        <f>IF(D563&lt;=$A$15,0,D563-$A$15)</f>
        <v>231</v>
      </c>
      <c r="K563" s="5">
        <f>IF(D563&lt;$E$11,H563,0)</f>
        <v>0</v>
      </c>
      <c r="L563">
        <f>IF(D563&lt;$A$15,$C$11,$C$11*(1-$G$11))</f>
        <v>200</v>
      </c>
      <c r="M563">
        <f>IF(D563&lt;$A$15,0,1)</f>
        <v>1</v>
      </c>
    </row>
    <row r="564" spans="4:13" x14ac:dyDescent="0.2">
      <c r="D564">
        <f t="shared" si="29"/>
        <v>541</v>
      </c>
      <c r="E564" s="1">
        <f t="shared" si="27"/>
        <v>248.47110661042214</v>
      </c>
      <c r="F564" s="1">
        <f t="shared" si="30"/>
        <v>-17.854961543572728</v>
      </c>
      <c r="G564" s="1">
        <f t="shared" si="28"/>
        <v>1.7607136333806755E-8</v>
      </c>
      <c r="H564" s="1">
        <f>G564/$G$21</f>
        <v>1.2346732639009144E-9</v>
      </c>
      <c r="I564">
        <f>IF($E$11&lt;=D564, IF(D564&lt;=$A$15,D564-$E$11,$F$11),0)</f>
        <v>300</v>
      </c>
      <c r="J564">
        <f>IF(D564&lt;=$A$15,0,D564-$A$15)</f>
        <v>232</v>
      </c>
      <c r="K564" s="5">
        <f>IF(D564&lt;$E$11,H564,0)</f>
        <v>0</v>
      </c>
      <c r="L564">
        <f>IF(D564&lt;$A$15,$C$11,$C$11*(1-$G$11))</f>
        <v>200</v>
      </c>
      <c r="M564">
        <f>IF(D564&lt;$A$15,0,1)</f>
        <v>1</v>
      </c>
    </row>
    <row r="565" spans="4:13" x14ac:dyDescent="0.2">
      <c r="D565">
        <f t="shared" si="29"/>
        <v>542</v>
      </c>
      <c r="E565" s="1">
        <f t="shared" si="27"/>
        <v>248.39414556928602</v>
      </c>
      <c r="F565" s="1">
        <f t="shared" si="30"/>
        <v>-17.931922584708843</v>
      </c>
      <c r="G565" s="1">
        <f t="shared" si="28"/>
        <v>1.6302904012784238E-8</v>
      </c>
      <c r="H565" s="1">
        <f>G565/$G$21</f>
        <v>1.1432159850934537E-9</v>
      </c>
      <c r="I565">
        <f>IF($E$11&lt;=D565, IF(D565&lt;=$A$15,D565-$E$11,$F$11),0)</f>
        <v>300</v>
      </c>
      <c r="J565">
        <f>IF(D565&lt;=$A$15,0,D565-$A$15)</f>
        <v>233</v>
      </c>
      <c r="K565" s="5">
        <f>IF(D565&lt;$E$11,H565,0)</f>
        <v>0</v>
      </c>
      <c r="L565">
        <f>IF(D565&lt;$A$15,$C$11,$C$11*(1-$G$11))</f>
        <v>200</v>
      </c>
      <c r="M565">
        <f>IF(D565&lt;$A$15,0,1)</f>
        <v>1</v>
      </c>
    </row>
    <row r="566" spans="4:13" x14ac:dyDescent="0.2">
      <c r="D566">
        <f t="shared" si="29"/>
        <v>543</v>
      </c>
      <c r="E566" s="1">
        <f t="shared" si="27"/>
        <v>248.31718452814991</v>
      </c>
      <c r="F566" s="1">
        <f t="shared" si="30"/>
        <v>-18.008883625844959</v>
      </c>
      <c r="G566" s="1">
        <f t="shared" si="28"/>
        <v>1.5095281493318931E-8</v>
      </c>
      <c r="H566" s="1">
        <f>G566/$G$21</f>
        <v>1.0585333195309892E-9</v>
      </c>
      <c r="I566">
        <f>IF($E$11&lt;=D566, IF(D566&lt;=$A$15,D566-$E$11,$F$11),0)</f>
        <v>300</v>
      </c>
      <c r="J566">
        <f>IF(D566&lt;=$A$15,0,D566-$A$15)</f>
        <v>234</v>
      </c>
      <c r="K566" s="5">
        <f>IF(D566&lt;$E$11,H566,0)</f>
        <v>0</v>
      </c>
      <c r="L566">
        <f>IF(D566&lt;$A$15,$C$11,$C$11*(1-$G$11))</f>
        <v>200</v>
      </c>
      <c r="M566">
        <f>IF(D566&lt;$A$15,0,1)</f>
        <v>1</v>
      </c>
    </row>
    <row r="567" spans="4:13" x14ac:dyDescent="0.2">
      <c r="D567">
        <f t="shared" si="29"/>
        <v>544</v>
      </c>
      <c r="E567" s="1">
        <f t="shared" si="27"/>
        <v>248.24022348701379</v>
      </c>
      <c r="F567" s="1">
        <f t="shared" si="30"/>
        <v>-18.085844666981075</v>
      </c>
      <c r="G567" s="1">
        <f t="shared" si="28"/>
        <v>1.3977112493814002E-8</v>
      </c>
      <c r="H567" s="1">
        <f>G567/$G$21</f>
        <v>9.8012344401018747E-10</v>
      </c>
      <c r="I567">
        <f>IF($E$11&lt;=D567, IF(D567&lt;=$A$15,D567-$E$11,$F$11),0)</f>
        <v>300</v>
      </c>
      <c r="J567">
        <f>IF(D567&lt;=$A$15,0,D567-$A$15)</f>
        <v>235</v>
      </c>
      <c r="K567" s="5">
        <f>IF(D567&lt;$E$11,H567,0)</f>
        <v>0</v>
      </c>
      <c r="L567">
        <f>IF(D567&lt;$A$15,$C$11,$C$11*(1-$G$11))</f>
        <v>200</v>
      </c>
      <c r="M567">
        <f>IF(D567&lt;$A$15,0,1)</f>
        <v>1</v>
      </c>
    </row>
    <row r="568" spans="4:13" x14ac:dyDescent="0.2">
      <c r="D568">
        <f t="shared" si="29"/>
        <v>545</v>
      </c>
      <c r="E568" s="1">
        <f t="shared" si="27"/>
        <v>248.16326244587768</v>
      </c>
      <c r="F568" s="1">
        <f t="shared" si="30"/>
        <v>-18.16280570811719</v>
      </c>
      <c r="G568" s="1">
        <f t="shared" si="28"/>
        <v>1.2941770827605721E-8</v>
      </c>
      <c r="H568" s="1">
        <f>G568/$G$21</f>
        <v>9.075217074168518E-10</v>
      </c>
      <c r="I568">
        <f>IF($E$11&lt;=D568, IF(D568&lt;=$A$15,D568-$E$11,$F$11),0)</f>
        <v>300</v>
      </c>
      <c r="J568">
        <f>IF(D568&lt;=$A$15,0,D568-$A$15)</f>
        <v>236</v>
      </c>
      <c r="K568" s="5">
        <f>IF(D568&lt;$E$11,H568,0)</f>
        <v>0</v>
      </c>
      <c r="L568">
        <f>IF(D568&lt;$A$15,$C$11,$C$11*(1-$G$11))</f>
        <v>200</v>
      </c>
      <c r="M568">
        <f>IF(D568&lt;$A$15,0,1)</f>
        <v>1</v>
      </c>
    </row>
    <row r="569" spans="4:13" x14ac:dyDescent="0.2">
      <c r="D569">
        <f t="shared" si="29"/>
        <v>546</v>
      </c>
      <c r="E569" s="1">
        <f t="shared" si="27"/>
        <v>248.08630140474156</v>
      </c>
      <c r="F569" s="1">
        <f t="shared" si="30"/>
        <v>-18.239766749253306</v>
      </c>
      <c r="G569" s="1">
        <f t="shared" si="28"/>
        <v>1.1983121136672115E-8</v>
      </c>
      <c r="H569" s="1">
        <f>G569/$G$21</f>
        <v>8.4029787723783636E-10</v>
      </c>
      <c r="I569">
        <f>IF($E$11&lt;=D569, IF(D569&lt;=$A$15,D569-$E$11,$F$11),0)</f>
        <v>300</v>
      </c>
      <c r="J569">
        <f>IF(D569&lt;=$A$15,0,D569-$A$15)</f>
        <v>237</v>
      </c>
      <c r="K569" s="5">
        <f>IF(D569&lt;$E$11,H569,0)</f>
        <v>0</v>
      </c>
      <c r="L569">
        <f>IF(D569&lt;$A$15,$C$11,$C$11*(1-$G$11))</f>
        <v>200</v>
      </c>
      <c r="M569">
        <f>IF(D569&lt;$A$15,0,1)</f>
        <v>1</v>
      </c>
    </row>
    <row r="570" spans="4:13" x14ac:dyDescent="0.2">
      <c r="D570">
        <f t="shared" si="29"/>
        <v>547</v>
      </c>
      <c r="E570" s="1">
        <f t="shared" si="27"/>
        <v>248.00934036360545</v>
      </c>
      <c r="F570" s="1">
        <f t="shared" si="30"/>
        <v>-18.316727790389422</v>
      </c>
      <c r="G570" s="1">
        <f t="shared" si="28"/>
        <v>1.1095482533955802E-8</v>
      </c>
      <c r="H570" s="1">
        <f>G570/$G$21</f>
        <v>7.7805359003504339E-10</v>
      </c>
      <c r="I570">
        <f>IF($E$11&lt;=D570, IF(D570&lt;=$A$15,D570-$E$11,$F$11),0)</f>
        <v>300</v>
      </c>
      <c r="J570">
        <f>IF(D570&lt;=$A$15,0,D570-$A$15)</f>
        <v>238</v>
      </c>
      <c r="K570" s="5">
        <f>IF(D570&lt;$E$11,H570,0)</f>
        <v>0</v>
      </c>
      <c r="L570">
        <f>IF(D570&lt;$A$15,$C$11,$C$11*(1-$G$11))</f>
        <v>200</v>
      </c>
      <c r="M570">
        <f>IF(D570&lt;$A$15,0,1)</f>
        <v>1</v>
      </c>
    </row>
    <row r="571" spans="4:13" x14ac:dyDescent="0.2">
      <c r="D571">
        <f t="shared" si="29"/>
        <v>548</v>
      </c>
      <c r="E571" s="1">
        <f t="shared" si="27"/>
        <v>247.93237932246933</v>
      </c>
      <c r="F571" s="1">
        <f t="shared" si="30"/>
        <v>-18.393688831525537</v>
      </c>
      <c r="G571" s="1">
        <f t="shared" si="28"/>
        <v>1.0273594938848096E-8</v>
      </c>
      <c r="H571" s="1">
        <f>G571/$G$21</f>
        <v>7.204199907731976E-10</v>
      </c>
      <c r="I571">
        <f>IF($E$11&lt;=D571, IF(D571&lt;=$A$15,D571-$E$11,$F$11),0)</f>
        <v>300</v>
      </c>
      <c r="J571">
        <f>IF(D571&lt;=$A$15,0,D571-$A$15)</f>
        <v>239</v>
      </c>
      <c r="K571" s="5">
        <f>IF(D571&lt;$E$11,H571,0)</f>
        <v>0</v>
      </c>
      <c r="L571">
        <f>IF(D571&lt;$A$15,$C$11,$C$11*(1-$G$11))</f>
        <v>200</v>
      </c>
      <c r="M571">
        <f>IF(D571&lt;$A$15,0,1)</f>
        <v>1</v>
      </c>
    </row>
    <row r="572" spans="4:13" x14ac:dyDescent="0.2">
      <c r="D572">
        <f t="shared" si="29"/>
        <v>549</v>
      </c>
      <c r="E572" s="1">
        <f t="shared" si="27"/>
        <v>247.85541828133321</v>
      </c>
      <c r="F572" s="1">
        <f t="shared" si="30"/>
        <v>-18.470649872661653</v>
      </c>
      <c r="G572" s="1">
        <f t="shared" si="28"/>
        <v>9.5125879063409481E-9</v>
      </c>
      <c r="H572" s="1">
        <f>G572/$G$21</f>
        <v>6.6705554701222828E-10</v>
      </c>
      <c r="I572">
        <f>IF($E$11&lt;=D572, IF(D572&lt;=$A$15,D572-$E$11,$F$11),0)</f>
        <v>300</v>
      </c>
      <c r="J572">
        <f>IF(D572&lt;=$A$15,0,D572-$A$15)</f>
        <v>240</v>
      </c>
      <c r="K572" s="5">
        <f>IF(D572&lt;$E$11,H572,0)</f>
        <v>0</v>
      </c>
      <c r="L572">
        <f>IF(D572&lt;$A$15,$C$11,$C$11*(1-$G$11))</f>
        <v>200</v>
      </c>
      <c r="M572">
        <f>IF(D572&lt;$A$15,0,1)</f>
        <v>1</v>
      </c>
    </row>
    <row r="573" spans="4:13" x14ac:dyDescent="0.2">
      <c r="D573">
        <f t="shared" si="29"/>
        <v>550</v>
      </c>
      <c r="E573" s="1">
        <f t="shared" si="27"/>
        <v>247.7784572401971</v>
      </c>
      <c r="F573" s="1">
        <f t="shared" si="30"/>
        <v>-18.547610913797769</v>
      </c>
      <c r="G573" s="1">
        <f t="shared" si="28"/>
        <v>8.8079517651306195E-9</v>
      </c>
      <c r="H573" s="1">
        <f>G573/$G$21</f>
        <v>6.176440250113304E-10</v>
      </c>
      <c r="I573">
        <f>IF($E$11&lt;=D573, IF(D573&lt;=$A$15,D573-$E$11,$F$11),0)</f>
        <v>300</v>
      </c>
      <c r="J573">
        <f>IF(D573&lt;=$A$15,0,D573-$A$15)</f>
        <v>241</v>
      </c>
      <c r="K573" s="5">
        <f>IF(D573&lt;$E$11,H573,0)</f>
        <v>0</v>
      </c>
      <c r="L573">
        <f>IF(D573&lt;$A$15,$C$11,$C$11*(1-$G$11))</f>
        <v>200</v>
      </c>
      <c r="M573">
        <f>IF(D573&lt;$A$15,0,1)</f>
        <v>1</v>
      </c>
    </row>
    <row r="574" spans="4:13" x14ac:dyDescent="0.2">
      <c r="D574">
        <f t="shared" si="29"/>
        <v>551</v>
      </c>
      <c r="E574" s="1">
        <f t="shared" si="27"/>
        <v>247.70149619906098</v>
      </c>
      <c r="F574" s="1">
        <f t="shared" si="30"/>
        <v>-18.624571954933884</v>
      </c>
      <c r="G574" s="1">
        <f t="shared" si="28"/>
        <v>8.1555108936395651E-9</v>
      </c>
      <c r="H574" s="1">
        <f>G574/$G$21</f>
        <v>5.7189261575123896E-10</v>
      </c>
      <c r="I574">
        <f>IF($E$11&lt;=D574, IF(D574&lt;=$A$15,D574-$E$11,$F$11),0)</f>
        <v>300</v>
      </c>
      <c r="J574">
        <f>IF(D574&lt;=$A$15,0,D574-$A$15)</f>
        <v>242</v>
      </c>
      <c r="K574" s="5">
        <f>IF(D574&lt;$E$11,H574,0)</f>
        <v>0</v>
      </c>
      <c r="L574">
        <f>IF(D574&lt;$A$15,$C$11,$C$11*(1-$G$11))</f>
        <v>200</v>
      </c>
      <c r="M574">
        <f>IF(D574&lt;$A$15,0,1)</f>
        <v>1</v>
      </c>
    </row>
    <row r="575" spans="4:13" x14ac:dyDescent="0.2">
      <c r="D575">
        <f t="shared" si="29"/>
        <v>552</v>
      </c>
      <c r="E575" s="1">
        <f t="shared" si="27"/>
        <v>247.62453515792487</v>
      </c>
      <c r="F575" s="1">
        <f t="shared" si="30"/>
        <v>-18.70153299607</v>
      </c>
      <c r="G575" s="1">
        <f t="shared" si="28"/>
        <v>7.5513989755922864E-9</v>
      </c>
      <c r="H575" s="1">
        <f>G575/$G$21</f>
        <v>5.2953019976967248E-10</v>
      </c>
      <c r="I575">
        <f>IF($E$11&lt;=D575, IF(D575&lt;=$A$15,D575-$E$11,$F$11),0)</f>
        <v>300</v>
      </c>
      <c r="J575">
        <f>IF(D575&lt;=$A$15,0,D575-$A$15)</f>
        <v>243</v>
      </c>
      <c r="K575" s="5">
        <f>IF(D575&lt;$E$11,H575,0)</f>
        <v>0</v>
      </c>
      <c r="L575">
        <f>IF(D575&lt;$A$15,$C$11,$C$11*(1-$G$11))</f>
        <v>200</v>
      </c>
      <c r="M575">
        <f>IF(D575&lt;$A$15,0,1)</f>
        <v>1</v>
      </c>
    </row>
    <row r="576" spans="4:13" x14ac:dyDescent="0.2">
      <c r="D576">
        <f t="shared" si="29"/>
        <v>553</v>
      </c>
      <c r="E576" s="1">
        <f t="shared" si="27"/>
        <v>247.54757411678875</v>
      </c>
      <c r="F576" s="1">
        <f t="shared" si="30"/>
        <v>-18.778494037206116</v>
      </c>
      <c r="G576" s="1">
        <f t="shared" si="28"/>
        <v>6.9920360885114644E-9</v>
      </c>
      <c r="H576" s="1">
        <f>G576/$G$21</f>
        <v>4.9030574052748075E-10</v>
      </c>
      <c r="I576">
        <f>IF($E$11&lt;=D576, IF(D576&lt;=$A$15,D576-$E$11,$F$11),0)</f>
        <v>300</v>
      </c>
      <c r="J576">
        <f>IF(D576&lt;=$A$15,0,D576-$A$15)</f>
        <v>244</v>
      </c>
      <c r="K576" s="5">
        <f>IF(D576&lt;$E$11,H576,0)</f>
        <v>0</v>
      </c>
      <c r="L576">
        <f>IF(D576&lt;$A$15,$C$11,$C$11*(1-$G$11))</f>
        <v>200</v>
      </c>
      <c r="M576">
        <f>IF(D576&lt;$A$15,0,1)</f>
        <v>1</v>
      </c>
    </row>
    <row r="577" spans="4:13" x14ac:dyDescent="0.2">
      <c r="D577">
        <f t="shared" si="29"/>
        <v>554</v>
      </c>
      <c r="E577" s="1">
        <f t="shared" si="27"/>
        <v>247.47061307565264</v>
      </c>
      <c r="F577" s="1">
        <f t="shared" si="30"/>
        <v>-18.855455078342231</v>
      </c>
      <c r="G577" s="1">
        <f t="shared" si="28"/>
        <v>6.4741074893625484E-9</v>
      </c>
      <c r="H577" s="1">
        <f>G577/$G$21</f>
        <v>4.539867967847101E-10</v>
      </c>
      <c r="I577">
        <f>IF($E$11&lt;=D577, IF(D577&lt;=$A$15,D577-$E$11,$F$11),0)</f>
        <v>300</v>
      </c>
      <c r="J577">
        <f>IF(D577&lt;=$A$15,0,D577-$A$15)</f>
        <v>245</v>
      </c>
      <c r="K577" s="5">
        <f>IF(D577&lt;$E$11,H577,0)</f>
        <v>0</v>
      </c>
      <c r="L577">
        <f>IF(D577&lt;$A$15,$C$11,$C$11*(1-$G$11))</f>
        <v>200</v>
      </c>
      <c r="M577">
        <f>IF(D577&lt;$A$15,0,1)</f>
        <v>1</v>
      </c>
    </row>
    <row r="578" spans="4:13" x14ac:dyDescent="0.2">
      <c r="D578">
        <f t="shared" si="29"/>
        <v>555</v>
      </c>
      <c r="E578" s="1">
        <f t="shared" si="27"/>
        <v>247.39365203451652</v>
      </c>
      <c r="F578" s="1">
        <f t="shared" si="30"/>
        <v>-18.932416119478347</v>
      </c>
      <c r="G578" s="1">
        <f t="shared" si="28"/>
        <v>5.9945439716320654E-9</v>
      </c>
      <c r="H578" s="1">
        <f>G578/$G$21</f>
        <v>4.2035814517103318E-10</v>
      </c>
      <c r="I578">
        <f>IF($E$11&lt;=D578, IF(D578&lt;=$A$15,D578-$E$11,$F$11),0)</f>
        <v>300</v>
      </c>
      <c r="J578">
        <f>IF(D578&lt;=$A$15,0,D578-$A$15)</f>
        <v>246</v>
      </c>
      <c r="K578" s="5">
        <f>IF(D578&lt;$E$11,H578,0)</f>
        <v>0</v>
      </c>
      <c r="L578">
        <f>IF(D578&lt;$A$15,$C$11,$C$11*(1-$G$11))</f>
        <v>200</v>
      </c>
      <c r="M578">
        <f>IF(D578&lt;$A$15,0,1)</f>
        <v>1</v>
      </c>
    </row>
    <row r="579" spans="4:13" x14ac:dyDescent="0.2">
      <c r="D579">
        <f t="shared" si="29"/>
        <v>556</v>
      </c>
      <c r="E579" s="1">
        <f t="shared" si="27"/>
        <v>247.3166909933804</v>
      </c>
      <c r="F579" s="1">
        <f t="shared" si="30"/>
        <v>-19.009377160614463</v>
      </c>
      <c r="G579" s="1">
        <f t="shared" si="28"/>
        <v>5.5505036774371675E-9</v>
      </c>
      <c r="H579" s="1">
        <f>G579/$G$21</f>
        <v>3.8922050478799857E-10</v>
      </c>
      <c r="I579">
        <f>IF($E$11&lt;=D579, IF(D579&lt;=$A$15,D579-$E$11,$F$11),0)</f>
        <v>300</v>
      </c>
      <c r="J579">
        <f>IF(D579&lt;=$A$15,0,D579-$A$15)</f>
        <v>247</v>
      </c>
      <c r="K579" s="5">
        <f>IF(D579&lt;$E$11,H579,0)</f>
        <v>0</v>
      </c>
      <c r="L579">
        <f>IF(D579&lt;$A$15,$C$11,$C$11*(1-$G$11))</f>
        <v>200</v>
      </c>
      <c r="M579">
        <f>IF(D579&lt;$A$15,0,1)</f>
        <v>1</v>
      </c>
    </row>
    <row r="580" spans="4:13" x14ac:dyDescent="0.2">
      <c r="D580">
        <f t="shared" si="29"/>
        <v>557</v>
      </c>
      <c r="E580" s="1">
        <f t="shared" ref="E580:F643" si="31">IF($G$11=1,IF(D580&lt;=$A$15, E579+LN($C$11)-LN(60/$D$11)-LN(MIN(D580,$E$11)), E579-LN(60/$D$11)-LN(MIN(D580,$E$11))), IF(D580&lt;=$A$15, E579+LN($C$11)-LN(60/$D$11)-LN(MIN(D580,$E$11)), E579+LN($C$11)+LN(1-$G$11)-LN(60/$D$11)-LN(MIN(D580,$E$11))))</f>
        <v>247.23972995224429</v>
      </c>
      <c r="F580" s="1">
        <f t="shared" si="30"/>
        <v>-19.086338201750578</v>
      </c>
      <c r="G580" s="1">
        <f t="shared" si="28"/>
        <v>5.1393552568863312E-9</v>
      </c>
      <c r="H580" s="1">
        <f>G580/$G$21</f>
        <v>3.6038935628518845E-10</v>
      </c>
      <c r="I580">
        <f>IF($E$11&lt;=D580, IF(D580&lt;=$A$15,D580-$E$11,$F$11),0)</f>
        <v>300</v>
      </c>
      <c r="J580">
        <f>IF(D580&lt;=$A$15,0,D580-$A$15)</f>
        <v>248</v>
      </c>
      <c r="K580" s="5">
        <f>IF(D580&lt;$E$11,H580,0)</f>
        <v>0</v>
      </c>
      <c r="L580">
        <f>IF(D580&lt;$A$15,$C$11,$C$11*(1-$G$11))</f>
        <v>200</v>
      </c>
      <c r="M580">
        <f>IF(D580&lt;$A$15,0,1)</f>
        <v>1</v>
      </c>
    </row>
    <row r="581" spans="4:13" x14ac:dyDescent="0.2">
      <c r="D581">
        <f t="shared" si="29"/>
        <v>558</v>
      </c>
      <c r="E581" s="1">
        <f t="shared" si="31"/>
        <v>247.16276891110817</v>
      </c>
      <c r="F581" s="1">
        <f t="shared" si="30"/>
        <v>-19.163299242886694</v>
      </c>
      <c r="G581" s="1">
        <f t="shared" si="28"/>
        <v>4.7586622748948117E-9</v>
      </c>
      <c r="H581" s="1">
        <f>G581/$G$21</f>
        <v>3.3369384841221575E-10</v>
      </c>
      <c r="I581">
        <f>IF($E$11&lt;=D581, IF(D581&lt;=$A$15,D581-$E$11,$F$11),0)</f>
        <v>300</v>
      </c>
      <c r="J581">
        <f>IF(D581&lt;=$A$15,0,D581-$A$15)</f>
        <v>249</v>
      </c>
      <c r="K581" s="5">
        <f>IF(D581&lt;$E$11,H581,0)</f>
        <v>0</v>
      </c>
      <c r="L581">
        <f>IF(D581&lt;$A$15,$C$11,$C$11*(1-$G$11))</f>
        <v>200</v>
      </c>
      <c r="M581">
        <f>IF(D581&lt;$A$15,0,1)</f>
        <v>1</v>
      </c>
    </row>
    <row r="582" spans="4:13" x14ac:dyDescent="0.2">
      <c r="D582">
        <f t="shared" si="29"/>
        <v>559</v>
      </c>
      <c r="E582" s="1">
        <f t="shared" si="31"/>
        <v>247.08580786997206</v>
      </c>
      <c r="F582" s="1">
        <f t="shared" si="30"/>
        <v>-19.24026028402281</v>
      </c>
      <c r="G582" s="1">
        <f t="shared" si="28"/>
        <v>4.4061687730508071E-9</v>
      </c>
      <c r="H582" s="1">
        <f>G582/$G$21</f>
        <v>3.0897578556687033E-10</v>
      </c>
      <c r="I582">
        <f>IF($E$11&lt;=D582, IF(D582&lt;=$A$15,D582-$E$11,$F$11),0)</f>
        <v>300</v>
      </c>
      <c r="J582">
        <f>IF(D582&lt;=$A$15,0,D582-$A$15)</f>
        <v>250</v>
      </c>
      <c r="K582" s="5">
        <f>IF(D582&lt;$E$11,H582,0)</f>
        <v>0</v>
      </c>
      <c r="L582">
        <f>IF(D582&lt;$A$15,$C$11,$C$11*(1-$G$11))</f>
        <v>200</v>
      </c>
      <c r="M582">
        <f>IF(D582&lt;$A$15,0,1)</f>
        <v>1</v>
      </c>
    </row>
    <row r="583" spans="4:13" x14ac:dyDescent="0.2">
      <c r="D583">
        <f t="shared" si="29"/>
        <v>560</v>
      </c>
      <c r="E583" s="1">
        <f t="shared" si="31"/>
        <v>247.00884682883594</v>
      </c>
      <c r="F583" s="1">
        <f t="shared" si="30"/>
        <v>-19.317221325158926</v>
      </c>
      <c r="G583" s="1">
        <f t="shared" si="28"/>
        <v>4.0797859009730212E-9</v>
      </c>
      <c r="H583" s="1">
        <f>G583/$G$21</f>
        <v>2.8608869033969836E-10</v>
      </c>
      <c r="I583">
        <f>IF($E$11&lt;=D583, IF(D583&lt;=$A$15,D583-$E$11,$F$11),0)</f>
        <v>300</v>
      </c>
      <c r="J583">
        <f>IF(D583&lt;=$A$15,0,D583-$A$15)</f>
        <v>251</v>
      </c>
      <c r="K583" s="5">
        <f>IF(D583&lt;$E$11,H583,0)</f>
        <v>0</v>
      </c>
      <c r="L583">
        <f>IF(D583&lt;$A$15,$C$11,$C$11*(1-$G$11))</f>
        <v>200</v>
      </c>
      <c r="M583">
        <f>IF(D583&lt;$A$15,0,1)</f>
        <v>1</v>
      </c>
    </row>
    <row r="584" spans="4:13" x14ac:dyDescent="0.2">
      <c r="D584">
        <f t="shared" si="29"/>
        <v>561</v>
      </c>
      <c r="E584" s="1">
        <f t="shared" si="31"/>
        <v>246.93188578769983</v>
      </c>
      <c r="F584" s="1">
        <f t="shared" si="30"/>
        <v>-19.394182366295041</v>
      </c>
      <c r="G584" s="1">
        <f t="shared" si="28"/>
        <v>3.7775795379380299E-9</v>
      </c>
      <c r="H584" s="1">
        <f>G584/$G$21</f>
        <v>2.6489693549972403E-10</v>
      </c>
      <c r="I584">
        <f>IF($E$11&lt;=D584, IF(D584&lt;=$A$15,D584-$E$11,$F$11),0)</f>
        <v>300</v>
      </c>
      <c r="J584">
        <f>IF(D584&lt;=$A$15,0,D584-$A$15)</f>
        <v>252</v>
      </c>
      <c r="K584" s="5">
        <f>IF(D584&lt;$E$11,H584,0)</f>
        <v>0</v>
      </c>
      <c r="L584">
        <f>IF(D584&lt;$A$15,$C$11,$C$11*(1-$G$11))</f>
        <v>200</v>
      </c>
      <c r="M584">
        <f>IF(D584&lt;$A$15,0,1)</f>
        <v>1</v>
      </c>
    </row>
    <row r="585" spans="4:13" x14ac:dyDescent="0.2">
      <c r="D585">
        <f t="shared" si="29"/>
        <v>562</v>
      </c>
      <c r="E585" s="1">
        <f t="shared" si="31"/>
        <v>246.85492474656371</v>
      </c>
      <c r="F585" s="1">
        <f t="shared" si="30"/>
        <v>-19.471143407431157</v>
      </c>
      <c r="G585" s="1">
        <f t="shared" si="28"/>
        <v>3.4977588314241462E-9</v>
      </c>
      <c r="H585" s="1">
        <f>G585/$G$21</f>
        <v>2.4527494027752541E-10</v>
      </c>
      <c r="I585">
        <f>IF($E$11&lt;=D585, IF(D585&lt;=$A$15,D585-$E$11,$F$11),0)</f>
        <v>300</v>
      </c>
      <c r="J585">
        <f>IF(D585&lt;=$A$15,0,D585-$A$15)</f>
        <v>253</v>
      </c>
      <c r="K585" s="5">
        <f>IF(D585&lt;$E$11,H585,0)</f>
        <v>0</v>
      </c>
      <c r="L585">
        <f>IF(D585&lt;$A$15,$C$11,$C$11*(1-$G$11))</f>
        <v>200</v>
      </c>
      <c r="M585">
        <f>IF(D585&lt;$A$15,0,1)</f>
        <v>1</v>
      </c>
    </row>
    <row r="586" spans="4:13" x14ac:dyDescent="0.2">
      <c r="D586">
        <f t="shared" si="29"/>
        <v>563</v>
      </c>
      <c r="E586" s="1">
        <f t="shared" si="31"/>
        <v>246.7779637054276</v>
      </c>
      <c r="F586" s="1">
        <f t="shared" si="30"/>
        <v>-19.548104448567273</v>
      </c>
      <c r="G586" s="1">
        <f t="shared" si="28"/>
        <v>3.2386655846520283E-9</v>
      </c>
      <c r="H586" s="1">
        <f>G586/$G$21</f>
        <v>2.2710642618289676E-10</v>
      </c>
      <c r="I586">
        <f>IF($E$11&lt;=D586, IF(D586&lt;=$A$15,D586-$E$11,$F$11),0)</f>
        <v>300</v>
      </c>
      <c r="J586">
        <f>IF(D586&lt;=$A$15,0,D586-$A$15)</f>
        <v>254</v>
      </c>
      <c r="K586" s="5">
        <f>IF(D586&lt;$E$11,H586,0)</f>
        <v>0</v>
      </c>
      <c r="L586">
        <f>IF(D586&lt;$A$15,$C$11,$C$11*(1-$G$11))</f>
        <v>200</v>
      </c>
      <c r="M586">
        <f>IF(D586&lt;$A$15,0,1)</f>
        <v>1</v>
      </c>
    </row>
    <row r="587" spans="4:13" x14ac:dyDescent="0.2">
      <c r="D587">
        <f t="shared" si="29"/>
        <v>564</v>
      </c>
      <c r="E587" s="1">
        <f t="shared" si="31"/>
        <v>246.70100266429148</v>
      </c>
      <c r="F587" s="1">
        <f t="shared" si="30"/>
        <v>-19.625065489703388</v>
      </c>
      <c r="G587" s="1">
        <f t="shared" si="28"/>
        <v>2.9987644302333975E-9</v>
      </c>
      <c r="H587" s="1">
        <f>G587/$G$21</f>
        <v>2.1028372794712928E-10</v>
      </c>
      <c r="I587">
        <f>IF($E$11&lt;=D587, IF(D587&lt;=$A$15,D587-$E$11,$F$11),0)</f>
        <v>300</v>
      </c>
      <c r="J587">
        <f>IF(D587&lt;=$A$15,0,D587-$A$15)</f>
        <v>255</v>
      </c>
      <c r="K587" s="5">
        <f>IF(D587&lt;$E$11,H587,0)</f>
        <v>0</v>
      </c>
      <c r="L587">
        <f>IF(D587&lt;$A$15,$C$11,$C$11*(1-$G$11))</f>
        <v>200</v>
      </c>
      <c r="M587">
        <f>IF(D587&lt;$A$15,0,1)</f>
        <v>1</v>
      </c>
    </row>
    <row r="588" spans="4:13" x14ac:dyDescent="0.2">
      <c r="D588">
        <f t="shared" si="29"/>
        <v>565</v>
      </c>
      <c r="E588" s="1">
        <f t="shared" si="31"/>
        <v>246.62404162315536</v>
      </c>
      <c r="F588" s="1">
        <f t="shared" si="30"/>
        <v>-19.702026530839504</v>
      </c>
      <c r="G588" s="1">
        <f t="shared" si="28"/>
        <v>2.7766337316976253E-9</v>
      </c>
      <c r="H588" s="1">
        <f>G588/$G$21</f>
        <v>1.9470715550660365E-10</v>
      </c>
      <c r="I588">
        <f>IF($E$11&lt;=D588, IF(D588&lt;=$A$15,D588-$E$11,$F$11),0)</f>
        <v>300</v>
      </c>
      <c r="J588">
        <f>IF(D588&lt;=$A$15,0,D588-$A$15)</f>
        <v>256</v>
      </c>
      <c r="K588" s="5">
        <f>IF(D588&lt;$E$11,H588,0)</f>
        <v>0</v>
      </c>
      <c r="L588">
        <f>IF(D588&lt;$A$15,$C$11,$C$11*(1-$G$11))</f>
        <v>200</v>
      </c>
      <c r="M588">
        <f>IF(D588&lt;$A$15,0,1)</f>
        <v>1</v>
      </c>
    </row>
    <row r="589" spans="4:13" x14ac:dyDescent="0.2">
      <c r="D589">
        <f t="shared" si="29"/>
        <v>566</v>
      </c>
      <c r="E589" s="1">
        <f t="shared" si="31"/>
        <v>246.54708058201925</v>
      </c>
      <c r="F589" s="1">
        <f t="shared" si="30"/>
        <v>-19.77898757197562</v>
      </c>
      <c r="G589" s="1">
        <f t="shared" si="28"/>
        <v>2.5709571589793151E-9</v>
      </c>
      <c r="H589" s="1">
        <f>G589/$G$21</f>
        <v>1.8028440324685751E-10</v>
      </c>
      <c r="I589">
        <f>IF($E$11&lt;=D589, IF(D589&lt;=$A$15,D589-$E$11,$F$11),0)</f>
        <v>300</v>
      </c>
      <c r="J589">
        <f>IF(D589&lt;=$A$15,0,D589-$A$15)</f>
        <v>257</v>
      </c>
      <c r="K589" s="5">
        <f>IF(D589&lt;$E$11,H589,0)</f>
        <v>0</v>
      </c>
      <c r="L589">
        <f>IF(D589&lt;$A$15,$C$11,$C$11*(1-$G$11))</f>
        <v>200</v>
      </c>
      <c r="M589">
        <f>IF(D589&lt;$A$15,0,1)</f>
        <v>1</v>
      </c>
    </row>
    <row r="590" spans="4:13" x14ac:dyDescent="0.2">
      <c r="D590">
        <f t="shared" si="29"/>
        <v>567</v>
      </c>
      <c r="E590" s="1">
        <f t="shared" si="31"/>
        <v>246.47011954088313</v>
      </c>
      <c r="F590" s="1">
        <f t="shared" si="30"/>
        <v>-19.855948613111735</v>
      </c>
      <c r="G590" s="1">
        <f t="shared" si="28"/>
        <v>2.3805158879438404E-9</v>
      </c>
      <c r="H590" s="1">
        <f>G590/$G$21</f>
        <v>1.6693000300635166E-10</v>
      </c>
      <c r="I590">
        <f>IF($E$11&lt;=D590, IF(D590&lt;=$A$15,D590-$E$11,$F$11),0)</f>
        <v>300</v>
      </c>
      <c r="J590">
        <f>IF(D590&lt;=$A$15,0,D590-$A$15)</f>
        <v>258</v>
      </c>
      <c r="K590" s="5">
        <f>IF(D590&lt;$E$11,H590,0)</f>
        <v>0</v>
      </c>
      <c r="L590">
        <f>IF(D590&lt;$A$15,$C$11,$C$11*(1-$G$11))</f>
        <v>200</v>
      </c>
      <c r="M590">
        <f>IF(D590&lt;$A$15,0,1)</f>
        <v>1</v>
      </c>
    </row>
    <row r="591" spans="4:13" x14ac:dyDescent="0.2">
      <c r="D591">
        <f t="shared" si="29"/>
        <v>568</v>
      </c>
      <c r="E591" s="1">
        <f t="shared" si="31"/>
        <v>246.39315849974702</v>
      </c>
      <c r="F591" s="1">
        <f t="shared" si="30"/>
        <v>-19.932909654247851</v>
      </c>
      <c r="G591" s="1">
        <f t="shared" si="28"/>
        <v>2.204181377725806E-9</v>
      </c>
      <c r="H591" s="1">
        <f>G591/$G$21</f>
        <v>1.5456481759847571E-10</v>
      </c>
      <c r="I591">
        <f>IF($E$11&lt;=D591, IF(D591&lt;=$A$15,D591-$E$11,$F$11),0)</f>
        <v>300</v>
      </c>
      <c r="J591">
        <f>IF(D591&lt;=$A$15,0,D591-$A$15)</f>
        <v>259</v>
      </c>
      <c r="K591" s="5">
        <f>IF(D591&lt;$E$11,H591,0)</f>
        <v>0</v>
      </c>
      <c r="L591">
        <f>IF(D591&lt;$A$15,$C$11,$C$11*(1-$G$11))</f>
        <v>200</v>
      </c>
      <c r="M591">
        <f>IF(D591&lt;$A$15,0,1)</f>
        <v>1</v>
      </c>
    </row>
    <row r="592" spans="4:13" x14ac:dyDescent="0.2">
      <c r="D592">
        <f t="shared" si="29"/>
        <v>569</v>
      </c>
      <c r="E592" s="1">
        <f t="shared" si="31"/>
        <v>246.3161974586109</v>
      </c>
      <c r="F592" s="1">
        <f t="shared" si="30"/>
        <v>-20.009870695383967</v>
      </c>
      <c r="G592" s="1">
        <f t="shared" si="28"/>
        <v>2.040908683079476E-9</v>
      </c>
      <c r="H592" s="1">
        <f>G592/$G$21</f>
        <v>1.4311557185044228E-10</v>
      </c>
      <c r="I592">
        <f>IF($E$11&lt;=D592, IF(D592&lt;=$A$15,D592-$E$11,$F$11),0)</f>
        <v>300</v>
      </c>
      <c r="J592">
        <f>IF(D592&lt;=$A$15,0,D592-$A$15)</f>
        <v>260</v>
      </c>
      <c r="K592" s="5">
        <f>IF(D592&lt;$E$11,H592,0)</f>
        <v>0</v>
      </c>
      <c r="L592">
        <f>IF(D592&lt;$A$15,$C$11,$C$11*(1-$G$11))</f>
        <v>200</v>
      </c>
      <c r="M592">
        <f>IF(D592&lt;$A$15,0,1)</f>
        <v>1</v>
      </c>
    </row>
    <row r="593" spans="4:13" x14ac:dyDescent="0.2">
      <c r="D593">
        <f t="shared" si="29"/>
        <v>570</v>
      </c>
      <c r="E593" s="1">
        <f t="shared" si="31"/>
        <v>246.23923641747479</v>
      </c>
      <c r="F593" s="1">
        <f t="shared" si="30"/>
        <v>-20.086831736520082</v>
      </c>
      <c r="G593" s="1">
        <f t="shared" si="28"/>
        <v>1.8897302621106495E-9</v>
      </c>
      <c r="H593" s="1">
        <f>G593/$G$21</f>
        <v>1.3251441838004081E-10</v>
      </c>
      <c r="I593">
        <f>IF($E$11&lt;=D593, IF(D593&lt;=$A$15,D593-$E$11,$F$11),0)</f>
        <v>300</v>
      </c>
      <c r="J593">
        <f>IF(D593&lt;=$A$15,0,D593-$A$15)</f>
        <v>261</v>
      </c>
      <c r="K593" s="5">
        <f>IF(D593&lt;$E$11,H593,0)</f>
        <v>0</v>
      </c>
      <c r="L593">
        <f>IF(D593&lt;$A$15,$C$11,$C$11*(1-$G$11))</f>
        <v>200</v>
      </c>
      <c r="M593">
        <f>IF(D593&lt;$A$15,0,1)</f>
        <v>1</v>
      </c>
    </row>
    <row r="594" spans="4:13" x14ac:dyDescent="0.2">
      <c r="D594">
        <f t="shared" si="29"/>
        <v>571</v>
      </c>
      <c r="E594" s="1">
        <f t="shared" si="31"/>
        <v>246.16227537633867</v>
      </c>
      <c r="F594" s="1">
        <f t="shared" si="30"/>
        <v>-20.163792777656198</v>
      </c>
      <c r="G594" s="1">
        <f t="shared" si="28"/>
        <v>1.7497502426950681E-9</v>
      </c>
      <c r="H594" s="1">
        <f>G594/$G$21</f>
        <v>1.2269853553707639E-10</v>
      </c>
      <c r="I594">
        <f>IF($E$11&lt;=D594, IF(D594&lt;=$A$15,D594-$E$11,$F$11),0)</f>
        <v>300</v>
      </c>
      <c r="J594">
        <f>IF(D594&lt;=$A$15,0,D594-$A$15)</f>
        <v>262</v>
      </c>
      <c r="K594" s="5">
        <f>IF(D594&lt;$E$11,H594,0)</f>
        <v>0</v>
      </c>
      <c r="L594">
        <f>IF(D594&lt;$A$15,$C$11,$C$11*(1-$G$11))</f>
        <v>200</v>
      </c>
      <c r="M594">
        <f>IF(D594&lt;$A$15,0,1)</f>
        <v>1</v>
      </c>
    </row>
    <row r="595" spans="4:13" x14ac:dyDescent="0.2">
      <c r="D595">
        <f t="shared" si="29"/>
        <v>572</v>
      </c>
      <c r="E595" s="1">
        <f t="shared" si="31"/>
        <v>246.08531433520255</v>
      </c>
      <c r="F595" s="1">
        <f t="shared" si="30"/>
        <v>-20.240753818792314</v>
      </c>
      <c r="G595" s="1">
        <f t="shared" si="28"/>
        <v>1.6201391136065651E-9</v>
      </c>
      <c r="H595" s="1">
        <f>G595/$G$21</f>
        <v>1.1360975512692402E-10</v>
      </c>
      <c r="I595">
        <f>IF($E$11&lt;=D595, IF(D595&lt;=$A$15,D595-$E$11,$F$11),0)</f>
        <v>300</v>
      </c>
      <c r="J595">
        <f>IF(D595&lt;=$A$15,0,D595-$A$15)</f>
        <v>263</v>
      </c>
      <c r="K595" s="5">
        <f>IF(D595&lt;$E$11,H595,0)</f>
        <v>0</v>
      </c>
      <c r="L595">
        <f>IF(D595&lt;$A$15,$C$11,$C$11*(1-$G$11))</f>
        <v>200</v>
      </c>
      <c r="M595">
        <f>IF(D595&lt;$A$15,0,1)</f>
        <v>1</v>
      </c>
    </row>
    <row r="596" spans="4:13" x14ac:dyDescent="0.2">
      <c r="D596">
        <f t="shared" si="29"/>
        <v>573</v>
      </c>
      <c r="E596" s="1">
        <f t="shared" si="31"/>
        <v>246.00835329406644</v>
      </c>
      <c r="F596" s="1">
        <f t="shared" si="30"/>
        <v>-20.317714859928429</v>
      </c>
      <c r="G596" s="1">
        <f t="shared" si="28"/>
        <v>1.5001288088949865E-9</v>
      </c>
      <c r="H596" s="1">
        <f>G596/$G$21</f>
        <v>1.0519421771011615E-10</v>
      </c>
      <c r="I596">
        <f>IF($E$11&lt;=D596, IF(D596&lt;=$A$15,D596-$E$11,$F$11),0)</f>
        <v>300</v>
      </c>
      <c r="J596">
        <f>IF(D596&lt;=$A$15,0,D596-$A$15)</f>
        <v>264</v>
      </c>
      <c r="K596" s="5">
        <f>IF(D596&lt;$E$11,H596,0)</f>
        <v>0</v>
      </c>
      <c r="L596">
        <f>IF(D596&lt;$A$15,$C$11,$C$11*(1-$G$11))</f>
        <v>200</v>
      </c>
      <c r="M596">
        <f>IF(D596&lt;$A$15,0,1)</f>
        <v>1</v>
      </c>
    </row>
    <row r="597" spans="4:13" x14ac:dyDescent="0.2">
      <c r="D597">
        <f t="shared" si="29"/>
        <v>574</v>
      </c>
      <c r="E597" s="1">
        <f t="shared" si="31"/>
        <v>245.93139225293032</v>
      </c>
      <c r="F597" s="1">
        <f t="shared" si="30"/>
        <v>-20.394675901064545</v>
      </c>
      <c r="G597" s="1">
        <f t="shared" si="28"/>
        <v>1.3890081563842643E-9</v>
      </c>
      <c r="H597" s="1">
        <f>G597/$G$21</f>
        <v>9.7402053435293972E-11</v>
      </c>
      <c r="I597">
        <f>IF($E$11&lt;=D597, IF(D597&lt;=$A$15,D597-$E$11,$F$11),0)</f>
        <v>300</v>
      </c>
      <c r="J597">
        <f>IF(D597&lt;=$A$15,0,D597-$A$15)</f>
        <v>265</v>
      </c>
      <c r="K597" s="5">
        <f>IF(D597&lt;$E$11,H597,0)</f>
        <v>0</v>
      </c>
      <c r="L597">
        <f>IF(D597&lt;$A$15,$C$11,$C$11*(1-$G$11))</f>
        <v>200</v>
      </c>
      <c r="M597">
        <f>IF(D597&lt;$A$15,0,1)</f>
        <v>1</v>
      </c>
    </row>
    <row r="598" spans="4:13" x14ac:dyDescent="0.2">
      <c r="D598">
        <f t="shared" si="29"/>
        <v>575</v>
      </c>
      <c r="E598" s="1">
        <f t="shared" si="31"/>
        <v>245.85443121179421</v>
      </c>
      <c r="F598" s="1">
        <f t="shared" si="30"/>
        <v>-20.471636942200661</v>
      </c>
      <c r="G598" s="1">
        <f t="shared" si="28"/>
        <v>1.2861186633187797E-9</v>
      </c>
      <c r="H598" s="1">
        <f>G598/$G$21</f>
        <v>9.0187086514162233E-11</v>
      </c>
      <c r="I598">
        <f>IF($E$11&lt;=D598, IF(D598&lt;=$A$15,D598-$E$11,$F$11),0)</f>
        <v>300</v>
      </c>
      <c r="J598">
        <f>IF(D598&lt;=$A$15,0,D598-$A$15)</f>
        <v>266</v>
      </c>
      <c r="K598" s="5">
        <f>IF(D598&lt;$E$11,H598,0)</f>
        <v>0</v>
      </c>
      <c r="L598">
        <f>IF(D598&lt;$A$15,$C$11,$C$11*(1-$G$11))</f>
        <v>200</v>
      </c>
      <c r="M598">
        <f>IF(D598&lt;$A$15,0,1)</f>
        <v>1</v>
      </c>
    </row>
    <row r="599" spans="4:13" x14ac:dyDescent="0.2">
      <c r="D599">
        <f t="shared" si="29"/>
        <v>576</v>
      </c>
      <c r="E599" s="1">
        <f t="shared" si="31"/>
        <v>245.77747017065809</v>
      </c>
      <c r="F599" s="1">
        <f t="shared" si="30"/>
        <v>-20.548597983336776</v>
      </c>
      <c r="G599" s="1">
        <f t="shared" si="28"/>
        <v>1.1908506141840703E-9</v>
      </c>
      <c r="H599" s="1">
        <f>G599/$G$21</f>
        <v>8.35065615871883E-11</v>
      </c>
      <c r="I599">
        <f>IF($E$11&lt;=D599, IF(D599&lt;=$A$15,D599-$E$11,$F$11),0)</f>
        <v>300</v>
      </c>
      <c r="J599">
        <f>IF(D599&lt;=$A$15,0,D599-$A$15)</f>
        <v>267</v>
      </c>
      <c r="K599" s="5">
        <f>IF(D599&lt;$E$11,H599,0)</f>
        <v>0</v>
      </c>
      <c r="L599">
        <f>IF(D599&lt;$A$15,$C$11,$C$11*(1-$G$11))</f>
        <v>200</v>
      </c>
      <c r="M599">
        <f>IF(D599&lt;$A$15,0,1)</f>
        <v>1</v>
      </c>
    </row>
    <row r="600" spans="4:13" x14ac:dyDescent="0.2">
      <c r="D600">
        <f t="shared" si="29"/>
        <v>577</v>
      </c>
      <c r="E600" s="1">
        <f t="shared" si="31"/>
        <v>245.70050912952198</v>
      </c>
      <c r="F600" s="1">
        <f t="shared" si="30"/>
        <v>-20.625559024472892</v>
      </c>
      <c r="G600" s="1">
        <f t="shared" ref="G600:G663" si="32">EXP(F600)</f>
        <v>1.1026394575778567E-9</v>
      </c>
      <c r="H600" s="1">
        <f>G600/$G$21</f>
        <v>7.7320890358508654E-11</v>
      </c>
      <c r="I600">
        <f>IF($E$11&lt;=D600, IF(D600&lt;=$A$15,D600-$E$11,$F$11),0)</f>
        <v>300</v>
      </c>
      <c r="J600">
        <f>IF(D600&lt;=$A$15,0,D600-$A$15)</f>
        <v>268</v>
      </c>
      <c r="K600" s="5">
        <f>IF(D600&lt;$E$11,H600,0)</f>
        <v>0</v>
      </c>
      <c r="L600">
        <f>IF(D600&lt;$A$15,$C$11,$C$11*(1-$G$11))</f>
        <v>200</v>
      </c>
      <c r="M600">
        <f>IF(D600&lt;$A$15,0,1)</f>
        <v>1</v>
      </c>
    </row>
    <row r="601" spans="4:13" x14ac:dyDescent="0.2">
      <c r="D601">
        <f t="shared" ref="D601:D664" si="33">1+D600</f>
        <v>578</v>
      </c>
      <c r="E601" s="1">
        <f t="shared" si="31"/>
        <v>245.62354808838586</v>
      </c>
      <c r="F601" s="1">
        <f t="shared" ref="F601:F664" si="34">E601-$E$21</f>
        <v>-20.702520065609008</v>
      </c>
      <c r="G601" s="1">
        <f t="shared" si="32"/>
        <v>1.0209624607202507E-9</v>
      </c>
      <c r="H601" s="1">
        <f>G601/$G$21</f>
        <v>7.159341699862004E-11</v>
      </c>
      <c r="I601">
        <f>IF($E$11&lt;=D601, IF(D601&lt;=$A$15,D601-$E$11,$F$11),0)</f>
        <v>300</v>
      </c>
      <c r="J601">
        <f>IF(D601&lt;=$A$15,0,D601-$A$15)</f>
        <v>269</v>
      </c>
      <c r="K601" s="5">
        <f>IF(D601&lt;$E$11,H601,0)</f>
        <v>0</v>
      </c>
      <c r="L601">
        <f>IF(D601&lt;$A$15,$C$11,$C$11*(1-$G$11))</f>
        <v>200</v>
      </c>
      <c r="M601">
        <f>IF(D601&lt;$A$15,0,1)</f>
        <v>1</v>
      </c>
    </row>
    <row r="602" spans="4:13" x14ac:dyDescent="0.2">
      <c r="D602">
        <f t="shared" si="33"/>
        <v>579</v>
      </c>
      <c r="E602" s="1">
        <f t="shared" si="31"/>
        <v>245.54658704724974</v>
      </c>
      <c r="F602" s="1">
        <f t="shared" si="34"/>
        <v>-20.779481106745123</v>
      </c>
      <c r="G602" s="1">
        <f t="shared" si="32"/>
        <v>9.4533561177802188E-10</v>
      </c>
      <c r="H602" s="1">
        <f>G602/$G$21</f>
        <v>6.6290200924649033E-11</v>
      </c>
      <c r="I602">
        <f>IF($E$11&lt;=D602, IF(D602&lt;=$A$15,D602-$E$11,$F$11),0)</f>
        <v>300</v>
      </c>
      <c r="J602">
        <f>IF(D602&lt;=$A$15,0,D602-$A$15)</f>
        <v>270</v>
      </c>
      <c r="K602" s="5">
        <f>IF(D602&lt;$E$11,H602,0)</f>
        <v>0</v>
      </c>
      <c r="L602">
        <f>IF(D602&lt;$A$15,$C$11,$C$11*(1-$G$11))</f>
        <v>200</v>
      </c>
      <c r="M602">
        <f>IF(D602&lt;$A$15,0,1)</f>
        <v>1</v>
      </c>
    </row>
    <row r="603" spans="4:13" x14ac:dyDescent="0.2">
      <c r="D603">
        <f t="shared" si="33"/>
        <v>580</v>
      </c>
      <c r="E603" s="1">
        <f t="shared" si="31"/>
        <v>245.46962600611363</v>
      </c>
      <c r="F603" s="1">
        <f t="shared" si="34"/>
        <v>-20.856442147881239</v>
      </c>
      <c r="G603" s="1">
        <f t="shared" si="32"/>
        <v>8.7531075164632752E-10</v>
      </c>
      <c r="H603" s="1">
        <f>G603/$G$21</f>
        <v>6.1379815670972092E-11</v>
      </c>
      <c r="I603">
        <f>IF($E$11&lt;=D603, IF(D603&lt;=$A$15,D603-$E$11,$F$11),0)</f>
        <v>300</v>
      </c>
      <c r="J603">
        <f>IF(D603&lt;=$A$15,0,D603-$A$15)</f>
        <v>271</v>
      </c>
      <c r="K603" s="5">
        <f>IF(D603&lt;$E$11,H603,0)</f>
        <v>0</v>
      </c>
      <c r="L603">
        <f>IF(D603&lt;$A$15,$C$11,$C$11*(1-$G$11))</f>
        <v>200</v>
      </c>
      <c r="M603">
        <f>IF(D603&lt;$A$15,0,1)</f>
        <v>1</v>
      </c>
    </row>
    <row r="604" spans="4:13" x14ac:dyDescent="0.2">
      <c r="D604">
        <f t="shared" si="33"/>
        <v>581</v>
      </c>
      <c r="E604" s="1">
        <f t="shared" si="31"/>
        <v>245.39266496497751</v>
      </c>
      <c r="F604" s="1">
        <f t="shared" si="34"/>
        <v>-20.933403189017355</v>
      </c>
      <c r="G604" s="1">
        <f t="shared" si="32"/>
        <v>8.1047291819105431E-10</v>
      </c>
      <c r="H604" s="1">
        <f>G604/$G$21</f>
        <v>5.6833162658308216E-11</v>
      </c>
      <c r="I604">
        <f>IF($E$11&lt;=D604, IF(D604&lt;=$A$15,D604-$E$11,$F$11),0)</f>
        <v>300</v>
      </c>
      <c r="J604">
        <f>IF(D604&lt;=$A$15,0,D604-$A$15)</f>
        <v>272</v>
      </c>
      <c r="K604" s="5">
        <f>IF(D604&lt;$E$11,H604,0)</f>
        <v>0</v>
      </c>
      <c r="L604">
        <f>IF(D604&lt;$A$15,$C$11,$C$11*(1-$G$11))</f>
        <v>200</v>
      </c>
      <c r="M604">
        <f>IF(D604&lt;$A$15,0,1)</f>
        <v>1</v>
      </c>
    </row>
    <row r="605" spans="4:13" x14ac:dyDescent="0.2">
      <c r="D605">
        <f t="shared" si="33"/>
        <v>582</v>
      </c>
      <c r="E605" s="1">
        <f t="shared" si="31"/>
        <v>245.3157039238414</v>
      </c>
      <c r="F605" s="1">
        <f t="shared" si="34"/>
        <v>-21.010364230153471</v>
      </c>
      <c r="G605" s="1">
        <f t="shared" si="32"/>
        <v>7.5043788721394863E-10</v>
      </c>
      <c r="H605" s="1">
        <f>G605/$G$21</f>
        <v>5.2623298757693453E-11</v>
      </c>
      <c r="I605">
        <f>IF($E$11&lt;=D605, IF(D605&lt;=$A$15,D605-$E$11,$F$11),0)</f>
        <v>300</v>
      </c>
      <c r="J605">
        <f>IF(D605&lt;=$A$15,0,D605-$A$15)</f>
        <v>273</v>
      </c>
      <c r="K605" s="5">
        <f>IF(D605&lt;$E$11,H605,0)</f>
        <v>0</v>
      </c>
      <c r="L605">
        <f>IF(D605&lt;$A$15,$C$11,$C$11*(1-$G$11))</f>
        <v>200</v>
      </c>
      <c r="M605">
        <f>IF(D605&lt;$A$15,0,1)</f>
        <v>1</v>
      </c>
    </row>
    <row r="606" spans="4:13" x14ac:dyDescent="0.2">
      <c r="D606">
        <f t="shared" si="33"/>
        <v>583</v>
      </c>
      <c r="E606" s="1">
        <f t="shared" si="31"/>
        <v>245.23874288270528</v>
      </c>
      <c r="F606" s="1">
        <f t="shared" si="34"/>
        <v>-21.087325271289586</v>
      </c>
      <c r="G606" s="1">
        <f t="shared" si="32"/>
        <v>6.9484989556847975E-10</v>
      </c>
      <c r="H606" s="1">
        <f>G606/$G$21</f>
        <v>4.8725276627494556E-11</v>
      </c>
      <c r="I606">
        <f>IF($E$11&lt;=D606, IF(D606&lt;=$A$15,D606-$E$11,$F$11),0)</f>
        <v>300</v>
      </c>
      <c r="J606">
        <f>IF(D606&lt;=$A$15,0,D606-$A$15)</f>
        <v>274</v>
      </c>
      <c r="K606" s="5">
        <f>IF(D606&lt;$E$11,H606,0)</f>
        <v>0</v>
      </c>
      <c r="L606">
        <f>IF(D606&lt;$A$15,$C$11,$C$11*(1-$G$11))</f>
        <v>200</v>
      </c>
      <c r="M606">
        <f>IF(D606&lt;$A$15,0,1)</f>
        <v>1</v>
      </c>
    </row>
    <row r="607" spans="4:13" x14ac:dyDescent="0.2">
      <c r="D607">
        <f t="shared" si="33"/>
        <v>584</v>
      </c>
      <c r="E607" s="1">
        <f t="shared" si="31"/>
        <v>245.16178184156917</v>
      </c>
      <c r="F607" s="1">
        <f t="shared" si="34"/>
        <v>-21.164286312425702</v>
      </c>
      <c r="G607" s="1">
        <f t="shared" si="32"/>
        <v>6.4337953293378565E-10</v>
      </c>
      <c r="H607" s="1">
        <f>G607/$G$21</f>
        <v>4.511599687731034E-11</v>
      </c>
      <c r="I607">
        <f>IF($E$11&lt;=D607, IF(D607&lt;=$A$15,D607-$E$11,$F$11),0)</f>
        <v>300</v>
      </c>
      <c r="J607">
        <f>IF(D607&lt;=$A$15,0,D607-$A$15)</f>
        <v>275</v>
      </c>
      <c r="K607" s="5">
        <f>IF(D607&lt;$E$11,H607,0)</f>
        <v>0</v>
      </c>
      <c r="L607">
        <f>IF(D607&lt;$A$15,$C$11,$C$11*(1-$G$11))</f>
        <v>200</v>
      </c>
      <c r="M607">
        <f>IF(D607&lt;$A$15,0,1)</f>
        <v>1</v>
      </c>
    </row>
    <row r="608" spans="4:13" x14ac:dyDescent="0.2">
      <c r="D608">
        <f t="shared" si="33"/>
        <v>585</v>
      </c>
      <c r="E608" s="1">
        <f t="shared" si="31"/>
        <v>245.08482080043305</v>
      </c>
      <c r="F608" s="1">
        <f t="shared" si="34"/>
        <v>-21.241247353561818</v>
      </c>
      <c r="G608" s="1">
        <f t="shared" si="32"/>
        <v>5.9572178975351279E-10</v>
      </c>
      <c r="H608" s="1">
        <f>G608/$G$21</f>
        <v>4.1774071182695291E-11</v>
      </c>
      <c r="I608">
        <f>IF($E$11&lt;=D608, IF(D608&lt;=$A$15,D608-$E$11,$F$11),0)</f>
        <v>300</v>
      </c>
      <c r="J608">
        <f>IF(D608&lt;=$A$15,0,D608-$A$15)</f>
        <v>276</v>
      </c>
      <c r="K608" s="5">
        <f>IF(D608&lt;$E$11,H608,0)</f>
        <v>0</v>
      </c>
      <c r="L608">
        <f>IF(D608&lt;$A$15,$C$11,$C$11*(1-$G$11))</f>
        <v>200</v>
      </c>
      <c r="M608">
        <f>IF(D608&lt;$A$15,0,1)</f>
        <v>1</v>
      </c>
    </row>
    <row r="609" spans="4:13" x14ac:dyDescent="0.2">
      <c r="D609">
        <f t="shared" si="33"/>
        <v>586</v>
      </c>
      <c r="E609" s="1">
        <f t="shared" si="31"/>
        <v>245.00785975929693</v>
      </c>
      <c r="F609" s="1">
        <f t="shared" si="34"/>
        <v>-21.318208394697933</v>
      </c>
      <c r="G609" s="1">
        <f t="shared" si="32"/>
        <v>5.5159424977177804E-10</v>
      </c>
      <c r="H609" s="1">
        <f>G609/$G$21</f>
        <v>3.8679695539533163E-11</v>
      </c>
      <c r="I609">
        <f>IF($E$11&lt;=D609, IF(D609&lt;=$A$15,D609-$E$11,$F$11),0)</f>
        <v>300</v>
      </c>
      <c r="J609">
        <f>IF(D609&lt;=$A$15,0,D609-$A$15)</f>
        <v>277</v>
      </c>
      <c r="K609" s="5">
        <f>IF(D609&lt;$E$11,H609,0)</f>
        <v>0</v>
      </c>
      <c r="L609">
        <f>IF(D609&lt;$A$15,$C$11,$C$11*(1-$G$11))</f>
        <v>200</v>
      </c>
      <c r="M609">
        <f>IF(D609&lt;$A$15,0,1)</f>
        <v>1</v>
      </c>
    </row>
    <row r="610" spans="4:13" x14ac:dyDescent="0.2">
      <c r="D610">
        <f t="shared" si="33"/>
        <v>587</v>
      </c>
      <c r="E610" s="1">
        <f t="shared" si="31"/>
        <v>244.93089871816082</v>
      </c>
      <c r="F610" s="1">
        <f t="shared" si="34"/>
        <v>-21.395169435834049</v>
      </c>
      <c r="G610" s="1">
        <f t="shared" si="32"/>
        <v>5.1073541645535654E-10</v>
      </c>
      <c r="H610" s="1">
        <f>G610/$G$21</f>
        <v>3.5814532906975607E-11</v>
      </c>
      <c r="I610">
        <f>IF($E$11&lt;=D610, IF(D610&lt;=$A$15,D610-$E$11,$F$11),0)</f>
        <v>300</v>
      </c>
      <c r="J610">
        <f>IF(D610&lt;=$A$15,0,D610-$A$15)</f>
        <v>278</v>
      </c>
      <c r="K610" s="5">
        <f>IF(D610&lt;$E$11,H610,0)</f>
        <v>0</v>
      </c>
      <c r="L610">
        <f>IF(D610&lt;$A$15,$C$11,$C$11*(1-$G$11))</f>
        <v>200</v>
      </c>
      <c r="M610">
        <f>IF(D610&lt;$A$15,0,1)</f>
        <v>1</v>
      </c>
    </row>
    <row r="611" spans="4:13" x14ac:dyDescent="0.2">
      <c r="D611">
        <f t="shared" si="33"/>
        <v>588</v>
      </c>
      <c r="E611" s="1">
        <f t="shared" si="31"/>
        <v>244.8539376770247</v>
      </c>
      <c r="F611" s="1">
        <f t="shared" si="34"/>
        <v>-21.472130476970165</v>
      </c>
      <c r="G611" s="1">
        <f t="shared" si="32"/>
        <v>4.7290316338459539E-10</v>
      </c>
      <c r="H611" s="1">
        <f>G611/$G$21</f>
        <v>3.3161604543496353E-11</v>
      </c>
      <c r="I611">
        <f>IF($E$11&lt;=D611, IF(D611&lt;=$A$15,D611-$E$11,$F$11),0)</f>
        <v>300</v>
      </c>
      <c r="J611">
        <f>IF(D611&lt;=$A$15,0,D611-$A$15)</f>
        <v>279</v>
      </c>
      <c r="K611" s="5">
        <f>IF(D611&lt;$E$11,H611,0)</f>
        <v>0</v>
      </c>
      <c r="L611">
        <f>IF(D611&lt;$A$15,$C$11,$C$11*(1-$G$11))</f>
        <v>200</v>
      </c>
      <c r="M611">
        <f>IF(D611&lt;$A$15,0,1)</f>
        <v>1</v>
      </c>
    </row>
    <row r="612" spans="4:13" x14ac:dyDescent="0.2">
      <c r="D612">
        <f t="shared" si="33"/>
        <v>589</v>
      </c>
      <c r="E612" s="1">
        <f t="shared" si="31"/>
        <v>244.77697663588859</v>
      </c>
      <c r="F612" s="1">
        <f t="shared" si="34"/>
        <v>-21.54909151810628</v>
      </c>
      <c r="G612" s="1">
        <f t="shared" si="32"/>
        <v>4.3787329943018643E-10</v>
      </c>
      <c r="H612" s="1">
        <f>G612/$G$21</f>
        <v>3.0705189392126641E-11</v>
      </c>
      <c r="I612">
        <f>IF($E$11&lt;=D612, IF(D612&lt;=$A$15,D612-$E$11,$F$11),0)</f>
        <v>300</v>
      </c>
      <c r="J612">
        <f>IF(D612&lt;=$A$15,0,D612-$A$15)</f>
        <v>280</v>
      </c>
      <c r="K612" s="5">
        <f>IF(D612&lt;$E$11,H612,0)</f>
        <v>0</v>
      </c>
      <c r="L612">
        <f>IF(D612&lt;$A$15,$C$11,$C$11*(1-$G$11))</f>
        <v>200</v>
      </c>
      <c r="M612">
        <f>IF(D612&lt;$A$15,0,1)</f>
        <v>1</v>
      </c>
    </row>
    <row r="613" spans="4:13" x14ac:dyDescent="0.2">
      <c r="D613">
        <f t="shared" si="33"/>
        <v>590</v>
      </c>
      <c r="E613" s="1">
        <f t="shared" si="31"/>
        <v>244.70001559475247</v>
      </c>
      <c r="F613" s="1">
        <f t="shared" si="34"/>
        <v>-21.626052559242396</v>
      </c>
      <c r="G613" s="1">
        <f t="shared" si="32"/>
        <v>4.0543824021314068E-10</v>
      </c>
      <c r="H613" s="1">
        <f>G613/$G$21</f>
        <v>2.8430730918636135E-11</v>
      </c>
      <c r="I613">
        <f>IF($E$11&lt;=D613, IF(D613&lt;=$A$15,D613-$E$11,$F$11),0)</f>
        <v>300</v>
      </c>
      <c r="J613">
        <f>IF(D613&lt;=$A$15,0,D613-$A$15)</f>
        <v>281</v>
      </c>
      <c r="K613" s="5">
        <f>IF(D613&lt;$E$11,H613,0)</f>
        <v>0</v>
      </c>
      <c r="L613">
        <f>IF(D613&lt;$A$15,$C$11,$C$11*(1-$G$11))</f>
        <v>200</v>
      </c>
      <c r="M613">
        <f>IF(D613&lt;$A$15,0,1)</f>
        <v>1</v>
      </c>
    </row>
    <row r="614" spans="4:13" x14ac:dyDescent="0.2">
      <c r="D614">
        <f t="shared" si="33"/>
        <v>591</v>
      </c>
      <c r="E614" s="1">
        <f t="shared" si="31"/>
        <v>244.62305455361636</v>
      </c>
      <c r="F614" s="1">
        <f t="shared" si="34"/>
        <v>-21.703013600378512</v>
      </c>
      <c r="G614" s="1">
        <f t="shared" si="32"/>
        <v>3.7540577797513503E-10</v>
      </c>
      <c r="H614" s="1">
        <f>G614/$G$21</f>
        <v>2.632475085058935E-11</v>
      </c>
      <c r="I614">
        <f>IF($E$11&lt;=D614, IF(D614&lt;=$A$15,D614-$E$11,$F$11),0)</f>
        <v>300</v>
      </c>
      <c r="J614">
        <f>IF(D614&lt;=$A$15,0,D614-$A$15)</f>
        <v>282</v>
      </c>
      <c r="K614" s="5">
        <f>IF(D614&lt;$E$11,H614,0)</f>
        <v>0</v>
      </c>
      <c r="L614">
        <f>IF(D614&lt;$A$15,$C$11,$C$11*(1-$G$11))</f>
        <v>200</v>
      </c>
      <c r="M614">
        <f>IF(D614&lt;$A$15,0,1)</f>
        <v>1</v>
      </c>
    </row>
    <row r="615" spans="4:13" x14ac:dyDescent="0.2">
      <c r="D615">
        <f t="shared" si="33"/>
        <v>592</v>
      </c>
      <c r="E615" s="1">
        <f t="shared" si="31"/>
        <v>244.54609351248024</v>
      </c>
      <c r="F615" s="1">
        <f t="shared" si="34"/>
        <v>-21.779974641514627</v>
      </c>
      <c r="G615" s="1">
        <f t="shared" si="32"/>
        <v>3.4759794256957386E-10</v>
      </c>
      <c r="H615" s="1">
        <f>G615/$G$21</f>
        <v>2.4374769306101555E-11</v>
      </c>
      <c r="I615">
        <f>IF($E$11&lt;=D615, IF(D615&lt;=$A$15,D615-$E$11,$F$11),0)</f>
        <v>300</v>
      </c>
      <c r="J615">
        <f>IF(D615&lt;=$A$15,0,D615-$A$15)</f>
        <v>283</v>
      </c>
      <c r="K615" s="5">
        <f>IF(D615&lt;$E$11,H615,0)</f>
        <v>0</v>
      </c>
      <c r="L615">
        <f>IF(D615&lt;$A$15,$C$11,$C$11*(1-$G$11))</f>
        <v>200</v>
      </c>
      <c r="M615">
        <f>IF(D615&lt;$A$15,0,1)</f>
        <v>1</v>
      </c>
    </row>
    <row r="616" spans="4:13" x14ac:dyDescent="0.2">
      <c r="D616">
        <f t="shared" si="33"/>
        <v>593</v>
      </c>
      <c r="E616" s="1">
        <f t="shared" si="31"/>
        <v>244.46913247134412</v>
      </c>
      <c r="F616" s="1">
        <f t="shared" si="34"/>
        <v>-21.856935682650743</v>
      </c>
      <c r="G616" s="1">
        <f t="shared" si="32"/>
        <v>3.2184994682368359E-10</v>
      </c>
      <c r="H616" s="1">
        <f>G616/$G$21</f>
        <v>2.2569230838983211E-11</v>
      </c>
      <c r="I616">
        <f>IF($E$11&lt;=D616, IF(D616&lt;=$A$15,D616-$E$11,$F$11),0)</f>
        <v>300</v>
      </c>
      <c r="J616">
        <f>IF(D616&lt;=$A$15,0,D616-$A$15)</f>
        <v>284</v>
      </c>
      <c r="K616" s="5">
        <f>IF(D616&lt;$E$11,H616,0)</f>
        <v>0</v>
      </c>
      <c r="L616">
        <f>IF(D616&lt;$A$15,$C$11,$C$11*(1-$G$11))</f>
        <v>200</v>
      </c>
      <c r="M616">
        <f>IF(D616&lt;$A$15,0,1)</f>
        <v>1</v>
      </c>
    </row>
    <row r="617" spans="4:13" x14ac:dyDescent="0.2">
      <c r="D617">
        <f t="shared" si="33"/>
        <v>594</v>
      </c>
      <c r="E617" s="1">
        <f t="shared" si="31"/>
        <v>244.39217143020801</v>
      </c>
      <c r="F617" s="1">
        <f t="shared" si="34"/>
        <v>-21.933896723786859</v>
      </c>
      <c r="G617" s="1">
        <f t="shared" si="32"/>
        <v>2.9800921002193299E-10</v>
      </c>
      <c r="H617" s="1">
        <f>G617/$G$21</f>
        <v>2.0897435962021753E-11</v>
      </c>
      <c r="I617">
        <f>IF($E$11&lt;=D617, IF(D617&lt;=$A$15,D617-$E$11,$F$11),0)</f>
        <v>300</v>
      </c>
      <c r="J617">
        <f>IF(D617&lt;=$A$15,0,D617-$A$15)</f>
        <v>285</v>
      </c>
      <c r="K617" s="5">
        <f>IF(D617&lt;$E$11,H617,0)</f>
        <v>0</v>
      </c>
      <c r="L617">
        <f>IF(D617&lt;$A$15,$C$11,$C$11*(1-$G$11))</f>
        <v>200</v>
      </c>
      <c r="M617">
        <f>IF(D617&lt;$A$15,0,1)</f>
        <v>1</v>
      </c>
    </row>
    <row r="618" spans="4:13" x14ac:dyDescent="0.2">
      <c r="D618">
        <f t="shared" si="33"/>
        <v>595</v>
      </c>
      <c r="E618" s="1">
        <f t="shared" si="31"/>
        <v>244.31521038907189</v>
      </c>
      <c r="F618" s="1">
        <f t="shared" si="34"/>
        <v>-22.010857764922974</v>
      </c>
      <c r="G618" s="1">
        <f t="shared" si="32"/>
        <v>2.7593445372401553E-10</v>
      </c>
      <c r="H618" s="1">
        <f>G618/$G$21</f>
        <v>1.934947774261298E-11</v>
      </c>
      <c r="I618">
        <f>IF($E$11&lt;=D618, IF(D618&lt;=$A$15,D618-$E$11,$F$11),0)</f>
        <v>300</v>
      </c>
      <c r="J618">
        <f>IF(D618&lt;=$A$15,0,D618-$A$15)</f>
        <v>286</v>
      </c>
      <c r="K618" s="5">
        <f>IF(D618&lt;$E$11,H618,0)</f>
        <v>0</v>
      </c>
      <c r="L618">
        <f>IF(D618&lt;$A$15,$C$11,$C$11*(1-$G$11))</f>
        <v>200</v>
      </c>
      <c r="M618">
        <f>IF(D618&lt;$A$15,0,1)</f>
        <v>1</v>
      </c>
    </row>
    <row r="619" spans="4:13" x14ac:dyDescent="0.2">
      <c r="D619">
        <f t="shared" si="33"/>
        <v>596</v>
      </c>
      <c r="E619" s="1">
        <f t="shared" si="31"/>
        <v>244.23824934793578</v>
      </c>
      <c r="F619" s="1">
        <f t="shared" si="34"/>
        <v>-22.08781880605909</v>
      </c>
      <c r="G619" s="1">
        <f t="shared" si="32"/>
        <v>2.5549486455927685E-10</v>
      </c>
      <c r="H619" s="1">
        <f>G619/$G$21</f>
        <v>1.7916183095012241E-11</v>
      </c>
      <c r="I619">
        <f>IF($E$11&lt;=D619, IF(D619&lt;=$A$15,D619-$E$11,$F$11),0)</f>
        <v>300</v>
      </c>
      <c r="J619">
        <f>IF(D619&lt;=$A$15,0,D619-$A$15)</f>
        <v>287</v>
      </c>
      <c r="K619" s="5">
        <f>IF(D619&lt;$E$11,H619,0)</f>
        <v>0</v>
      </c>
      <c r="L619">
        <f>IF(D619&lt;$A$15,$C$11,$C$11*(1-$G$11))</f>
        <v>200</v>
      </c>
      <c r="M619">
        <f>IF(D619&lt;$A$15,0,1)</f>
        <v>1</v>
      </c>
    </row>
    <row r="620" spans="4:13" x14ac:dyDescent="0.2">
      <c r="D620">
        <f t="shared" si="33"/>
        <v>597</v>
      </c>
      <c r="E620" s="1">
        <f t="shared" si="31"/>
        <v>244.16128830679966</v>
      </c>
      <c r="F620" s="1">
        <f t="shared" si="34"/>
        <v>-22.164779847195206</v>
      </c>
      <c r="G620" s="1">
        <f t="shared" si="32"/>
        <v>2.3656931903637048E-10</v>
      </c>
      <c r="H620" s="1">
        <f>G620/$G$21</f>
        <v>1.6589058421307843E-11</v>
      </c>
      <c r="I620">
        <f>IF($E$11&lt;=D620, IF(D620&lt;=$A$15,D620-$E$11,$F$11),0)</f>
        <v>300</v>
      </c>
      <c r="J620">
        <f>IF(D620&lt;=$A$15,0,D620-$A$15)</f>
        <v>288</v>
      </c>
      <c r="K620" s="5">
        <f>IF(D620&lt;$E$11,H620,0)</f>
        <v>0</v>
      </c>
      <c r="L620">
        <f>IF(D620&lt;$A$15,$C$11,$C$11*(1-$G$11))</f>
        <v>200</v>
      </c>
      <c r="M620">
        <f>IF(D620&lt;$A$15,0,1)</f>
        <v>1</v>
      </c>
    </row>
    <row r="621" spans="4:13" x14ac:dyDescent="0.2">
      <c r="D621">
        <f t="shared" si="33"/>
        <v>598</v>
      </c>
      <c r="E621" s="1">
        <f t="shared" si="31"/>
        <v>244.08432726566355</v>
      </c>
      <c r="F621" s="1">
        <f t="shared" si="34"/>
        <v>-22.241740888331321</v>
      </c>
      <c r="G621" s="1">
        <f t="shared" si="32"/>
        <v>2.1904566577441986E-10</v>
      </c>
      <c r="H621" s="1">
        <f>G621/$G$21</f>
        <v>1.5360239278988939E-11</v>
      </c>
      <c r="I621">
        <f>IF($E$11&lt;=D621, IF(D621&lt;=$A$15,D621-$E$11,$F$11),0)</f>
        <v>300</v>
      </c>
      <c r="J621">
        <f>IF(D621&lt;=$A$15,0,D621-$A$15)</f>
        <v>289</v>
      </c>
      <c r="K621" s="5">
        <f>IF(D621&lt;$E$11,H621,0)</f>
        <v>0</v>
      </c>
      <c r="L621">
        <f>IF(D621&lt;$A$15,$C$11,$C$11*(1-$G$11))</f>
        <v>200</v>
      </c>
      <c r="M621">
        <f>IF(D621&lt;$A$15,0,1)</f>
        <v>1</v>
      </c>
    </row>
    <row r="622" spans="4:13" x14ac:dyDescent="0.2">
      <c r="D622">
        <f t="shared" si="33"/>
        <v>599</v>
      </c>
      <c r="E622" s="1">
        <f t="shared" si="31"/>
        <v>244.00736622452743</v>
      </c>
      <c r="F622" s="1">
        <f t="shared" si="34"/>
        <v>-22.318701929467437</v>
      </c>
      <c r="G622" s="1">
        <f t="shared" si="32"/>
        <v>2.0282006090224318E-10</v>
      </c>
      <c r="H622" s="1">
        <f>G622/$G$21</f>
        <v>1.4222443776841789E-11</v>
      </c>
      <c r="I622">
        <f>IF($E$11&lt;=D622, IF(D622&lt;=$A$15,D622-$E$11,$F$11),0)</f>
        <v>300</v>
      </c>
      <c r="J622">
        <f>IF(D622&lt;=$A$15,0,D622-$A$15)</f>
        <v>290</v>
      </c>
      <c r="K622" s="5">
        <f>IF(D622&lt;$E$11,H622,0)</f>
        <v>0</v>
      </c>
      <c r="L622">
        <f>IF(D622&lt;$A$15,$C$11,$C$11*(1-$G$11))</f>
        <v>200</v>
      </c>
      <c r="M622">
        <f>IF(D622&lt;$A$15,0,1)</f>
        <v>1</v>
      </c>
    </row>
    <row r="623" spans="4:13" x14ac:dyDescent="0.2">
      <c r="D623">
        <f t="shared" si="33"/>
        <v>600</v>
      </c>
      <c r="E623" s="1">
        <f t="shared" si="31"/>
        <v>243.93040518339131</v>
      </c>
      <c r="F623" s="1">
        <f t="shared" si="34"/>
        <v>-22.395662970603553</v>
      </c>
      <c r="G623" s="1">
        <f t="shared" si="32"/>
        <v>1.8779635268726456E-10</v>
      </c>
      <c r="H623" s="1">
        <f>G623/$G$21</f>
        <v>1.3168929423001822E-11</v>
      </c>
      <c r="I623">
        <f>IF($E$11&lt;=D623, IF(D623&lt;=$A$15,D623-$E$11,$F$11),0)</f>
        <v>300</v>
      </c>
      <c r="J623">
        <f>IF(D623&lt;=$A$15,0,D623-$A$15)</f>
        <v>291</v>
      </c>
      <c r="K623" s="5">
        <f>IF(D623&lt;$E$11,H623,0)</f>
        <v>0</v>
      </c>
      <c r="L623">
        <f>IF(D623&lt;$A$15,$C$11,$C$11*(1-$G$11))</f>
        <v>200</v>
      </c>
      <c r="M623">
        <f>IF(D623&lt;$A$15,0,1)</f>
        <v>1</v>
      </c>
    </row>
    <row r="624" spans="4:13" x14ac:dyDescent="0.2">
      <c r="D624">
        <f t="shared" si="33"/>
        <v>601</v>
      </c>
      <c r="E624" s="1">
        <f t="shared" si="31"/>
        <v>243.8534441422552</v>
      </c>
      <c r="F624" s="1">
        <f t="shared" si="34"/>
        <v>-22.472624011739669</v>
      </c>
      <c r="G624" s="1">
        <f t="shared" si="32"/>
        <v>1.7388551174746939E-10</v>
      </c>
      <c r="H624" s="1">
        <f>G624/$G$21</f>
        <v>1.2193453169446286E-11</v>
      </c>
      <c r="I624">
        <f>IF($E$11&lt;=D624, IF(D624&lt;=$A$15,D624-$E$11,$F$11),0)</f>
        <v>300</v>
      </c>
      <c r="J624">
        <f>IF(D624&lt;=$A$15,0,D624-$A$15)</f>
        <v>292</v>
      </c>
      <c r="K624" s="5">
        <f>IF(D624&lt;$E$11,H624,0)</f>
        <v>0</v>
      </c>
      <c r="L624">
        <f>IF(D624&lt;$A$15,$C$11,$C$11*(1-$G$11))</f>
        <v>200</v>
      </c>
      <c r="M624">
        <f>IF(D624&lt;$A$15,0,1)</f>
        <v>1</v>
      </c>
    </row>
    <row r="625" spans="4:13" x14ac:dyDescent="0.2">
      <c r="D625">
        <f t="shared" si="33"/>
        <v>602</v>
      </c>
      <c r="E625" s="1">
        <f t="shared" si="31"/>
        <v>243.77648310111908</v>
      </c>
      <c r="F625" s="1">
        <f t="shared" si="34"/>
        <v>-22.549585052875784</v>
      </c>
      <c r="G625" s="1">
        <f t="shared" si="32"/>
        <v>1.610051034698811E-10</v>
      </c>
      <c r="H625" s="1">
        <f>G625/$G$21</f>
        <v>1.1290234416154112E-11</v>
      </c>
      <c r="I625">
        <f>IF($E$11&lt;=D625, IF(D625&lt;=$A$15,D625-$E$11,$F$11),0)</f>
        <v>300</v>
      </c>
      <c r="J625">
        <f>IF(D625&lt;=$A$15,0,D625-$A$15)</f>
        <v>293</v>
      </c>
      <c r="K625" s="5">
        <f>IF(D625&lt;$E$11,H625,0)</f>
        <v>0</v>
      </c>
      <c r="L625">
        <f>IF(D625&lt;$A$15,$C$11,$C$11*(1-$G$11))</f>
        <v>200</v>
      </c>
      <c r="M625">
        <f>IF(D625&lt;$A$15,0,1)</f>
        <v>1</v>
      </c>
    </row>
    <row r="626" spans="4:13" x14ac:dyDescent="0.2">
      <c r="D626">
        <f t="shared" si="33"/>
        <v>603</v>
      </c>
      <c r="E626" s="1">
        <f t="shared" si="31"/>
        <v>243.69952205998297</v>
      </c>
      <c r="F626" s="1">
        <f t="shared" si="34"/>
        <v>-22.6265460940119</v>
      </c>
      <c r="G626" s="1">
        <f t="shared" si="32"/>
        <v>1.4907879950915105E-10</v>
      </c>
      <c r="H626" s="1">
        <f>G626/$G$21</f>
        <v>1.0453920755698383E-11</v>
      </c>
      <c r="I626">
        <f>IF($E$11&lt;=D626, IF(D626&lt;=$A$15,D626-$E$11,$F$11),0)</f>
        <v>300</v>
      </c>
      <c r="J626">
        <f>IF(D626&lt;=$A$15,0,D626-$A$15)</f>
        <v>294</v>
      </c>
      <c r="K626" s="5">
        <f>IF(D626&lt;$E$11,H626,0)</f>
        <v>0</v>
      </c>
      <c r="L626">
        <f>IF(D626&lt;$A$15,$C$11,$C$11*(1-$G$11))</f>
        <v>200</v>
      </c>
      <c r="M626">
        <f>IF(D626&lt;$A$15,0,1)</f>
        <v>1</v>
      </c>
    </row>
    <row r="627" spans="4:13" x14ac:dyDescent="0.2">
      <c r="D627">
        <f t="shared" si="33"/>
        <v>604</v>
      </c>
      <c r="E627" s="1">
        <f t="shared" si="31"/>
        <v>243.62256101884685</v>
      </c>
      <c r="F627" s="1">
        <f t="shared" si="34"/>
        <v>-22.703507135148016</v>
      </c>
      <c r="G627" s="1">
        <f t="shared" si="32"/>
        <v>1.3803592547143791E-10</v>
      </c>
      <c r="H627" s="1">
        <f>G627/$G$21</f>
        <v>9.679556255276404E-12</v>
      </c>
      <c r="I627">
        <f>IF($E$11&lt;=D627, IF(D627&lt;=$A$15,D627-$E$11,$F$11),0)</f>
        <v>300</v>
      </c>
      <c r="J627">
        <f>IF(D627&lt;=$A$15,0,D627-$A$15)</f>
        <v>295</v>
      </c>
      <c r="K627" s="5">
        <f>IF(D627&lt;$E$11,H627,0)</f>
        <v>0</v>
      </c>
      <c r="L627">
        <f>IF(D627&lt;$A$15,$C$11,$C$11*(1-$G$11))</f>
        <v>200</v>
      </c>
      <c r="M627">
        <f>IF(D627&lt;$A$15,0,1)</f>
        <v>1</v>
      </c>
    </row>
    <row r="628" spans="4:13" x14ac:dyDescent="0.2">
      <c r="D628">
        <f t="shared" si="33"/>
        <v>605</v>
      </c>
      <c r="E628" s="1">
        <f t="shared" si="31"/>
        <v>243.54559997771074</v>
      </c>
      <c r="F628" s="1">
        <f t="shared" si="34"/>
        <v>-22.780468176284131</v>
      </c>
      <c r="G628" s="1">
        <f t="shared" si="32"/>
        <v>1.2781104210318488E-10</v>
      </c>
      <c r="H628" s="1">
        <f>G628/$G$21</f>
        <v>8.9625520882190066E-12</v>
      </c>
      <c r="I628">
        <f>IF($E$11&lt;=D628, IF(D628&lt;=$A$15,D628-$E$11,$F$11),0)</f>
        <v>300</v>
      </c>
      <c r="J628">
        <f>IF(D628&lt;=$A$15,0,D628-$A$15)</f>
        <v>296</v>
      </c>
      <c r="K628" s="5">
        <f>IF(D628&lt;$E$11,H628,0)</f>
        <v>0</v>
      </c>
      <c r="L628">
        <f>IF(D628&lt;$A$15,$C$11,$C$11*(1-$G$11))</f>
        <v>200</v>
      </c>
      <c r="M628">
        <f>IF(D628&lt;$A$15,0,1)</f>
        <v>1</v>
      </c>
    </row>
    <row r="629" spans="4:13" x14ac:dyDescent="0.2">
      <c r="D629">
        <f t="shared" si="33"/>
        <v>606</v>
      </c>
      <c r="E629" s="1">
        <f t="shared" si="31"/>
        <v>243.46863893657462</v>
      </c>
      <c r="F629" s="1">
        <f t="shared" si="34"/>
        <v>-22.857429217420247</v>
      </c>
      <c r="G629" s="1">
        <f t="shared" si="32"/>
        <v>1.1834355750295045E-10</v>
      </c>
      <c r="H629" s="1">
        <f>G629/$G$21</f>
        <v>8.2986593409436289E-12</v>
      </c>
      <c r="I629">
        <f>IF($E$11&lt;=D629, IF(D629&lt;=$A$15,D629-$E$11,$F$11),0)</f>
        <v>300</v>
      </c>
      <c r="J629">
        <f>IF(D629&lt;=$A$15,0,D629-$A$15)</f>
        <v>297</v>
      </c>
      <c r="K629" s="5">
        <f>IF(D629&lt;$E$11,H629,0)</f>
        <v>0</v>
      </c>
      <c r="L629">
        <f>IF(D629&lt;$A$15,$C$11,$C$11*(1-$G$11))</f>
        <v>200</v>
      </c>
      <c r="M629">
        <f>IF(D629&lt;$A$15,0,1)</f>
        <v>1</v>
      </c>
    </row>
    <row r="630" spans="4:13" x14ac:dyDescent="0.2">
      <c r="D630">
        <f t="shared" si="33"/>
        <v>607</v>
      </c>
      <c r="E630" s="1">
        <f t="shared" si="31"/>
        <v>243.39167789543851</v>
      </c>
      <c r="F630" s="1">
        <f t="shared" si="34"/>
        <v>-22.934390258556363</v>
      </c>
      <c r="G630" s="1">
        <f t="shared" si="32"/>
        <v>1.0957736805828884E-10</v>
      </c>
      <c r="H630" s="1">
        <f>G630/$G$21</f>
        <v>7.6839438342071607E-12</v>
      </c>
      <c r="I630">
        <f>IF($E$11&lt;=D630, IF(D630&lt;=$A$15,D630-$E$11,$F$11),0)</f>
        <v>300</v>
      </c>
      <c r="J630">
        <f>IF(D630&lt;=$A$15,0,D630-$A$15)</f>
        <v>298</v>
      </c>
      <c r="K630" s="5">
        <f>IF(D630&lt;$E$11,H630,0)</f>
        <v>0</v>
      </c>
      <c r="L630">
        <f>IF(D630&lt;$A$15,$C$11,$C$11*(1-$G$11))</f>
        <v>200</v>
      </c>
      <c r="M630">
        <f>IF(D630&lt;$A$15,0,1)</f>
        <v>1</v>
      </c>
    </row>
    <row r="631" spans="4:13" x14ac:dyDescent="0.2">
      <c r="D631">
        <f t="shared" si="33"/>
        <v>608</v>
      </c>
      <c r="E631" s="1">
        <f t="shared" si="31"/>
        <v>243.31471685430239</v>
      </c>
      <c r="F631" s="1">
        <f t="shared" si="34"/>
        <v>-23.011351299692478</v>
      </c>
      <c r="G631" s="1">
        <f t="shared" si="32"/>
        <v>1.0146052597989836E-10</v>
      </c>
      <c r="H631" s="1">
        <f>G631/$G$21</f>
        <v>7.1147628094511652E-12</v>
      </c>
      <c r="I631">
        <f>IF($E$11&lt;=D631, IF(D631&lt;=$A$15,D631-$E$11,$F$11),0)</f>
        <v>300</v>
      </c>
      <c r="J631">
        <f>IF(D631&lt;=$A$15,0,D631-$A$15)</f>
        <v>299</v>
      </c>
      <c r="K631" s="5">
        <f>IF(D631&lt;$E$11,H631,0)</f>
        <v>0</v>
      </c>
      <c r="L631">
        <f>IF(D631&lt;$A$15,$C$11,$C$11*(1-$G$11))</f>
        <v>200</v>
      </c>
      <c r="M631">
        <f>IF(D631&lt;$A$15,0,1)</f>
        <v>1</v>
      </c>
    </row>
    <row r="632" spans="4:13" x14ac:dyDescent="0.2">
      <c r="D632">
        <f t="shared" si="33"/>
        <v>609</v>
      </c>
      <c r="E632" s="1">
        <f t="shared" si="31"/>
        <v>243.23775581316627</v>
      </c>
      <c r="F632" s="1">
        <f t="shared" si="34"/>
        <v>-23.088312340828594</v>
      </c>
      <c r="G632" s="1">
        <f t="shared" si="32"/>
        <v>9.3944931462870028E-11</v>
      </c>
      <c r="H632" s="1">
        <f>G632/$G$21</f>
        <v>6.5877433420844949E-12</v>
      </c>
      <c r="I632">
        <f>IF($E$11&lt;=D632, IF(D632&lt;=$A$15,D632-$E$11,$F$11),0)</f>
        <v>300</v>
      </c>
      <c r="J632">
        <f>IF(D632&lt;=$A$15,0,D632-$A$15)</f>
        <v>300</v>
      </c>
      <c r="K632" s="5">
        <f>IF(D632&lt;$E$11,H632,0)</f>
        <v>0</v>
      </c>
      <c r="L632">
        <f>IF(D632&lt;$A$15,$C$11,$C$11*(1-$G$11))</f>
        <v>200</v>
      </c>
      <c r="M632">
        <f>IF(D632&lt;$A$15,0,1)</f>
        <v>1</v>
      </c>
    </row>
    <row r="633" spans="4:13" x14ac:dyDescent="0.2">
      <c r="D633">
        <f t="shared" si="33"/>
        <v>610</v>
      </c>
      <c r="E633" s="1">
        <f t="shared" si="31"/>
        <v>243.16079477203016</v>
      </c>
      <c r="F633" s="1">
        <f t="shared" si="34"/>
        <v>-23.16527338196471</v>
      </c>
      <c r="G633" s="1">
        <f t="shared" si="32"/>
        <v>8.6986047650806682E-11</v>
      </c>
      <c r="H633" s="1">
        <f>G633/$G$21</f>
        <v>6.0997623537820164E-12</v>
      </c>
      <c r="I633">
        <f>IF($E$11&lt;=D633, IF(D633&lt;=$A$15,D633-$E$11,$F$11),0)</f>
        <v>300</v>
      </c>
      <c r="J633">
        <f>IF(D633&lt;=$A$15,0,D633-$A$15)</f>
        <v>301</v>
      </c>
      <c r="K633" s="5">
        <f>IF(D633&lt;$E$11,H633,0)</f>
        <v>0</v>
      </c>
      <c r="L633">
        <f>IF(D633&lt;$A$15,$C$11,$C$11*(1-$G$11))</f>
        <v>200</v>
      </c>
      <c r="M633">
        <f>IF(D633&lt;$A$15,0,1)</f>
        <v>1</v>
      </c>
    </row>
    <row r="634" spans="4:13" x14ac:dyDescent="0.2">
      <c r="D634">
        <f t="shared" si="33"/>
        <v>611</v>
      </c>
      <c r="E634" s="1">
        <f t="shared" si="31"/>
        <v>243.08383373089404</v>
      </c>
      <c r="F634" s="1">
        <f t="shared" si="34"/>
        <v>-23.242234423100825</v>
      </c>
      <c r="G634" s="1">
        <f t="shared" si="32"/>
        <v>8.0542636713710907E-11</v>
      </c>
      <c r="H634" s="1">
        <f>G634/$G$21</f>
        <v>5.6479281053537907E-12</v>
      </c>
      <c r="I634">
        <f>IF($E$11&lt;=D634, IF(D634&lt;=$A$15,D634-$E$11,$F$11),0)</f>
        <v>300</v>
      </c>
      <c r="J634">
        <f>IF(D634&lt;=$A$15,0,D634-$A$15)</f>
        <v>302</v>
      </c>
      <c r="K634" s="5">
        <f>IF(D634&lt;$E$11,H634,0)</f>
        <v>0</v>
      </c>
      <c r="L634">
        <f>IF(D634&lt;$A$15,$C$11,$C$11*(1-$G$11))</f>
        <v>200</v>
      </c>
      <c r="M634">
        <f>IF(D634&lt;$A$15,0,1)</f>
        <v>1</v>
      </c>
    </row>
    <row r="635" spans="4:13" x14ac:dyDescent="0.2">
      <c r="D635">
        <f t="shared" si="33"/>
        <v>612</v>
      </c>
      <c r="E635" s="1">
        <f t="shared" si="31"/>
        <v>243.00687268975793</v>
      </c>
      <c r="F635" s="1">
        <f t="shared" si="34"/>
        <v>-23.319195464236941</v>
      </c>
      <c r="G635" s="1">
        <f t="shared" si="32"/>
        <v>7.45765154756592E-11</v>
      </c>
      <c r="H635" s="1">
        <f>G635/$G$21</f>
        <v>5.2295630605128354E-12</v>
      </c>
      <c r="I635">
        <f>IF($E$11&lt;=D635, IF(D635&lt;=$A$15,D635-$E$11,$F$11),0)</f>
        <v>300</v>
      </c>
      <c r="J635">
        <f>IF(D635&lt;=$A$15,0,D635-$A$15)</f>
        <v>303</v>
      </c>
      <c r="K635" s="5">
        <f>IF(D635&lt;$E$11,H635,0)</f>
        <v>0</v>
      </c>
      <c r="L635">
        <f>IF(D635&lt;$A$15,$C$11,$C$11*(1-$G$11))</f>
        <v>200</v>
      </c>
      <c r="M635">
        <f>IF(D635&lt;$A$15,0,1)</f>
        <v>1</v>
      </c>
    </row>
    <row r="636" spans="4:13" x14ac:dyDescent="0.2">
      <c r="D636">
        <f t="shared" si="33"/>
        <v>613</v>
      </c>
      <c r="E636" s="1">
        <f t="shared" si="31"/>
        <v>242.92991164862181</v>
      </c>
      <c r="F636" s="1">
        <f t="shared" si="34"/>
        <v>-23.396156505373057</v>
      </c>
      <c r="G636" s="1">
        <f t="shared" si="32"/>
        <v>6.9052329144129763E-11</v>
      </c>
      <c r="H636" s="1">
        <f>G636/$G$21</f>
        <v>4.842188018993428E-12</v>
      </c>
      <c r="I636">
        <f>IF($E$11&lt;=D636, IF(D636&lt;=$A$15,D636-$E$11,$F$11),0)</f>
        <v>300</v>
      </c>
      <c r="J636">
        <f>IF(D636&lt;=$A$15,0,D636-$A$15)</f>
        <v>304</v>
      </c>
      <c r="K636" s="5">
        <f>IF(D636&lt;$E$11,H636,0)</f>
        <v>0</v>
      </c>
      <c r="L636">
        <f>IF(D636&lt;$A$15,$C$11,$C$11*(1-$G$11))</f>
        <v>200</v>
      </c>
      <c r="M636">
        <f>IF(D636&lt;$A$15,0,1)</f>
        <v>1</v>
      </c>
    </row>
    <row r="637" spans="4:13" x14ac:dyDescent="0.2">
      <c r="D637">
        <f t="shared" si="33"/>
        <v>614</v>
      </c>
      <c r="E637" s="1">
        <f t="shared" si="31"/>
        <v>242.8529506074857</v>
      </c>
      <c r="F637" s="1">
        <f t="shared" si="34"/>
        <v>-23.473117546509172</v>
      </c>
      <c r="G637" s="1">
        <f t="shared" si="32"/>
        <v>6.3937341800120947E-11</v>
      </c>
      <c r="H637" s="1">
        <f>G637/$G$21</f>
        <v>4.4835074249939705E-12</v>
      </c>
      <c r="I637">
        <f>IF($E$11&lt;=D637, IF(D637&lt;=$A$15,D637-$E$11,$F$11),0)</f>
        <v>300</v>
      </c>
      <c r="J637">
        <f>IF(D637&lt;=$A$15,0,D637-$A$15)</f>
        <v>305</v>
      </c>
      <c r="K637" s="5">
        <f>IF(D637&lt;$E$11,H637,0)</f>
        <v>0</v>
      </c>
      <c r="L637">
        <f>IF(D637&lt;$A$15,$C$11,$C$11*(1-$G$11))</f>
        <v>200</v>
      </c>
      <c r="M637">
        <f>IF(D637&lt;$A$15,0,1)</f>
        <v>1</v>
      </c>
    </row>
    <row r="638" spans="4:13" x14ac:dyDescent="0.2">
      <c r="D638">
        <f t="shared" si="33"/>
        <v>615</v>
      </c>
      <c r="E638" s="1">
        <f t="shared" si="31"/>
        <v>242.77598956634958</v>
      </c>
      <c r="F638" s="1">
        <f t="shared" si="34"/>
        <v>-23.550078587645288</v>
      </c>
      <c r="G638" s="1">
        <f t="shared" si="32"/>
        <v>5.9201242407520151E-11</v>
      </c>
      <c r="H638" s="1">
        <f>G638/$G$21</f>
        <v>4.1513957638833584E-12</v>
      </c>
      <c r="I638">
        <f>IF($E$11&lt;=D638, IF(D638&lt;=$A$15,D638-$E$11,$F$11),0)</f>
        <v>300</v>
      </c>
      <c r="J638">
        <f>IF(D638&lt;=$A$15,0,D638-$A$15)</f>
        <v>306</v>
      </c>
      <c r="K638" s="5">
        <f>IF(D638&lt;$E$11,H638,0)</f>
        <v>0</v>
      </c>
      <c r="L638">
        <f>IF(D638&lt;$A$15,$C$11,$C$11*(1-$G$11))</f>
        <v>200</v>
      </c>
      <c r="M638">
        <f>IF(D638&lt;$A$15,0,1)</f>
        <v>1</v>
      </c>
    </row>
    <row r="639" spans="4:13" x14ac:dyDescent="0.2">
      <c r="D639">
        <f t="shared" si="33"/>
        <v>616</v>
      </c>
      <c r="E639" s="1">
        <f t="shared" si="31"/>
        <v>242.69902852521346</v>
      </c>
      <c r="F639" s="1">
        <f t="shared" si="34"/>
        <v>-23.627039628781404</v>
      </c>
      <c r="G639" s="1">
        <f t="shared" si="32"/>
        <v>5.4815965192148978E-11</v>
      </c>
      <c r="H639" s="1">
        <f>G639/$G$21</f>
        <v>3.843884966558714E-12</v>
      </c>
      <c r="I639">
        <f>IF($E$11&lt;=D639, IF(D639&lt;=$A$15,D639-$E$11,$F$11),0)</f>
        <v>300</v>
      </c>
      <c r="J639">
        <f>IF(D639&lt;=$A$15,0,D639-$A$15)</f>
        <v>307</v>
      </c>
      <c r="K639" s="5">
        <f>IF(D639&lt;$E$11,H639,0)</f>
        <v>0</v>
      </c>
      <c r="L639">
        <f>IF(D639&lt;$A$15,$C$11,$C$11*(1-$G$11))</f>
        <v>200</v>
      </c>
      <c r="M639">
        <f>IF(D639&lt;$A$15,0,1)</f>
        <v>1</v>
      </c>
    </row>
    <row r="640" spans="4:13" x14ac:dyDescent="0.2">
      <c r="D640">
        <f t="shared" si="33"/>
        <v>617</v>
      </c>
      <c r="E640" s="1">
        <f t="shared" si="31"/>
        <v>242.62206748407735</v>
      </c>
      <c r="F640" s="1">
        <f t="shared" si="34"/>
        <v>-23.704000669917519</v>
      </c>
      <c r="G640" s="1">
        <f t="shared" si="32"/>
        <v>5.0755523326064511E-11</v>
      </c>
      <c r="H640" s="1">
        <f>G640/$G$21</f>
        <v>3.559152746813669E-12</v>
      </c>
      <c r="I640">
        <f>IF($E$11&lt;=D640, IF(D640&lt;=$A$15,D640-$E$11,$F$11),0)</f>
        <v>300</v>
      </c>
      <c r="J640">
        <f>IF(D640&lt;=$A$15,0,D640-$A$15)</f>
        <v>308</v>
      </c>
      <c r="K640" s="5">
        <f>IF(D640&lt;$E$11,H640,0)</f>
        <v>0</v>
      </c>
      <c r="L640">
        <f>IF(D640&lt;$A$15,$C$11,$C$11*(1-$G$11))</f>
        <v>200</v>
      </c>
      <c r="M640">
        <f>IF(D640&lt;$A$15,0,1)</f>
        <v>1</v>
      </c>
    </row>
    <row r="641" spans="4:13" x14ac:dyDescent="0.2">
      <c r="D641">
        <f t="shared" si="33"/>
        <v>618</v>
      </c>
      <c r="E641" s="1">
        <f t="shared" si="31"/>
        <v>242.54510644294123</v>
      </c>
      <c r="F641" s="1">
        <f t="shared" si="34"/>
        <v>-23.780961711053635</v>
      </c>
      <c r="G641" s="1">
        <f t="shared" si="32"/>
        <v>4.6995854931541806E-11</v>
      </c>
      <c r="H641" s="1">
        <f>G641/$G$21</f>
        <v>3.2955118026052908E-12</v>
      </c>
      <c r="I641">
        <f>IF($E$11&lt;=D641, IF(D641&lt;=$A$15,D641-$E$11,$F$11),0)</f>
        <v>300</v>
      </c>
      <c r="J641">
        <f>IF(D641&lt;=$A$15,0,D641-$A$15)</f>
        <v>309</v>
      </c>
      <c r="K641" s="5">
        <f>IF(D641&lt;$E$11,H641,0)</f>
        <v>0</v>
      </c>
      <c r="L641">
        <f>IF(D641&lt;$A$15,$C$11,$C$11*(1-$G$11))</f>
        <v>200</v>
      </c>
      <c r="M641">
        <f>IF(D641&lt;$A$15,0,1)</f>
        <v>1</v>
      </c>
    </row>
    <row r="642" spans="4:13" x14ac:dyDescent="0.2">
      <c r="D642">
        <f t="shared" si="33"/>
        <v>619</v>
      </c>
      <c r="E642" s="1">
        <f t="shared" si="31"/>
        <v>242.46814540180512</v>
      </c>
      <c r="F642" s="1">
        <f t="shared" si="34"/>
        <v>-23.857922752189751</v>
      </c>
      <c r="G642" s="1">
        <f t="shared" si="32"/>
        <v>4.3514680492168891E-11</v>
      </c>
      <c r="H642" s="1">
        <f>G642/$G$21</f>
        <v>3.0513998172271599E-12</v>
      </c>
      <c r="I642">
        <f>IF($E$11&lt;=D642, IF(D642&lt;=$A$15,D642-$E$11,$F$11),0)</f>
        <v>300</v>
      </c>
      <c r="J642">
        <f>IF(D642&lt;=$A$15,0,D642-$A$15)</f>
        <v>310</v>
      </c>
      <c r="K642" s="5">
        <f>IF(D642&lt;$E$11,H642,0)</f>
        <v>0</v>
      </c>
      <c r="L642">
        <f>IF(D642&lt;$A$15,$C$11,$C$11*(1-$G$11))</f>
        <v>200</v>
      </c>
      <c r="M642">
        <f>IF(D642&lt;$A$15,0,1)</f>
        <v>1</v>
      </c>
    </row>
    <row r="643" spans="4:13" x14ac:dyDescent="0.2">
      <c r="D643">
        <f t="shared" si="33"/>
        <v>620</v>
      </c>
      <c r="E643" s="1">
        <f t="shared" si="31"/>
        <v>242.391184360669</v>
      </c>
      <c r="F643" s="1">
        <f t="shared" si="34"/>
        <v>-23.934883793325866</v>
      </c>
      <c r="G643" s="1">
        <f t="shared" si="32"/>
        <v>4.0291370826082814E-11</v>
      </c>
      <c r="H643" s="1">
        <f>G643/$G$21</f>
        <v>2.8253702011362948E-12</v>
      </c>
      <c r="I643">
        <f>IF($E$11&lt;=D643, IF(D643&lt;=$A$15,D643-$E$11,$F$11),0)</f>
        <v>300</v>
      </c>
      <c r="J643">
        <f>IF(D643&lt;=$A$15,0,D643-$A$15)</f>
        <v>311</v>
      </c>
      <c r="K643" s="5">
        <f>IF(D643&lt;$E$11,H643,0)</f>
        <v>0</v>
      </c>
      <c r="L643">
        <f>IF(D643&lt;$A$15,$C$11,$C$11*(1-$G$11))</f>
        <v>200</v>
      </c>
      <c r="M643">
        <f>IF(D643&lt;$A$15,0,1)</f>
        <v>1</v>
      </c>
    </row>
    <row r="644" spans="4:13" x14ac:dyDescent="0.2">
      <c r="D644">
        <f t="shared" si="33"/>
        <v>621</v>
      </c>
      <c r="E644" s="1">
        <f t="shared" ref="E644:F707" si="35">IF($G$11=1,IF(D644&lt;=$A$15, E643+LN($C$11)-LN(60/$D$11)-LN(MIN(D644,$E$11)), E643-LN(60/$D$11)-LN(MIN(D644,$E$11))), IF(D644&lt;=$A$15, E643+LN($C$11)-LN(60/$D$11)-LN(MIN(D644,$E$11)), E643+LN($C$11)+LN(1-$G$11)-LN(60/$D$11)-LN(MIN(D644,$E$11))))</f>
        <v>242.31422331953289</v>
      </c>
      <c r="F644" s="1">
        <f t="shared" si="34"/>
        <v>-24.011844834461982</v>
      </c>
      <c r="G644" s="1">
        <f t="shared" si="32"/>
        <v>3.7306824838966043E-11</v>
      </c>
      <c r="H644" s="1">
        <f>G644/$G$21</f>
        <v>2.6160835195706764E-12</v>
      </c>
      <c r="I644">
        <f>IF($E$11&lt;=D644, IF(D644&lt;=$A$15,D644-$E$11,$F$11),0)</f>
        <v>300</v>
      </c>
      <c r="J644">
        <f>IF(D644&lt;=$A$15,0,D644-$A$15)</f>
        <v>312</v>
      </c>
      <c r="K644" s="5">
        <f>IF(D644&lt;$E$11,H644,0)</f>
        <v>0</v>
      </c>
      <c r="L644">
        <f>IF(D644&lt;$A$15,$C$11,$C$11*(1-$G$11))</f>
        <v>200</v>
      </c>
      <c r="M644">
        <f>IF(D644&lt;$A$15,0,1)</f>
        <v>1</v>
      </c>
    </row>
    <row r="645" spans="4:13" x14ac:dyDescent="0.2">
      <c r="D645">
        <f t="shared" si="33"/>
        <v>622</v>
      </c>
      <c r="E645" s="1">
        <f t="shared" si="35"/>
        <v>242.23726227839677</v>
      </c>
      <c r="F645" s="1">
        <f t="shared" si="34"/>
        <v>-24.088805875598098</v>
      </c>
      <c r="G645" s="1">
        <f t="shared" si="32"/>
        <v>3.4543356332376405E-11</v>
      </c>
      <c r="H645" s="1">
        <f>G645/$G$21</f>
        <v>2.4222995551580645E-12</v>
      </c>
      <c r="I645">
        <f>IF($E$11&lt;=D645, IF(D645&lt;=$A$15,D645-$E$11,$F$11),0)</f>
        <v>300</v>
      </c>
      <c r="J645">
        <f>IF(D645&lt;=$A$15,0,D645-$A$15)</f>
        <v>313</v>
      </c>
      <c r="K645" s="5">
        <f>IF(D645&lt;$E$11,H645,0)</f>
        <v>0</v>
      </c>
      <c r="L645">
        <f>IF(D645&lt;$A$15,$C$11,$C$11*(1-$G$11))</f>
        <v>200</v>
      </c>
      <c r="M645">
        <f>IF(D645&lt;$A$15,0,1)</f>
        <v>1</v>
      </c>
    </row>
    <row r="646" spans="4:13" x14ac:dyDescent="0.2">
      <c r="D646">
        <f t="shared" si="33"/>
        <v>623</v>
      </c>
      <c r="E646" s="1">
        <f t="shared" si="35"/>
        <v>242.16030123726065</v>
      </c>
      <c r="F646" s="1">
        <f t="shared" si="34"/>
        <v>-24.165766916734214</v>
      </c>
      <c r="G646" s="1">
        <f t="shared" si="32"/>
        <v>3.1984589196645222E-11</v>
      </c>
      <c r="H646" s="1">
        <f>G646/$G$21</f>
        <v>2.2428699584797177E-12</v>
      </c>
      <c r="I646">
        <f>IF($E$11&lt;=D646, IF(D646&lt;=$A$15,D646-$E$11,$F$11),0)</f>
        <v>300</v>
      </c>
      <c r="J646">
        <f>IF(D646&lt;=$A$15,0,D646-$A$15)</f>
        <v>314</v>
      </c>
      <c r="K646" s="5">
        <f>IF(D646&lt;$E$11,H646,0)</f>
        <v>0</v>
      </c>
      <c r="L646">
        <f>IF(D646&lt;$A$15,$C$11,$C$11*(1-$G$11))</f>
        <v>200</v>
      </c>
      <c r="M646">
        <f>IF(D646&lt;$A$15,0,1)</f>
        <v>1</v>
      </c>
    </row>
    <row r="647" spans="4:13" x14ac:dyDescent="0.2">
      <c r="D647">
        <f t="shared" si="33"/>
        <v>624</v>
      </c>
      <c r="E647" s="1">
        <f t="shared" si="35"/>
        <v>242.08334019612454</v>
      </c>
      <c r="F647" s="1">
        <f t="shared" si="34"/>
        <v>-24.242727957870329</v>
      </c>
      <c r="G647" s="1">
        <f t="shared" si="32"/>
        <v>2.961536036726447E-11</v>
      </c>
      <c r="H647" s="1">
        <f>G647/$G$21</f>
        <v>2.0767314430368019E-12</v>
      </c>
      <c r="I647">
        <f>IF($E$11&lt;=D647, IF(D647&lt;=$A$15,D647-$E$11,$F$11),0)</f>
        <v>300</v>
      </c>
      <c r="J647">
        <f>IF(D647&lt;=$A$15,0,D647-$A$15)</f>
        <v>315</v>
      </c>
      <c r="K647" s="5">
        <f>IF(D647&lt;$E$11,H647,0)</f>
        <v>0</v>
      </c>
      <c r="L647">
        <f>IF(D647&lt;$A$15,$C$11,$C$11*(1-$G$11))</f>
        <v>200</v>
      </c>
      <c r="M647">
        <f>IF(D647&lt;$A$15,0,1)</f>
        <v>1</v>
      </c>
    </row>
    <row r="648" spans="4:13" x14ac:dyDescent="0.2">
      <c r="D648">
        <f t="shared" si="33"/>
        <v>625</v>
      </c>
      <c r="E648" s="1">
        <f t="shared" si="35"/>
        <v>242.00637915498842</v>
      </c>
      <c r="F648" s="1">
        <f t="shared" si="34"/>
        <v>-24.319688999006445</v>
      </c>
      <c r="G648" s="1">
        <f t="shared" si="32"/>
        <v>2.7421629969689671E-11</v>
      </c>
      <c r="H648" s="1">
        <f>G648/$G$21</f>
        <v>1.9228994842933596E-12</v>
      </c>
      <c r="I648">
        <f>IF($E$11&lt;=D648, IF(D648&lt;=$A$15,D648-$E$11,$F$11),0)</f>
        <v>300</v>
      </c>
      <c r="J648">
        <f>IF(D648&lt;=$A$15,0,D648-$A$15)</f>
        <v>316</v>
      </c>
      <c r="K648" s="5">
        <f>IF(D648&lt;$E$11,H648,0)</f>
        <v>0</v>
      </c>
      <c r="L648">
        <f>IF(D648&lt;$A$15,$C$11,$C$11*(1-$G$11))</f>
        <v>200</v>
      </c>
      <c r="M648">
        <f>IF(D648&lt;$A$15,0,1)</f>
        <v>1</v>
      </c>
    </row>
    <row r="649" spans="4:13" x14ac:dyDescent="0.2">
      <c r="D649">
        <f t="shared" si="33"/>
        <v>626</v>
      </c>
      <c r="E649" s="1">
        <f t="shared" si="35"/>
        <v>241.92941811385231</v>
      </c>
      <c r="F649" s="1">
        <f t="shared" si="34"/>
        <v>-24.396650040142561</v>
      </c>
      <c r="G649" s="1">
        <f t="shared" si="32"/>
        <v>2.5390398120083347E-11</v>
      </c>
      <c r="H649" s="1">
        <f>G649/$G$21</f>
        <v>1.7804624854568365E-12</v>
      </c>
      <c r="I649">
        <f>IF($E$11&lt;=D649, IF(D649&lt;=$A$15,D649-$E$11,$F$11),0)</f>
        <v>300</v>
      </c>
      <c r="J649">
        <f>IF(D649&lt;=$A$15,0,D649-$A$15)</f>
        <v>317</v>
      </c>
      <c r="K649" s="5">
        <f>IF(D649&lt;$E$11,H649,0)</f>
        <v>0</v>
      </c>
      <c r="L649">
        <f>IF(D649&lt;$A$15,$C$11,$C$11*(1-$G$11))</f>
        <v>200</v>
      </c>
      <c r="M649">
        <f>IF(D649&lt;$A$15,0,1)</f>
        <v>1</v>
      </c>
    </row>
    <row r="650" spans="4:13" x14ac:dyDescent="0.2">
      <c r="D650">
        <f t="shared" si="33"/>
        <v>627</v>
      </c>
      <c r="E650" s="1">
        <f t="shared" si="35"/>
        <v>241.85245707271619</v>
      </c>
      <c r="F650" s="1">
        <f t="shared" si="34"/>
        <v>-24.473611081278676</v>
      </c>
      <c r="G650" s="1">
        <f t="shared" si="32"/>
        <v>2.350962788896636E-11</v>
      </c>
      <c r="H650" s="1">
        <f>G650/$G$21</f>
        <v>1.6485763754230178E-12</v>
      </c>
      <c r="I650">
        <f>IF($E$11&lt;=D650, IF(D650&lt;=$A$15,D650-$E$11,$F$11),0)</f>
        <v>300</v>
      </c>
      <c r="J650">
        <f>IF(D650&lt;=$A$15,0,D650-$A$15)</f>
        <v>318</v>
      </c>
      <c r="K650" s="5">
        <f>IF(D650&lt;$E$11,H650,0)</f>
        <v>0</v>
      </c>
      <c r="L650">
        <f>IF(D650&lt;$A$15,$C$11,$C$11*(1-$G$11))</f>
        <v>200</v>
      </c>
      <c r="M650">
        <f>IF(D650&lt;$A$15,0,1)</f>
        <v>1</v>
      </c>
    </row>
    <row r="651" spans="4:13" x14ac:dyDescent="0.2">
      <c r="D651">
        <f t="shared" si="33"/>
        <v>628</v>
      </c>
      <c r="E651" s="1">
        <f t="shared" si="35"/>
        <v>241.77549603158008</v>
      </c>
      <c r="F651" s="1">
        <f t="shared" si="34"/>
        <v>-24.550572122414792</v>
      </c>
      <c r="G651" s="1">
        <f t="shared" si="32"/>
        <v>2.1768173971265425E-11</v>
      </c>
      <c r="H651" s="1">
        <f>G651/$G$21</f>
        <v>1.526459606873184E-12</v>
      </c>
      <c r="I651">
        <f>IF($E$11&lt;=D651, IF(D651&lt;=$A$15,D651-$E$11,$F$11),0)</f>
        <v>300</v>
      </c>
      <c r="J651">
        <f>IF(D651&lt;=$A$15,0,D651-$A$15)</f>
        <v>319</v>
      </c>
      <c r="K651" s="5">
        <f>IF(D651&lt;$E$11,H651,0)</f>
        <v>0</v>
      </c>
      <c r="L651">
        <f>IF(D651&lt;$A$15,$C$11,$C$11*(1-$G$11))</f>
        <v>200</v>
      </c>
      <c r="M651">
        <f>IF(D651&lt;$A$15,0,1)</f>
        <v>1</v>
      </c>
    </row>
    <row r="652" spans="4:13" x14ac:dyDescent="0.2">
      <c r="D652">
        <f t="shared" si="33"/>
        <v>629</v>
      </c>
      <c r="E652" s="1">
        <f t="shared" si="35"/>
        <v>241.69853499044396</v>
      </c>
      <c r="F652" s="1">
        <f t="shared" si="34"/>
        <v>-24.627533163550908</v>
      </c>
      <c r="G652" s="1">
        <f t="shared" si="32"/>
        <v>2.0155716640060833E-11</v>
      </c>
      <c r="H652" s="1">
        <f>G652/$G$21</f>
        <v>1.4133885248825955E-12</v>
      </c>
      <c r="I652">
        <f>IF($E$11&lt;=D652, IF(D652&lt;=$A$15,D652-$E$11,$F$11),0)</f>
        <v>300</v>
      </c>
      <c r="J652">
        <f>IF(D652&lt;=$A$15,0,D652-$A$15)</f>
        <v>320</v>
      </c>
      <c r="K652" s="5">
        <f>IF(D652&lt;$E$11,H652,0)</f>
        <v>0</v>
      </c>
      <c r="L652">
        <f>IF(D652&lt;$A$15,$C$11,$C$11*(1-$G$11))</f>
        <v>200</v>
      </c>
      <c r="M652">
        <f>IF(D652&lt;$A$15,0,1)</f>
        <v>1</v>
      </c>
    </row>
    <row r="653" spans="4:13" x14ac:dyDescent="0.2">
      <c r="D653">
        <f t="shared" si="33"/>
        <v>630</v>
      </c>
      <c r="E653" s="1">
        <f t="shared" si="35"/>
        <v>241.62157394930784</v>
      </c>
      <c r="F653" s="1">
        <f t="shared" si="34"/>
        <v>-24.704494204687023</v>
      </c>
      <c r="G653" s="1">
        <f t="shared" si="32"/>
        <v>1.8662700592649154E-11</v>
      </c>
      <c r="H653" s="1">
        <f>G653/$G$21</f>
        <v>1.3086930785950125E-12</v>
      </c>
      <c r="I653">
        <f>IF($E$11&lt;=D653, IF(D653&lt;=$A$15,D653-$E$11,$F$11),0)</f>
        <v>300</v>
      </c>
      <c r="J653">
        <f>IF(D653&lt;=$A$15,0,D653-$A$15)</f>
        <v>321</v>
      </c>
      <c r="K653" s="5">
        <f>IF(D653&lt;$E$11,H653,0)</f>
        <v>0</v>
      </c>
      <c r="L653">
        <f>IF(D653&lt;$A$15,$C$11,$C$11*(1-$G$11))</f>
        <v>200</v>
      </c>
      <c r="M653">
        <f>IF(D653&lt;$A$15,0,1)</f>
        <v>1</v>
      </c>
    </row>
    <row r="654" spans="4:13" x14ac:dyDescent="0.2">
      <c r="D654">
        <f t="shared" si="33"/>
        <v>631</v>
      </c>
      <c r="E654" s="1">
        <f t="shared" si="35"/>
        <v>241.54461290817173</v>
      </c>
      <c r="F654" s="1">
        <f t="shared" si="34"/>
        <v>-24.781455245823139</v>
      </c>
      <c r="G654" s="1">
        <f t="shared" si="32"/>
        <v>1.7280278326527214E-11</v>
      </c>
      <c r="H654" s="1">
        <f>G654/$G$21</f>
        <v>1.2117528505509528E-12</v>
      </c>
      <c r="I654">
        <f>IF($E$11&lt;=D654, IF(D654&lt;=$A$15,D654-$E$11,$F$11),0)</f>
        <v>300</v>
      </c>
      <c r="J654">
        <f>IF(D654&lt;=$A$15,0,D654-$A$15)</f>
        <v>322</v>
      </c>
      <c r="K654" s="5">
        <f>IF(D654&lt;$E$11,H654,0)</f>
        <v>0</v>
      </c>
      <c r="L654">
        <f>IF(D654&lt;$A$15,$C$11,$C$11*(1-$G$11))</f>
        <v>200</v>
      </c>
      <c r="M654">
        <f>IF(D654&lt;$A$15,0,1)</f>
        <v>1</v>
      </c>
    </row>
    <row r="655" spans="4:13" x14ac:dyDescent="0.2">
      <c r="D655">
        <f t="shared" si="33"/>
        <v>632</v>
      </c>
      <c r="E655" s="1">
        <f t="shared" si="35"/>
        <v>241.46765186703561</v>
      </c>
      <c r="F655" s="1">
        <f t="shared" si="34"/>
        <v>-24.858416286959255</v>
      </c>
      <c r="G655" s="1">
        <f t="shared" si="32"/>
        <v>1.6000257709747622E-11</v>
      </c>
      <c r="H655" s="1">
        <f>G655/$G$21</f>
        <v>1.1219933801397852E-12</v>
      </c>
      <c r="I655">
        <f>IF($E$11&lt;=D655, IF(D655&lt;=$A$15,D655-$E$11,$F$11),0)</f>
        <v>300</v>
      </c>
      <c r="J655">
        <f>IF(D655&lt;=$A$15,0,D655-$A$15)</f>
        <v>323</v>
      </c>
      <c r="K655" s="5">
        <f>IF(D655&lt;$E$11,H655,0)</f>
        <v>0</v>
      </c>
      <c r="L655">
        <f>IF(D655&lt;$A$15,$C$11,$C$11*(1-$G$11))</f>
        <v>200</v>
      </c>
      <c r="M655">
        <f>IF(D655&lt;$A$15,0,1)</f>
        <v>1</v>
      </c>
    </row>
    <row r="656" spans="4:13" x14ac:dyDescent="0.2">
      <c r="D656">
        <f t="shared" si="33"/>
        <v>633</v>
      </c>
      <c r="E656" s="1">
        <f t="shared" si="35"/>
        <v>241.3906908258995</v>
      </c>
      <c r="F656" s="1">
        <f t="shared" si="34"/>
        <v>-24.93537732809537</v>
      </c>
      <c r="G656" s="1">
        <f t="shared" si="32"/>
        <v>1.4815053434951691E-11</v>
      </c>
      <c r="H656" s="1">
        <f>G656/$G$21</f>
        <v>1.0388827593887032E-12</v>
      </c>
      <c r="I656">
        <f>IF($E$11&lt;=D656, IF(D656&lt;=$A$15,D656-$E$11,$F$11),0)</f>
        <v>300</v>
      </c>
      <c r="J656">
        <f>IF(D656&lt;=$A$15,0,D656-$A$15)</f>
        <v>324</v>
      </c>
      <c r="K656" s="5">
        <f>IF(D656&lt;$E$11,H656,0)</f>
        <v>0</v>
      </c>
      <c r="L656">
        <f>IF(D656&lt;$A$15,$C$11,$C$11*(1-$G$11))</f>
        <v>200</v>
      </c>
      <c r="M656">
        <f>IF(D656&lt;$A$15,0,1)</f>
        <v>1</v>
      </c>
    </row>
    <row r="657" spans="4:13" x14ac:dyDescent="0.2">
      <c r="D657">
        <f t="shared" si="33"/>
        <v>634</v>
      </c>
      <c r="E657" s="1">
        <f t="shared" si="35"/>
        <v>241.31372978476338</v>
      </c>
      <c r="F657" s="1">
        <f t="shared" si="34"/>
        <v>-25.012338369231486</v>
      </c>
      <c r="G657" s="1">
        <f t="shared" si="32"/>
        <v>1.3717642069399886E-11</v>
      </c>
      <c r="H657" s="1">
        <f>G657/$G$21</f>
        <v>9.61928480915478E-13</v>
      </c>
      <c r="I657">
        <f>IF($E$11&lt;=D657, IF(D657&lt;=$A$15,D657-$E$11,$F$11),0)</f>
        <v>300</v>
      </c>
      <c r="J657">
        <f>IF(D657&lt;=$A$15,0,D657-$A$15)</f>
        <v>325</v>
      </c>
      <c r="K657" s="5">
        <f>IF(D657&lt;$E$11,H657,0)</f>
        <v>0</v>
      </c>
      <c r="L657">
        <f>IF(D657&lt;$A$15,$C$11,$C$11*(1-$G$11))</f>
        <v>200</v>
      </c>
      <c r="M657">
        <f>IF(D657&lt;$A$15,0,1)</f>
        <v>1</v>
      </c>
    </row>
    <row r="658" spans="4:13" x14ac:dyDescent="0.2">
      <c r="D658">
        <f t="shared" si="33"/>
        <v>635</v>
      </c>
      <c r="E658" s="1">
        <f t="shared" si="35"/>
        <v>241.23676874362727</v>
      </c>
      <c r="F658" s="1">
        <f t="shared" si="34"/>
        <v>-25.089299410367602</v>
      </c>
      <c r="G658" s="1">
        <f t="shared" si="32"/>
        <v>1.2701520434629685E-11</v>
      </c>
      <c r="H658" s="1">
        <f>G658/$G$21</f>
        <v>8.9067451936619469E-13</v>
      </c>
      <c r="I658">
        <f>IF($E$11&lt;=D658, IF(D658&lt;=$A$15,D658-$E$11,$F$11),0)</f>
        <v>300</v>
      </c>
      <c r="J658">
        <f>IF(D658&lt;=$A$15,0,D658-$A$15)</f>
        <v>326</v>
      </c>
      <c r="K658" s="5">
        <f>IF(D658&lt;$E$11,H658,0)</f>
        <v>0</v>
      </c>
      <c r="L658">
        <f>IF(D658&lt;$A$15,$C$11,$C$11*(1-$G$11))</f>
        <v>200</v>
      </c>
      <c r="M658">
        <f>IF(D658&lt;$A$15,0,1)</f>
        <v>1</v>
      </c>
    </row>
    <row r="659" spans="4:13" x14ac:dyDescent="0.2">
      <c r="D659">
        <f t="shared" si="33"/>
        <v>636</v>
      </c>
      <c r="E659" s="1">
        <f t="shared" si="35"/>
        <v>241.15980770249115</v>
      </c>
      <c r="F659" s="1">
        <f t="shared" si="34"/>
        <v>-25.166260451503717</v>
      </c>
      <c r="G659" s="1">
        <f t="shared" si="32"/>
        <v>1.1760667069101708E-11</v>
      </c>
      <c r="H659" s="1">
        <f>G659/$G$21</f>
        <v>8.2469862904278317E-13</v>
      </c>
      <c r="I659">
        <f>IF($E$11&lt;=D659, IF(D659&lt;=$A$15,D659-$E$11,$F$11),0)</f>
        <v>300</v>
      </c>
      <c r="J659">
        <f>IF(D659&lt;=$A$15,0,D659-$A$15)</f>
        <v>327</v>
      </c>
      <c r="K659" s="5">
        <f>IF(D659&lt;$E$11,H659,0)</f>
        <v>0</v>
      </c>
      <c r="L659">
        <f>IF(D659&lt;$A$15,$C$11,$C$11*(1-$G$11))</f>
        <v>200</v>
      </c>
      <c r="M659">
        <f>IF(D659&lt;$A$15,0,1)</f>
        <v>1</v>
      </c>
    </row>
    <row r="660" spans="4:13" x14ac:dyDescent="0.2">
      <c r="D660">
        <f t="shared" si="33"/>
        <v>637</v>
      </c>
      <c r="E660" s="1">
        <f t="shared" si="35"/>
        <v>241.08284666135503</v>
      </c>
      <c r="F660" s="1">
        <f t="shared" si="34"/>
        <v>-25.243221492639833</v>
      </c>
      <c r="G660" s="1">
        <f t="shared" si="32"/>
        <v>1.0889506545464682E-11</v>
      </c>
      <c r="H660" s="1">
        <f>G660/$G$21</f>
        <v>7.6360984170629038E-13</v>
      </c>
      <c r="I660">
        <f>IF($E$11&lt;=D660, IF(D660&lt;=$A$15,D660-$E$11,$F$11),0)</f>
        <v>300</v>
      </c>
      <c r="J660">
        <f>IF(D660&lt;=$A$15,0,D660-$A$15)</f>
        <v>328</v>
      </c>
      <c r="K660" s="5">
        <f>IF(D660&lt;$E$11,H660,0)</f>
        <v>0</v>
      </c>
      <c r="L660">
        <f>IF(D660&lt;$A$15,$C$11,$C$11*(1-$G$11))</f>
        <v>200</v>
      </c>
      <c r="M660">
        <f>IF(D660&lt;$A$15,0,1)</f>
        <v>1</v>
      </c>
    </row>
    <row r="661" spans="4:13" x14ac:dyDescent="0.2">
      <c r="D661">
        <f t="shared" si="33"/>
        <v>638</v>
      </c>
      <c r="E661" s="1">
        <f t="shared" si="35"/>
        <v>241.00588562021892</v>
      </c>
      <c r="F661" s="1">
        <f t="shared" si="34"/>
        <v>-25.320182533775949</v>
      </c>
      <c r="G661" s="1">
        <f t="shared" si="32"/>
        <v>1.0082876430985945E-11</v>
      </c>
      <c r="H661" s="1">
        <f>G661/$G$21</f>
        <v>7.0704614972805569E-13</v>
      </c>
      <c r="I661">
        <f>IF($E$11&lt;=D661, IF(D661&lt;=$A$15,D661-$E$11,$F$11),0)</f>
        <v>300</v>
      </c>
      <c r="J661">
        <f>IF(D661&lt;=$A$15,0,D661-$A$15)</f>
        <v>329</v>
      </c>
      <c r="K661" s="5">
        <f>IF(D661&lt;$E$11,H661,0)</f>
        <v>0</v>
      </c>
      <c r="L661">
        <f>IF(D661&lt;$A$15,$C$11,$C$11*(1-$G$11))</f>
        <v>200</v>
      </c>
      <c r="M661">
        <f>IF(D661&lt;$A$15,0,1)</f>
        <v>1</v>
      </c>
    </row>
    <row r="662" spans="4:13" x14ac:dyDescent="0.2">
      <c r="D662">
        <f t="shared" si="33"/>
        <v>639</v>
      </c>
      <c r="E662" s="1">
        <f t="shared" si="35"/>
        <v>240.9289245790828</v>
      </c>
      <c r="F662" s="1">
        <f t="shared" si="34"/>
        <v>-25.397143574912064</v>
      </c>
      <c r="G662" s="1">
        <f t="shared" si="32"/>
        <v>9.3359966953574742E-12</v>
      </c>
      <c r="H662" s="1">
        <f>G662/$G$21</f>
        <v>6.5467236085931909E-13</v>
      </c>
      <c r="I662">
        <f>IF($E$11&lt;=D662, IF(D662&lt;=$A$15,D662-$E$11,$F$11),0)</f>
        <v>300</v>
      </c>
      <c r="J662">
        <f>IF(D662&lt;=$A$15,0,D662-$A$15)</f>
        <v>330</v>
      </c>
      <c r="K662" s="5">
        <f>IF(D662&lt;$E$11,H662,0)</f>
        <v>0</v>
      </c>
      <c r="L662">
        <f>IF(D662&lt;$A$15,$C$11,$C$11*(1-$G$11))</f>
        <v>200</v>
      </c>
      <c r="M662">
        <f>IF(D662&lt;$A$15,0,1)</f>
        <v>1</v>
      </c>
    </row>
    <row r="663" spans="4:13" x14ac:dyDescent="0.2">
      <c r="D663">
        <f t="shared" si="33"/>
        <v>640</v>
      </c>
      <c r="E663" s="1">
        <f t="shared" si="35"/>
        <v>240.85196353794669</v>
      </c>
      <c r="F663" s="1">
        <f t="shared" si="34"/>
        <v>-25.47410461604818</v>
      </c>
      <c r="G663" s="1">
        <f t="shared" si="32"/>
        <v>8.6444413845903638E-12</v>
      </c>
      <c r="H663" s="1">
        <f>G663/$G$21</f>
        <v>6.0617811190678465E-13</v>
      </c>
      <c r="I663">
        <f>IF($E$11&lt;=D663, IF(D663&lt;=$A$15,D663-$E$11,$F$11),0)</f>
        <v>300</v>
      </c>
      <c r="J663">
        <f>IF(D663&lt;=$A$15,0,D663-$A$15)</f>
        <v>331</v>
      </c>
      <c r="K663" s="5">
        <f>IF(D663&lt;$E$11,H663,0)</f>
        <v>0</v>
      </c>
      <c r="L663">
        <f>IF(D663&lt;$A$15,$C$11,$C$11*(1-$G$11))</f>
        <v>200</v>
      </c>
      <c r="M663">
        <f>IF(D663&lt;$A$15,0,1)</f>
        <v>1</v>
      </c>
    </row>
    <row r="664" spans="4:13" x14ac:dyDescent="0.2">
      <c r="D664">
        <f t="shared" si="33"/>
        <v>641</v>
      </c>
      <c r="E664" s="1">
        <f t="shared" si="35"/>
        <v>240.77500249681057</v>
      </c>
      <c r="F664" s="1">
        <f t="shared" si="34"/>
        <v>-25.551065657184296</v>
      </c>
      <c r="G664" s="1">
        <f t="shared" ref="G664:G727" si="36">EXP(F664)</f>
        <v>8.0041123931393257E-12</v>
      </c>
      <c r="H664" s="1">
        <f>G664/$G$21</f>
        <v>5.612760295433261E-13</v>
      </c>
      <c r="I664">
        <f>IF($E$11&lt;=D664, IF(D664&lt;=$A$15,D664-$E$11,$F$11),0)</f>
        <v>300</v>
      </c>
      <c r="J664">
        <f>IF(D664&lt;=$A$15,0,D664-$A$15)</f>
        <v>332</v>
      </c>
      <c r="K664" s="5">
        <f>IF(D664&lt;$E$11,H664,0)</f>
        <v>0</v>
      </c>
      <c r="L664">
        <f>IF(D664&lt;$A$15,$C$11,$C$11*(1-$G$11))</f>
        <v>200</v>
      </c>
      <c r="M664">
        <f>IF(D664&lt;$A$15,0,1)</f>
        <v>1</v>
      </c>
    </row>
    <row r="665" spans="4:13" x14ac:dyDescent="0.2">
      <c r="D665">
        <f t="shared" ref="D665:D728" si="37">1+D664</f>
        <v>642</v>
      </c>
      <c r="E665" s="1">
        <f t="shared" si="35"/>
        <v>240.69804145567446</v>
      </c>
      <c r="F665" s="1">
        <f t="shared" ref="F665:F728" si="38">E665-$E$21</f>
        <v>-25.628026698320411</v>
      </c>
      <c r="G665" s="1">
        <f t="shared" si="36"/>
        <v>7.411215178832804E-12</v>
      </c>
      <c r="H665" s="1">
        <f>G665/$G$21</f>
        <v>5.1970002735493828E-13</v>
      </c>
      <c r="I665">
        <f>IF($E$11&lt;=D665, IF(D665&lt;=$A$15,D665-$E$11,$F$11),0)</f>
        <v>300</v>
      </c>
      <c r="J665">
        <f>IF(D665&lt;=$A$15,0,D665-$A$15)</f>
        <v>333</v>
      </c>
      <c r="K665" s="5">
        <f>IF(D665&lt;$E$11,H665,0)</f>
        <v>0</v>
      </c>
      <c r="L665">
        <f>IF(D665&lt;$A$15,$C$11,$C$11*(1-$G$11))</f>
        <v>200</v>
      </c>
      <c r="M665">
        <f>IF(D665&lt;$A$15,0,1)</f>
        <v>1</v>
      </c>
    </row>
    <row r="666" spans="4:13" x14ac:dyDescent="0.2">
      <c r="D666">
        <f t="shared" si="37"/>
        <v>643</v>
      </c>
      <c r="E666" s="1">
        <f t="shared" si="35"/>
        <v>240.62108041453834</v>
      </c>
      <c r="F666" s="1">
        <f t="shared" si="38"/>
        <v>-25.704987739456527</v>
      </c>
      <c r="G666" s="1">
        <f t="shared" si="36"/>
        <v>6.8622362766971269E-12</v>
      </c>
      <c r="H666" s="1">
        <f>G666/$G$21</f>
        <v>4.8120372903235629E-13</v>
      </c>
      <c r="I666">
        <f>IF($E$11&lt;=D666, IF(D666&lt;=$A$15,D666-$E$11,$F$11),0)</f>
        <v>300</v>
      </c>
      <c r="J666">
        <f>IF(D666&lt;=$A$15,0,D666-$A$15)</f>
        <v>334</v>
      </c>
      <c r="K666" s="5">
        <f>IF(D666&lt;$E$11,H666,0)</f>
        <v>0</v>
      </c>
      <c r="L666">
        <f>IF(D666&lt;$A$15,$C$11,$C$11*(1-$G$11))</f>
        <v>200</v>
      </c>
      <c r="M666">
        <f>IF(D666&lt;$A$15,0,1)</f>
        <v>1</v>
      </c>
    </row>
    <row r="667" spans="4:13" x14ac:dyDescent="0.2">
      <c r="D667">
        <f t="shared" si="37"/>
        <v>644</v>
      </c>
      <c r="E667" s="1">
        <f t="shared" si="35"/>
        <v>240.54411937340222</v>
      </c>
      <c r="F667" s="1">
        <f t="shared" si="38"/>
        <v>-25.781948780592643</v>
      </c>
      <c r="G667" s="1">
        <f t="shared" si="36"/>
        <v>6.3539224784233462E-12</v>
      </c>
      <c r="H667" s="1">
        <f>G667/$G$21</f>
        <v>4.4555900836329849E-13</v>
      </c>
      <c r="I667">
        <f>IF($E$11&lt;=D667, IF(D667&lt;=$A$15,D667-$E$11,$F$11),0)</f>
        <v>300</v>
      </c>
      <c r="J667">
        <f>IF(D667&lt;=$A$15,0,D667-$A$15)</f>
        <v>335</v>
      </c>
      <c r="K667" s="5">
        <f>IF(D667&lt;$E$11,H667,0)</f>
        <v>0</v>
      </c>
      <c r="L667">
        <f>IF(D667&lt;$A$15,$C$11,$C$11*(1-$G$11))</f>
        <v>200</v>
      </c>
      <c r="M667">
        <f>IF(D667&lt;$A$15,0,1)</f>
        <v>1</v>
      </c>
    </row>
    <row r="668" spans="4:13" x14ac:dyDescent="0.2">
      <c r="D668">
        <f t="shared" si="37"/>
        <v>645</v>
      </c>
      <c r="E668" s="1">
        <f t="shared" si="35"/>
        <v>240.46715833226611</v>
      </c>
      <c r="F668" s="1">
        <f t="shared" si="38"/>
        <v>-25.858909821728759</v>
      </c>
      <c r="G668" s="1">
        <f t="shared" si="36"/>
        <v>5.8832615540957652E-12</v>
      </c>
      <c r="H668" s="1">
        <f>G668/$G$21</f>
        <v>4.1255463737342975E-13</v>
      </c>
      <c r="I668">
        <f>IF($E$11&lt;=D668, IF(D668&lt;=$A$15,D668-$E$11,$F$11),0)</f>
        <v>300</v>
      </c>
      <c r="J668">
        <f>IF(D668&lt;=$A$15,0,D668-$A$15)</f>
        <v>336</v>
      </c>
      <c r="K668" s="5">
        <f>IF(D668&lt;$E$11,H668,0)</f>
        <v>0</v>
      </c>
      <c r="L668">
        <f>IF(D668&lt;$A$15,$C$11,$C$11*(1-$G$11))</f>
        <v>200</v>
      </c>
      <c r="M668">
        <f>IF(D668&lt;$A$15,0,1)</f>
        <v>1</v>
      </c>
    </row>
    <row r="669" spans="4:13" x14ac:dyDescent="0.2">
      <c r="D669">
        <f t="shared" si="37"/>
        <v>646</v>
      </c>
      <c r="E669" s="1">
        <f t="shared" si="35"/>
        <v>240.39019729112999</v>
      </c>
      <c r="F669" s="1">
        <f t="shared" si="38"/>
        <v>-25.935870862864874</v>
      </c>
      <c r="G669" s="1">
        <f t="shared" si="36"/>
        <v>5.447464401940592E-12</v>
      </c>
      <c r="H669" s="1">
        <f>G669/$G$21</f>
        <v>3.8199503460503234E-13</v>
      </c>
      <c r="I669">
        <f>IF($E$11&lt;=D669, IF(D669&lt;=$A$15,D669-$E$11,$F$11),0)</f>
        <v>300</v>
      </c>
      <c r="J669">
        <f>IF(D669&lt;=$A$15,0,D669-$A$15)</f>
        <v>337</v>
      </c>
      <c r="K669" s="5">
        <f>IF(D669&lt;$E$11,H669,0)</f>
        <v>0</v>
      </c>
      <c r="L669">
        <f>IF(D669&lt;$A$15,$C$11,$C$11*(1-$G$11))</f>
        <v>200</v>
      </c>
      <c r="M669">
        <f>IF(D669&lt;$A$15,0,1)</f>
        <v>1</v>
      </c>
    </row>
    <row r="670" spans="4:13" x14ac:dyDescent="0.2">
      <c r="D670">
        <f t="shared" si="37"/>
        <v>647</v>
      </c>
      <c r="E670" s="1">
        <f t="shared" si="35"/>
        <v>240.31323624999388</v>
      </c>
      <c r="F670" s="1">
        <f t="shared" si="38"/>
        <v>-26.01283190400099</v>
      </c>
      <c r="G670" s="1">
        <f t="shared" si="36"/>
        <v>5.0439485203154267E-12</v>
      </c>
      <c r="H670" s="1">
        <f>G670/$G$21</f>
        <v>3.5369910611577514E-13</v>
      </c>
      <c r="I670">
        <f>IF($E$11&lt;=D670, IF(D670&lt;=$A$15,D670-$E$11,$F$11),0)</f>
        <v>300</v>
      </c>
      <c r="J670">
        <f>IF(D670&lt;=$A$15,0,D670-$A$15)</f>
        <v>338</v>
      </c>
      <c r="K670" s="5">
        <f>IF(D670&lt;$E$11,H670,0)</f>
        <v>0</v>
      </c>
      <c r="L670">
        <f>IF(D670&lt;$A$15,$C$11,$C$11*(1-$G$11))</f>
        <v>200</v>
      </c>
      <c r="M670">
        <f>IF(D670&lt;$A$15,0,1)</f>
        <v>1</v>
      </c>
    </row>
    <row r="671" spans="4:13" x14ac:dyDescent="0.2">
      <c r="D671">
        <f t="shared" si="37"/>
        <v>648</v>
      </c>
      <c r="E671" s="1">
        <f t="shared" si="35"/>
        <v>240.23627520885776</v>
      </c>
      <c r="F671" s="1">
        <f t="shared" si="38"/>
        <v>-26.089792945137106</v>
      </c>
      <c r="G671" s="1">
        <f t="shared" si="36"/>
        <v>4.6703227039958242E-12</v>
      </c>
      <c r="H671" s="1">
        <f>G671/$G$21</f>
        <v>3.2749917232942558E-13</v>
      </c>
      <c r="I671">
        <f>IF($E$11&lt;=D671, IF(D671&lt;=$A$15,D671-$E$11,$F$11),0)</f>
        <v>300</v>
      </c>
      <c r="J671">
        <f>IF(D671&lt;=$A$15,0,D671-$A$15)</f>
        <v>339</v>
      </c>
      <c r="K671" s="5">
        <f>IF(D671&lt;$E$11,H671,0)</f>
        <v>0</v>
      </c>
      <c r="L671">
        <f>IF(D671&lt;$A$15,$C$11,$C$11*(1-$G$11))</f>
        <v>200</v>
      </c>
      <c r="M671">
        <f>IF(D671&lt;$A$15,0,1)</f>
        <v>1</v>
      </c>
    </row>
    <row r="672" spans="4:13" x14ac:dyDescent="0.2">
      <c r="D672">
        <f t="shared" si="37"/>
        <v>649</v>
      </c>
      <c r="E672" s="1">
        <f t="shared" si="35"/>
        <v>240.15931416772165</v>
      </c>
      <c r="F672" s="1">
        <f t="shared" si="38"/>
        <v>-26.166753986273221</v>
      </c>
      <c r="G672" s="1">
        <f t="shared" si="36"/>
        <v>4.3243728740702628E-12</v>
      </c>
      <c r="H672" s="1">
        <f>G672/$G$21</f>
        <v>3.0323997437910161E-13</v>
      </c>
      <c r="I672">
        <f>IF($E$11&lt;=D672, IF(D672&lt;=$A$15,D672-$E$11,$F$11),0)</f>
        <v>300</v>
      </c>
      <c r="J672">
        <f>IF(D672&lt;=$A$15,0,D672-$A$15)</f>
        <v>340</v>
      </c>
      <c r="K672" s="5">
        <f>IF(D672&lt;$E$11,H672,0)</f>
        <v>0</v>
      </c>
      <c r="L672">
        <f>IF(D672&lt;$A$15,$C$11,$C$11*(1-$G$11))</f>
        <v>200</v>
      </c>
      <c r="M672">
        <f>IF(D672&lt;$A$15,0,1)</f>
        <v>1</v>
      </c>
    </row>
    <row r="673" spans="4:13" x14ac:dyDescent="0.2">
      <c r="D673">
        <f t="shared" si="37"/>
        <v>650</v>
      </c>
      <c r="E673" s="1">
        <f t="shared" si="35"/>
        <v>240.08235312658553</v>
      </c>
      <c r="F673" s="1">
        <f t="shared" si="38"/>
        <v>-26.243715027409337</v>
      </c>
      <c r="G673" s="1">
        <f t="shared" si="36"/>
        <v>4.0040489574725157E-12</v>
      </c>
      <c r="H673" s="1">
        <f>G673/$G$21</f>
        <v>2.8077775405472724E-13</v>
      </c>
      <c r="I673">
        <f>IF($E$11&lt;=D673, IF(D673&lt;=$A$15,D673-$E$11,$F$11),0)</f>
        <v>300</v>
      </c>
      <c r="J673">
        <f>IF(D673&lt;=$A$15,0,D673-$A$15)</f>
        <v>341</v>
      </c>
      <c r="K673" s="5">
        <f>IF(D673&lt;$E$11,H673,0)</f>
        <v>0</v>
      </c>
      <c r="L673">
        <f>IF(D673&lt;$A$15,$C$11,$C$11*(1-$G$11))</f>
        <v>200</v>
      </c>
      <c r="M673">
        <f>IF(D673&lt;$A$15,0,1)</f>
        <v>1</v>
      </c>
    </row>
    <row r="674" spans="4:13" x14ac:dyDescent="0.2">
      <c r="D674">
        <f t="shared" si="37"/>
        <v>651</v>
      </c>
      <c r="E674" s="1">
        <f t="shared" si="35"/>
        <v>240.00539208544942</v>
      </c>
      <c r="F674" s="1">
        <f t="shared" si="38"/>
        <v>-26.320676068545453</v>
      </c>
      <c r="G674" s="1">
        <f t="shared" si="36"/>
        <v>3.7074527384005245E-12</v>
      </c>
      <c r="H674" s="1">
        <f>G674/$G$21</f>
        <v>2.5997940190252851E-13</v>
      </c>
      <c r="I674">
        <f>IF($E$11&lt;=D674, IF(D674&lt;=$A$15,D674-$E$11,$F$11),0)</f>
        <v>300</v>
      </c>
      <c r="J674">
        <f>IF(D674&lt;=$A$15,0,D674-$A$15)</f>
        <v>342</v>
      </c>
      <c r="K674" s="5">
        <f>IF(D674&lt;$E$11,H674,0)</f>
        <v>0</v>
      </c>
      <c r="L674">
        <f>IF(D674&lt;$A$15,$C$11,$C$11*(1-$G$11))</f>
        <v>200</v>
      </c>
      <c r="M674">
        <f>IF(D674&lt;$A$15,0,1)</f>
        <v>1</v>
      </c>
    </row>
    <row r="675" spans="4:13" x14ac:dyDescent="0.2">
      <c r="D675">
        <f t="shared" si="37"/>
        <v>652</v>
      </c>
      <c r="E675" s="1">
        <f t="shared" si="35"/>
        <v>239.9284310443133</v>
      </c>
      <c r="F675" s="1">
        <f t="shared" si="38"/>
        <v>-26.397637109681568</v>
      </c>
      <c r="G675" s="1">
        <f t="shared" si="36"/>
        <v>3.4328266096301587E-12</v>
      </c>
      <c r="H675" s="1">
        <f>G675/$G$21</f>
        <v>2.4072166842827017E-13</v>
      </c>
      <c r="I675">
        <f>IF($E$11&lt;=D675, IF(D675&lt;=$A$15,D675-$E$11,$F$11),0)</f>
        <v>300</v>
      </c>
      <c r="J675">
        <f>IF(D675&lt;=$A$15,0,D675-$A$15)</f>
        <v>343</v>
      </c>
      <c r="K675" s="5">
        <f>IF(D675&lt;$E$11,H675,0)</f>
        <v>0</v>
      </c>
      <c r="L675">
        <f>IF(D675&lt;$A$15,$C$11,$C$11*(1-$G$11))</f>
        <v>200</v>
      </c>
      <c r="M675">
        <f>IF(D675&lt;$A$15,0,1)</f>
        <v>1</v>
      </c>
    </row>
    <row r="676" spans="4:13" x14ac:dyDescent="0.2">
      <c r="D676">
        <f t="shared" si="37"/>
        <v>653</v>
      </c>
      <c r="E676" s="1">
        <f t="shared" si="35"/>
        <v>239.85147000317718</v>
      </c>
      <c r="F676" s="1">
        <f t="shared" si="38"/>
        <v>-26.474598150817684</v>
      </c>
      <c r="G676" s="1">
        <f t="shared" si="36"/>
        <v>3.1785431570650022E-12</v>
      </c>
      <c r="H676" s="1">
        <f>G676/$G$21</f>
        <v>2.2289043372988265E-13</v>
      </c>
      <c r="I676">
        <f>IF($E$11&lt;=D676, IF(D676&lt;=$A$15,D676-$E$11,$F$11),0)</f>
        <v>300</v>
      </c>
      <c r="J676">
        <f>IF(D676&lt;=$A$15,0,D676-$A$15)</f>
        <v>344</v>
      </c>
      <c r="K676" s="5">
        <f>IF(D676&lt;$E$11,H676,0)</f>
        <v>0</v>
      </c>
      <c r="L676">
        <f>IF(D676&lt;$A$15,$C$11,$C$11*(1-$G$11))</f>
        <v>200</v>
      </c>
      <c r="M676">
        <f>IF(D676&lt;$A$15,0,1)</f>
        <v>1</v>
      </c>
    </row>
    <row r="677" spans="4:13" x14ac:dyDescent="0.2">
      <c r="D677">
        <f t="shared" si="37"/>
        <v>654</v>
      </c>
      <c r="E677" s="1">
        <f t="shared" si="35"/>
        <v>239.77450896204107</v>
      </c>
      <c r="F677" s="1">
        <f t="shared" si="38"/>
        <v>-26.5515591919538</v>
      </c>
      <c r="G677" s="1">
        <f t="shared" si="36"/>
        <v>2.9430955158009649E-12</v>
      </c>
      <c r="H677" s="1">
        <f>G677/$G$21</f>
        <v>2.063800312313754E-13</v>
      </c>
      <c r="I677">
        <f>IF($E$11&lt;=D677, IF(D677&lt;=$A$15,D677-$E$11,$F$11),0)</f>
        <v>300</v>
      </c>
      <c r="J677">
        <f>IF(D677&lt;=$A$15,0,D677-$A$15)</f>
        <v>345</v>
      </c>
      <c r="K677" s="5">
        <f>IF(D677&lt;$E$11,H677,0)</f>
        <v>0</v>
      </c>
      <c r="L677">
        <f>IF(D677&lt;$A$15,$C$11,$C$11*(1-$G$11))</f>
        <v>200</v>
      </c>
      <c r="M677">
        <f>IF(D677&lt;$A$15,0,1)</f>
        <v>1</v>
      </c>
    </row>
    <row r="678" spans="4:13" x14ac:dyDescent="0.2">
      <c r="D678">
        <f t="shared" si="37"/>
        <v>655</v>
      </c>
      <c r="E678" s="1">
        <f t="shared" si="35"/>
        <v>239.69754792090495</v>
      </c>
      <c r="F678" s="1">
        <f t="shared" si="38"/>
        <v>-26.628520233089915</v>
      </c>
      <c r="G678" s="1">
        <f t="shared" si="36"/>
        <v>2.7250884405564836E-12</v>
      </c>
      <c r="H678" s="1">
        <f>G678/$G$21</f>
        <v>1.910926215105352E-13</v>
      </c>
      <c r="I678">
        <f>IF($E$11&lt;=D678, IF(D678&lt;=$A$15,D678-$E$11,$F$11),0)</f>
        <v>300</v>
      </c>
      <c r="J678">
        <f>IF(D678&lt;=$A$15,0,D678-$A$15)</f>
        <v>346</v>
      </c>
      <c r="K678" s="5">
        <f>IF(D678&lt;$E$11,H678,0)</f>
        <v>0</v>
      </c>
      <c r="L678">
        <f>IF(D678&lt;$A$15,$C$11,$C$11*(1-$G$11))</f>
        <v>200</v>
      </c>
      <c r="M678">
        <f>IF(D678&lt;$A$15,0,1)</f>
        <v>1</v>
      </c>
    </row>
    <row r="679" spans="4:13" x14ac:dyDescent="0.2">
      <c r="D679">
        <f t="shared" si="37"/>
        <v>656</v>
      </c>
      <c r="E679" s="1">
        <f t="shared" si="35"/>
        <v>239.62058687976884</v>
      </c>
      <c r="F679" s="1">
        <f t="shared" si="38"/>
        <v>-26.705481274226031</v>
      </c>
      <c r="G679" s="1">
        <f t="shared" si="36"/>
        <v>2.5232300375523317E-12</v>
      </c>
      <c r="H679" s="1">
        <f>G679/$G$21</f>
        <v>1.7693761250975707E-13</v>
      </c>
      <c r="I679">
        <f>IF($E$11&lt;=D679, IF(D679&lt;=$A$15,D679-$E$11,$F$11),0)</f>
        <v>300</v>
      </c>
      <c r="J679">
        <f>IF(D679&lt;=$A$15,0,D679-$A$15)</f>
        <v>347</v>
      </c>
      <c r="K679" s="5">
        <f>IF(D679&lt;$E$11,H679,0)</f>
        <v>0</v>
      </c>
      <c r="L679">
        <f>IF(D679&lt;$A$15,$C$11,$C$11*(1-$G$11))</f>
        <v>200</v>
      </c>
      <c r="M679">
        <f>IF(D679&lt;$A$15,0,1)</f>
        <v>1</v>
      </c>
    </row>
    <row r="680" spans="4:13" x14ac:dyDescent="0.2">
      <c r="D680">
        <f t="shared" si="37"/>
        <v>657</v>
      </c>
      <c r="E680" s="1">
        <f t="shared" si="35"/>
        <v>239.54362583863272</v>
      </c>
      <c r="F680" s="1">
        <f t="shared" si="38"/>
        <v>-26.782442315362147</v>
      </c>
      <c r="G680" s="1">
        <f t="shared" si="36"/>
        <v>2.3363241088447808E-12</v>
      </c>
      <c r="H680" s="1">
        <f>G680/$G$21</f>
        <v>1.6383112269422156E-13</v>
      </c>
      <c r="I680">
        <f>IF($E$11&lt;=D680, IF(D680&lt;=$A$15,D680-$E$11,$F$11),0)</f>
        <v>300</v>
      </c>
      <c r="J680">
        <f>IF(D680&lt;=$A$15,0,D680-$A$15)</f>
        <v>348</v>
      </c>
      <c r="K680" s="5">
        <f>IF(D680&lt;$E$11,H680,0)</f>
        <v>0</v>
      </c>
      <c r="L680">
        <f>IF(D680&lt;$A$15,$C$11,$C$11*(1-$G$11))</f>
        <v>200</v>
      </c>
      <c r="M680">
        <f>IF(D680&lt;$A$15,0,1)</f>
        <v>1</v>
      </c>
    </row>
    <row r="681" spans="4:13" x14ac:dyDescent="0.2">
      <c r="D681">
        <f t="shared" si="37"/>
        <v>658</v>
      </c>
      <c r="E681" s="1">
        <f t="shared" si="35"/>
        <v>239.46666479749661</v>
      </c>
      <c r="F681" s="1">
        <f t="shared" si="38"/>
        <v>-26.859403356498262</v>
      </c>
      <c r="G681" s="1">
        <f t="shared" si="36"/>
        <v>2.1632630637451948E-12</v>
      </c>
      <c r="H681" s="1">
        <f>G681/$G$21</f>
        <v>1.5169548397613299E-13</v>
      </c>
      <c r="I681">
        <f>IF($E$11&lt;=D681, IF(D681&lt;=$A$15,D681-$E$11,$F$11),0)</f>
        <v>300</v>
      </c>
      <c r="J681">
        <f>IF(D681&lt;=$A$15,0,D681-$A$15)</f>
        <v>349</v>
      </c>
      <c r="K681" s="5">
        <f>IF(D681&lt;$E$11,H681,0)</f>
        <v>0</v>
      </c>
      <c r="L681">
        <f>IF(D681&lt;$A$15,$C$11,$C$11*(1-$G$11))</f>
        <v>200</v>
      </c>
      <c r="M681">
        <f>IF(D681&lt;$A$15,0,1)</f>
        <v>1</v>
      </c>
    </row>
    <row r="682" spans="4:13" x14ac:dyDescent="0.2">
      <c r="D682">
        <f t="shared" si="37"/>
        <v>659</v>
      </c>
      <c r="E682" s="1">
        <f t="shared" si="35"/>
        <v>239.38970375636049</v>
      </c>
      <c r="F682" s="1">
        <f t="shared" si="38"/>
        <v>-26.936364397634378</v>
      </c>
      <c r="G682" s="1">
        <f t="shared" si="36"/>
        <v>2.0030213553196503E-12</v>
      </c>
      <c r="H682" s="1">
        <f>G682/$G$21</f>
        <v>1.404587814593842E-13</v>
      </c>
      <c r="I682">
        <f>IF($E$11&lt;=D682, IF(D682&lt;=$A$15,D682-$E$11,$F$11),0)</f>
        <v>300</v>
      </c>
      <c r="J682">
        <f>IF(D682&lt;=$A$15,0,D682-$A$15)</f>
        <v>350</v>
      </c>
      <c r="K682" s="5">
        <f>IF(D682&lt;$E$11,H682,0)</f>
        <v>0</v>
      </c>
      <c r="L682">
        <f>IF(D682&lt;$A$15,$C$11,$C$11*(1-$G$11))</f>
        <v>200</v>
      </c>
      <c r="M682">
        <f>IF(D682&lt;$A$15,0,1)</f>
        <v>1</v>
      </c>
    </row>
    <row r="683" spans="4:13" x14ac:dyDescent="0.2">
      <c r="D683">
        <f t="shared" si="37"/>
        <v>660</v>
      </c>
      <c r="E683" s="1">
        <f t="shared" si="35"/>
        <v>239.31274271522437</v>
      </c>
      <c r="F683" s="1">
        <f t="shared" si="38"/>
        <v>-27.013325438770494</v>
      </c>
      <c r="G683" s="1">
        <f t="shared" si="36"/>
        <v>1.8546494030737737E-12</v>
      </c>
      <c r="H683" s="1">
        <f>G683/$G$21</f>
        <v>1.3005442727720923E-13</v>
      </c>
      <c r="I683">
        <f>IF($E$11&lt;=D683, IF(D683&lt;=$A$15,D683-$E$11,$F$11),0)</f>
        <v>300</v>
      </c>
      <c r="J683">
        <f>IF(D683&lt;=$A$15,0,D683-$A$15)</f>
        <v>351</v>
      </c>
      <c r="K683" s="5">
        <f>IF(D683&lt;$E$11,H683,0)</f>
        <v>0</v>
      </c>
      <c r="L683">
        <f>IF(D683&lt;$A$15,$C$11,$C$11*(1-$G$11))</f>
        <v>200</v>
      </c>
      <c r="M683">
        <f>IF(D683&lt;$A$15,0,1)</f>
        <v>1</v>
      </c>
    </row>
    <row r="684" spans="4:13" x14ac:dyDescent="0.2">
      <c r="D684">
        <f t="shared" si="37"/>
        <v>661</v>
      </c>
      <c r="E684" s="1">
        <f t="shared" si="35"/>
        <v>239.23578167408826</v>
      </c>
      <c r="F684" s="1">
        <f t="shared" si="38"/>
        <v>-27.090286479906609</v>
      </c>
      <c r="G684" s="1">
        <f t="shared" si="36"/>
        <v>1.7172679658090715E-12</v>
      </c>
      <c r="H684" s="1">
        <f>G684/$G$21</f>
        <v>1.2042076599741747E-13</v>
      </c>
      <c r="I684">
        <f>IF($E$11&lt;=D684, IF(D684&lt;=$A$15,D684-$E$11,$F$11),0)</f>
        <v>300</v>
      </c>
      <c r="J684">
        <f>IF(D684&lt;=$A$15,0,D684-$A$15)</f>
        <v>352</v>
      </c>
      <c r="K684" s="5">
        <f>IF(D684&lt;$E$11,H684,0)</f>
        <v>0</v>
      </c>
      <c r="L684">
        <f>IF(D684&lt;$A$15,$C$11,$C$11*(1-$G$11))</f>
        <v>200</v>
      </c>
      <c r="M684">
        <f>IF(D684&lt;$A$15,0,1)</f>
        <v>1</v>
      </c>
    </row>
    <row r="685" spans="4:13" x14ac:dyDescent="0.2">
      <c r="D685">
        <f t="shared" si="37"/>
        <v>662</v>
      </c>
      <c r="E685" s="1">
        <f t="shared" si="35"/>
        <v>239.15882063295214</v>
      </c>
      <c r="F685" s="1">
        <f t="shared" si="38"/>
        <v>-27.167247521042725</v>
      </c>
      <c r="G685" s="1">
        <f t="shared" si="36"/>
        <v>1.5900629313047158E-12</v>
      </c>
      <c r="H685" s="1">
        <f>G685/$G$21</f>
        <v>1.1150070925686943E-13</v>
      </c>
      <c r="I685">
        <f>IF($E$11&lt;=D685, IF(D685&lt;=$A$15,D685-$E$11,$F$11),0)</f>
        <v>300</v>
      </c>
      <c r="J685">
        <f>IF(D685&lt;=$A$15,0,D685-$A$15)</f>
        <v>353</v>
      </c>
      <c r="K685" s="5">
        <f>IF(D685&lt;$E$11,H685,0)</f>
        <v>0</v>
      </c>
      <c r="L685">
        <f>IF(D685&lt;$A$15,$C$11,$C$11*(1-$G$11))</f>
        <v>200</v>
      </c>
      <c r="M685">
        <f>IF(D685&lt;$A$15,0,1)</f>
        <v>1</v>
      </c>
    </row>
    <row r="686" spans="4:13" x14ac:dyDescent="0.2">
      <c r="D686">
        <f t="shared" si="37"/>
        <v>663</v>
      </c>
      <c r="E686" s="1">
        <f t="shared" si="35"/>
        <v>239.08185959181603</v>
      </c>
      <c r="F686" s="1">
        <f t="shared" si="38"/>
        <v>-27.244208562178841</v>
      </c>
      <c r="G686" s="1">
        <f t="shared" si="36"/>
        <v>1.4722804919488295E-12</v>
      </c>
      <c r="H686" s="1">
        <f>G686/$G$21</f>
        <v>1.0324139746006559E-13</v>
      </c>
      <c r="I686">
        <f>IF($E$11&lt;=D686, IF(D686&lt;=$A$15,D686-$E$11,$F$11),0)</f>
        <v>300</v>
      </c>
      <c r="J686">
        <f>IF(D686&lt;=$A$15,0,D686-$A$15)</f>
        <v>354</v>
      </c>
      <c r="K686" s="5">
        <f>IF(D686&lt;$E$11,H686,0)</f>
        <v>0</v>
      </c>
      <c r="L686">
        <f>IF(D686&lt;$A$15,$C$11,$C$11*(1-$G$11))</f>
        <v>200</v>
      </c>
      <c r="M686">
        <f>IF(D686&lt;$A$15,0,1)</f>
        <v>1</v>
      </c>
    </row>
    <row r="687" spans="4:13" x14ac:dyDescent="0.2">
      <c r="D687">
        <f t="shared" si="37"/>
        <v>664</v>
      </c>
      <c r="E687" s="1">
        <f t="shared" si="35"/>
        <v>239.00489855067991</v>
      </c>
      <c r="F687" s="1">
        <f t="shared" si="38"/>
        <v>-27.321169603314956</v>
      </c>
      <c r="G687" s="1">
        <f t="shared" si="36"/>
        <v>1.363222677730415E-12</v>
      </c>
      <c r="H687" s="1">
        <f>G687/$G$21</f>
        <v>9.5593886537098983E-14</v>
      </c>
      <c r="I687">
        <f>IF($E$11&lt;=D687, IF(D687&lt;=$A$15,D687-$E$11,$F$11),0)</f>
        <v>300</v>
      </c>
      <c r="J687">
        <f>IF(D687&lt;=$A$15,0,D687-$A$15)</f>
        <v>355</v>
      </c>
      <c r="K687" s="5">
        <f>IF(D687&lt;$E$11,H687,0)</f>
        <v>0</v>
      </c>
      <c r="L687">
        <f>IF(D687&lt;$A$15,$C$11,$C$11*(1-$G$11))</f>
        <v>200</v>
      </c>
      <c r="M687">
        <f>IF(D687&lt;$A$15,0,1)</f>
        <v>1</v>
      </c>
    </row>
    <row r="688" spans="4:13" x14ac:dyDescent="0.2">
      <c r="D688">
        <f t="shared" si="37"/>
        <v>665</v>
      </c>
      <c r="E688" s="1">
        <f t="shared" si="35"/>
        <v>238.9279375095438</v>
      </c>
      <c r="F688" s="1">
        <f t="shared" si="38"/>
        <v>-27.398130644451072</v>
      </c>
      <c r="G688" s="1">
        <f t="shared" si="36"/>
        <v>1.2622432201207705E-12</v>
      </c>
      <c r="H688" s="1">
        <f>G688/$G$21</f>
        <v>8.8512857904722399E-14</v>
      </c>
      <c r="I688">
        <f>IF($E$11&lt;=D688, IF(D688&lt;=$A$15,D688-$E$11,$F$11),0)</f>
        <v>300</v>
      </c>
      <c r="J688">
        <f>IF(D688&lt;=$A$15,0,D688-$A$15)</f>
        <v>356</v>
      </c>
      <c r="K688" s="5">
        <f>IF(D688&lt;$E$11,H688,0)</f>
        <v>0</v>
      </c>
      <c r="L688">
        <f>IF(D688&lt;$A$15,$C$11,$C$11*(1-$G$11))</f>
        <v>200</v>
      </c>
      <c r="M688">
        <f>IF(D688&lt;$A$15,0,1)</f>
        <v>1</v>
      </c>
    </row>
    <row r="689" spans="4:13" x14ac:dyDescent="0.2">
      <c r="D689">
        <f t="shared" si="37"/>
        <v>666</v>
      </c>
      <c r="E689" s="1">
        <f t="shared" si="35"/>
        <v>238.85097646840768</v>
      </c>
      <c r="F689" s="1">
        <f t="shared" si="38"/>
        <v>-27.475091685587188</v>
      </c>
      <c r="G689" s="1">
        <f t="shared" si="36"/>
        <v>1.1687437223340616E-12</v>
      </c>
      <c r="H689" s="1">
        <f>G689/$G$21</f>
        <v>8.1956349911781041E-14</v>
      </c>
      <c r="I689">
        <f>IF($E$11&lt;=D689, IF(D689&lt;=$A$15,D689-$E$11,$F$11),0)</f>
        <v>300</v>
      </c>
      <c r="J689">
        <f>IF(D689&lt;=$A$15,0,D689-$A$15)</f>
        <v>357</v>
      </c>
      <c r="K689" s="5">
        <f>IF(D689&lt;$E$11,H689,0)</f>
        <v>0</v>
      </c>
      <c r="L689">
        <f>IF(D689&lt;$A$15,$C$11,$C$11*(1-$G$11))</f>
        <v>200</v>
      </c>
      <c r="M689">
        <f>IF(D689&lt;$A$15,0,1)</f>
        <v>1</v>
      </c>
    </row>
    <row r="690" spans="4:13" x14ac:dyDescent="0.2">
      <c r="D690">
        <f t="shared" si="37"/>
        <v>667</v>
      </c>
      <c r="E690" s="1">
        <f t="shared" si="35"/>
        <v>238.77401542727156</v>
      </c>
      <c r="F690" s="1">
        <f t="shared" si="38"/>
        <v>-27.552052726723304</v>
      </c>
      <c r="G690" s="1">
        <f t="shared" si="36"/>
        <v>1.0821701132722929E-12</v>
      </c>
      <c r="H690" s="1">
        <f>G690/$G$21</f>
        <v>7.5885509177575997E-14</v>
      </c>
      <c r="I690">
        <f>IF($E$11&lt;=D690, IF(D690&lt;=$A$15,D690-$E$11,$F$11),0)</f>
        <v>300</v>
      </c>
      <c r="J690">
        <f>IF(D690&lt;=$A$15,0,D690-$A$15)</f>
        <v>358</v>
      </c>
      <c r="K690" s="5">
        <f>IF(D690&lt;$E$11,H690,0)</f>
        <v>0</v>
      </c>
      <c r="L690">
        <f>IF(D690&lt;$A$15,$C$11,$C$11*(1-$G$11))</f>
        <v>200</v>
      </c>
      <c r="M690">
        <f>IF(D690&lt;$A$15,0,1)</f>
        <v>1</v>
      </c>
    </row>
    <row r="691" spans="4:13" x14ac:dyDescent="0.2">
      <c r="D691">
        <f t="shared" si="37"/>
        <v>668</v>
      </c>
      <c r="E691" s="1">
        <f t="shared" si="35"/>
        <v>238.69705438613545</v>
      </c>
      <c r="F691" s="1">
        <f t="shared" si="38"/>
        <v>-27.629013767859419</v>
      </c>
      <c r="G691" s="1">
        <f t="shared" si="36"/>
        <v>1.0020093641410247E-12</v>
      </c>
      <c r="H691" s="1">
        <f>G691/$G$21</f>
        <v>7.026436034960829E-14</v>
      </c>
      <c r="I691">
        <f>IF($E$11&lt;=D691, IF(D691&lt;=$A$15,D691-$E$11,$F$11),0)</f>
        <v>300</v>
      </c>
      <c r="J691">
        <f>IF(D691&lt;=$A$15,0,D691-$A$15)</f>
        <v>359</v>
      </c>
      <c r="K691" s="5">
        <f>IF(D691&lt;$E$11,H691,0)</f>
        <v>0</v>
      </c>
      <c r="L691">
        <f>IF(D691&lt;$A$15,$C$11,$C$11*(1-$G$11))</f>
        <v>200</v>
      </c>
      <c r="M691">
        <f>IF(D691&lt;$A$15,0,1)</f>
        <v>1</v>
      </c>
    </row>
    <row r="692" spans="4:13" x14ac:dyDescent="0.2">
      <c r="D692">
        <f t="shared" si="37"/>
        <v>669</v>
      </c>
      <c r="E692" s="1">
        <f t="shared" si="35"/>
        <v>238.62009334499933</v>
      </c>
      <c r="F692" s="1">
        <f t="shared" si="38"/>
        <v>-27.705974808995535</v>
      </c>
      <c r="G692" s="1">
        <f t="shared" si="36"/>
        <v>9.2778644827873832E-13</v>
      </c>
      <c r="H692" s="1">
        <f>G692/$G$21</f>
        <v>6.5059592916304805E-14</v>
      </c>
      <c r="I692">
        <f>IF($E$11&lt;=D692, IF(D692&lt;=$A$15,D692-$E$11,$F$11),0)</f>
        <v>300</v>
      </c>
      <c r="J692">
        <f>IF(D692&lt;=$A$15,0,D692-$A$15)</f>
        <v>360</v>
      </c>
      <c r="K692" s="5">
        <f>IF(D692&lt;$E$11,H692,0)</f>
        <v>0</v>
      </c>
      <c r="L692">
        <f>IF(D692&lt;$A$15,$C$11,$C$11*(1-$G$11))</f>
        <v>200</v>
      </c>
      <c r="M692">
        <f>IF(D692&lt;$A$15,0,1)</f>
        <v>1</v>
      </c>
    </row>
    <row r="693" spans="4:13" x14ac:dyDescent="0.2">
      <c r="D693">
        <f t="shared" si="37"/>
        <v>670</v>
      </c>
      <c r="E693" s="1">
        <f t="shared" si="35"/>
        <v>238.54313230386322</v>
      </c>
      <c r="F693" s="1">
        <f t="shared" si="38"/>
        <v>-27.782935850131651</v>
      </c>
      <c r="G693" s="1">
        <f t="shared" si="36"/>
        <v>8.5906152618402771E-13</v>
      </c>
      <c r="H693" s="1">
        <f>G693/$G$21</f>
        <v>6.0240363811394087E-14</v>
      </c>
      <c r="I693">
        <f>IF($E$11&lt;=D693, IF(D693&lt;=$A$15,D693-$E$11,$F$11),0)</f>
        <v>300</v>
      </c>
      <c r="J693">
        <f>IF(D693&lt;=$A$15,0,D693-$A$15)</f>
        <v>361</v>
      </c>
      <c r="K693" s="5">
        <f>IF(D693&lt;$E$11,H693,0)</f>
        <v>0</v>
      </c>
      <c r="L693">
        <f>IF(D693&lt;$A$15,$C$11,$C$11*(1-$G$11))</f>
        <v>200</v>
      </c>
      <c r="M693">
        <f>IF(D693&lt;$A$15,0,1)</f>
        <v>1</v>
      </c>
    </row>
    <row r="694" spans="4:13" x14ac:dyDescent="0.2">
      <c r="D694">
        <f t="shared" si="37"/>
        <v>671</v>
      </c>
      <c r="E694" s="1">
        <f t="shared" si="35"/>
        <v>238.4661712627271</v>
      </c>
      <c r="F694" s="1">
        <f t="shared" si="38"/>
        <v>-27.859896891267766</v>
      </c>
      <c r="G694" s="1">
        <f t="shared" si="36"/>
        <v>7.9542733905929498E-13</v>
      </c>
      <c r="H694" s="1">
        <f>G694/$G$21</f>
        <v>5.5778114640180417E-14</v>
      </c>
      <c r="I694">
        <f>IF($E$11&lt;=D694, IF(D694&lt;=$A$15,D694-$E$11,$F$11),0)</f>
        <v>300</v>
      </c>
      <c r="J694">
        <f>IF(D694&lt;=$A$15,0,D694-$A$15)</f>
        <v>362</v>
      </c>
      <c r="K694" s="5">
        <f>IF(D694&lt;$E$11,H694,0)</f>
        <v>0</v>
      </c>
      <c r="L694">
        <f>IF(D694&lt;$A$15,$C$11,$C$11*(1-$G$11))</f>
        <v>200</v>
      </c>
      <c r="M694">
        <f>IF(D694&lt;$A$15,0,1)</f>
        <v>1</v>
      </c>
    </row>
    <row r="695" spans="4:13" x14ac:dyDescent="0.2">
      <c r="D695">
        <f t="shared" si="37"/>
        <v>672</v>
      </c>
      <c r="E695" s="1">
        <f t="shared" si="35"/>
        <v>238.38921022159099</v>
      </c>
      <c r="F695" s="1">
        <f t="shared" si="38"/>
        <v>-27.936857932403882</v>
      </c>
      <c r="G695" s="1">
        <f t="shared" si="36"/>
        <v>7.365067954252825E-13</v>
      </c>
      <c r="H695" s="1">
        <f>G695/$G$21</f>
        <v>5.1646402444612151E-14</v>
      </c>
      <c r="I695">
        <f>IF($E$11&lt;=D695, IF(D695&lt;=$A$15,D695-$E$11,$F$11),0)</f>
        <v>300</v>
      </c>
      <c r="J695">
        <f>IF(D695&lt;=$A$15,0,D695-$A$15)</f>
        <v>363</v>
      </c>
      <c r="K695" s="5">
        <f>IF(D695&lt;$E$11,H695,0)</f>
        <v>0</v>
      </c>
      <c r="L695">
        <f>IF(D695&lt;$A$15,$C$11,$C$11*(1-$G$11))</f>
        <v>200</v>
      </c>
      <c r="M695">
        <f>IF(D695&lt;$A$15,0,1)</f>
        <v>1</v>
      </c>
    </row>
    <row r="696" spans="4:13" x14ac:dyDescent="0.2">
      <c r="D696">
        <f t="shared" si="37"/>
        <v>673</v>
      </c>
      <c r="E696" s="1">
        <f t="shared" si="35"/>
        <v>238.31224918045487</v>
      </c>
      <c r="F696" s="1">
        <f t="shared" si="38"/>
        <v>-28.013818973539998</v>
      </c>
      <c r="G696" s="1">
        <f t="shared" si="36"/>
        <v>6.8195073650489976E-13</v>
      </c>
      <c r="H696" s="1">
        <f>G696/$G$21</f>
        <v>4.7820743004271111E-14</v>
      </c>
      <c r="I696">
        <f>IF($E$11&lt;=D696, IF(D696&lt;=$A$15,D696-$E$11,$F$11),0)</f>
        <v>300</v>
      </c>
      <c r="J696">
        <f>IF(D696&lt;=$A$15,0,D696-$A$15)</f>
        <v>364</v>
      </c>
      <c r="K696" s="5">
        <f>IF(D696&lt;$E$11,H696,0)</f>
        <v>0</v>
      </c>
      <c r="L696">
        <f>IF(D696&lt;$A$15,$C$11,$C$11*(1-$G$11))</f>
        <v>200</v>
      </c>
      <c r="M696">
        <f>IF(D696&lt;$A$15,0,1)</f>
        <v>1</v>
      </c>
    </row>
    <row r="697" spans="4:13" x14ac:dyDescent="0.2">
      <c r="D697">
        <f t="shared" si="37"/>
        <v>674</v>
      </c>
      <c r="E697" s="1">
        <f t="shared" si="35"/>
        <v>238.23528813931875</v>
      </c>
      <c r="F697" s="1">
        <f t="shared" si="38"/>
        <v>-28.090780014676113</v>
      </c>
      <c r="G697" s="1">
        <f t="shared" si="36"/>
        <v>6.3143586713417449E-13</v>
      </c>
      <c r="H697" s="1">
        <f>G697/$G$21</f>
        <v>4.4278465744696036E-14</v>
      </c>
      <c r="I697">
        <f>IF($E$11&lt;=D697, IF(D697&lt;=$A$15,D697-$E$11,$F$11),0)</f>
        <v>300</v>
      </c>
      <c r="J697">
        <f>IF(D697&lt;=$A$15,0,D697-$A$15)</f>
        <v>365</v>
      </c>
      <c r="K697" s="5">
        <f>IF(D697&lt;$E$11,H697,0)</f>
        <v>0</v>
      </c>
      <c r="L697">
        <f>IF(D697&lt;$A$15,$C$11,$C$11*(1-$G$11))</f>
        <v>200</v>
      </c>
      <c r="M697">
        <f>IF(D697&lt;$A$15,0,1)</f>
        <v>1</v>
      </c>
    </row>
    <row r="698" spans="4:13" x14ac:dyDescent="0.2">
      <c r="D698">
        <f t="shared" si="37"/>
        <v>675</v>
      </c>
      <c r="E698" s="1">
        <f t="shared" si="35"/>
        <v>238.15832709818264</v>
      </c>
      <c r="F698" s="1">
        <f t="shared" si="38"/>
        <v>-28.167741055812229</v>
      </c>
      <c r="G698" s="1">
        <f t="shared" si="36"/>
        <v>5.8466283993905783E-13</v>
      </c>
      <c r="H698" s="1">
        <f>G698/$G$21</f>
        <v>4.0998579393237587E-14</v>
      </c>
      <c r="I698">
        <f>IF($E$11&lt;=D698, IF(D698&lt;=$A$15,D698-$E$11,$F$11),0)</f>
        <v>300</v>
      </c>
      <c r="J698">
        <f>IF(D698&lt;=$A$15,0,D698-$A$15)</f>
        <v>366</v>
      </c>
      <c r="K698" s="5">
        <f>IF(D698&lt;$E$11,H698,0)</f>
        <v>0</v>
      </c>
      <c r="L698">
        <f>IF(D698&lt;$A$15,$C$11,$C$11*(1-$G$11))</f>
        <v>200</v>
      </c>
      <c r="M698">
        <f>IF(D698&lt;$A$15,0,1)</f>
        <v>1</v>
      </c>
    </row>
    <row r="699" spans="4:13" x14ac:dyDescent="0.2">
      <c r="D699">
        <f t="shared" si="37"/>
        <v>676</v>
      </c>
      <c r="E699" s="1">
        <f t="shared" si="35"/>
        <v>238.08136605704652</v>
      </c>
      <c r="F699" s="1">
        <f t="shared" si="38"/>
        <v>-28.244702096948345</v>
      </c>
      <c r="G699" s="1">
        <f t="shared" si="36"/>
        <v>5.4135448142506035E-13</v>
      </c>
      <c r="H699" s="1">
        <f>G699/$G$21</f>
        <v>3.7961647586331581E-14</v>
      </c>
      <c r="I699">
        <f>IF($E$11&lt;=D699, IF(D699&lt;=$A$15,D699-$E$11,$F$11),0)</f>
        <v>300</v>
      </c>
      <c r="J699">
        <f>IF(D699&lt;=$A$15,0,D699-$A$15)</f>
        <v>367</v>
      </c>
      <c r="K699" s="5">
        <f>IF(D699&lt;$E$11,H699,0)</f>
        <v>0</v>
      </c>
      <c r="L699">
        <f>IF(D699&lt;$A$15,$C$11,$C$11*(1-$G$11))</f>
        <v>200</v>
      </c>
      <c r="M699">
        <f>IF(D699&lt;$A$15,0,1)</f>
        <v>1</v>
      </c>
    </row>
    <row r="700" spans="4:13" x14ac:dyDescent="0.2">
      <c r="D700">
        <f t="shared" si="37"/>
        <v>677</v>
      </c>
      <c r="E700" s="1">
        <f t="shared" si="35"/>
        <v>238.00440501591041</v>
      </c>
      <c r="F700" s="1">
        <f t="shared" si="38"/>
        <v>-28.32166313808446</v>
      </c>
      <c r="G700" s="1">
        <f t="shared" si="36"/>
        <v>5.0125414946765483E-13</v>
      </c>
      <c r="H700" s="1">
        <f>G700/$G$21</f>
        <v>3.5149673691048201E-14</v>
      </c>
      <c r="I700">
        <f>IF($E$11&lt;=D700, IF(D700&lt;=$A$15,D700-$E$11,$F$11),0)</f>
        <v>300</v>
      </c>
      <c r="J700">
        <f>IF(D700&lt;=$A$15,0,D700-$A$15)</f>
        <v>368</v>
      </c>
      <c r="K700" s="5">
        <f>IF(D700&lt;$E$11,H700,0)</f>
        <v>0</v>
      </c>
      <c r="L700">
        <f>IF(D700&lt;$A$15,$C$11,$C$11*(1-$G$11))</f>
        <v>200</v>
      </c>
      <c r="M700">
        <f>IF(D700&lt;$A$15,0,1)</f>
        <v>1</v>
      </c>
    </row>
    <row r="701" spans="4:13" x14ac:dyDescent="0.2">
      <c r="D701">
        <f t="shared" si="37"/>
        <v>678</v>
      </c>
      <c r="E701" s="1">
        <f t="shared" si="35"/>
        <v>237.92744397477429</v>
      </c>
      <c r="F701" s="1">
        <f t="shared" si="38"/>
        <v>-28.398624179220576</v>
      </c>
      <c r="G701" s="1">
        <f t="shared" si="36"/>
        <v>4.6412421247005666E-13</v>
      </c>
      <c r="H701" s="1">
        <f>G701/$G$21</f>
        <v>3.2545994158378379E-14</v>
      </c>
      <c r="I701">
        <f>IF($E$11&lt;=D701, IF(D701&lt;=$A$15,D701-$E$11,$F$11),0)</f>
        <v>300</v>
      </c>
      <c r="J701">
        <f>IF(D701&lt;=$A$15,0,D701-$A$15)</f>
        <v>369</v>
      </c>
      <c r="K701" s="5">
        <f>IF(D701&lt;$E$11,H701,0)</f>
        <v>0</v>
      </c>
      <c r="L701">
        <f>IF(D701&lt;$A$15,$C$11,$C$11*(1-$G$11))</f>
        <v>200</v>
      </c>
      <c r="M701">
        <f>IF(D701&lt;$A$15,0,1)</f>
        <v>1</v>
      </c>
    </row>
    <row r="702" spans="4:13" x14ac:dyDescent="0.2">
      <c r="D702">
        <f t="shared" si="37"/>
        <v>679</v>
      </c>
      <c r="E702" s="1">
        <f t="shared" si="35"/>
        <v>237.85048293363818</v>
      </c>
      <c r="F702" s="1">
        <f t="shared" si="38"/>
        <v>-28.475585220356692</v>
      </c>
      <c r="G702" s="1">
        <f t="shared" si="36"/>
        <v>4.2974464117598382E-13</v>
      </c>
      <c r="H702" s="1">
        <f>G702/$G$21</f>
        <v>3.0135179776276657E-14</v>
      </c>
      <c r="I702">
        <f>IF($E$11&lt;=D702, IF(D702&lt;=$A$15,D702-$E$11,$F$11),0)</f>
        <v>300</v>
      </c>
      <c r="J702">
        <f>IF(D702&lt;=$A$15,0,D702-$A$15)</f>
        <v>370</v>
      </c>
      <c r="K702" s="5">
        <f>IF(D702&lt;$E$11,H702,0)</f>
        <v>0</v>
      </c>
      <c r="L702">
        <f>IF(D702&lt;$A$15,$C$11,$C$11*(1-$G$11))</f>
        <v>200</v>
      </c>
      <c r="M702">
        <f>IF(D702&lt;$A$15,0,1)</f>
        <v>1</v>
      </c>
    </row>
    <row r="703" spans="4:13" x14ac:dyDescent="0.2">
      <c r="D703">
        <f t="shared" si="37"/>
        <v>680</v>
      </c>
      <c r="E703" s="1">
        <f t="shared" si="35"/>
        <v>237.77352189250206</v>
      </c>
      <c r="F703" s="1">
        <f t="shared" si="38"/>
        <v>-28.552546261492807</v>
      </c>
      <c r="G703" s="1">
        <f t="shared" si="36"/>
        <v>3.9791170479258263E-13</v>
      </c>
      <c r="H703" s="1">
        <f>G703/$G$21</f>
        <v>2.7902944237293554E-14</v>
      </c>
      <c r="I703">
        <f>IF($E$11&lt;=D703, IF(D703&lt;=$A$15,D703-$E$11,$F$11),0)</f>
        <v>300</v>
      </c>
      <c r="J703">
        <f>IF(D703&lt;=$A$15,0,D703-$A$15)</f>
        <v>371</v>
      </c>
      <c r="K703" s="5">
        <f>IF(D703&lt;$E$11,H703,0)</f>
        <v>0</v>
      </c>
      <c r="L703">
        <f>IF(D703&lt;$A$15,$C$11,$C$11*(1-$G$11))</f>
        <v>200</v>
      </c>
      <c r="M703">
        <f>IF(D703&lt;$A$15,0,1)</f>
        <v>1</v>
      </c>
    </row>
    <row r="704" spans="4:13" x14ac:dyDescent="0.2">
      <c r="D704">
        <f t="shared" si="37"/>
        <v>681</v>
      </c>
      <c r="E704" s="1">
        <f t="shared" si="35"/>
        <v>237.69656085136594</v>
      </c>
      <c r="F704" s="1">
        <f t="shared" si="38"/>
        <v>-28.629507302628923</v>
      </c>
      <c r="G704" s="1">
        <f t="shared" si="36"/>
        <v>3.6843676369684042E-13</v>
      </c>
      <c r="H704" s="1">
        <f>G704/$G$21</f>
        <v>2.5836059478975841E-14</v>
      </c>
      <c r="I704">
        <f>IF($E$11&lt;=D704, IF(D704&lt;=$A$15,D704-$E$11,$F$11),0)</f>
        <v>300</v>
      </c>
      <c r="J704">
        <f>IF(D704&lt;=$A$15,0,D704-$A$15)</f>
        <v>372</v>
      </c>
      <c r="K704" s="5">
        <f>IF(D704&lt;$E$11,H704,0)</f>
        <v>0</v>
      </c>
      <c r="L704">
        <f>IF(D704&lt;$A$15,$C$11,$C$11*(1-$G$11))</f>
        <v>200</v>
      </c>
      <c r="M704">
        <f>IF(D704&lt;$A$15,0,1)</f>
        <v>1</v>
      </c>
    </row>
    <row r="705" spans="4:13" x14ac:dyDescent="0.2">
      <c r="D705">
        <f t="shared" si="37"/>
        <v>682</v>
      </c>
      <c r="E705" s="1">
        <f t="shared" si="35"/>
        <v>237.61959981022983</v>
      </c>
      <c r="F705" s="1">
        <f t="shared" si="38"/>
        <v>-28.706468343765039</v>
      </c>
      <c r="G705" s="1">
        <f t="shared" si="36"/>
        <v>3.4114515157115288E-13</v>
      </c>
      <c r="H705" s="1">
        <f>G705/$G$21</f>
        <v>2.3922277295348303E-14</v>
      </c>
      <c r="I705">
        <f>IF($E$11&lt;=D705, IF(D705&lt;=$A$15,D705-$E$11,$F$11),0)</f>
        <v>300</v>
      </c>
      <c r="J705">
        <f>IF(D705&lt;=$A$15,0,D705-$A$15)</f>
        <v>373</v>
      </c>
      <c r="K705" s="5">
        <f>IF(D705&lt;$E$11,H705,0)</f>
        <v>0</v>
      </c>
      <c r="L705">
        <f>IF(D705&lt;$A$15,$C$11,$C$11*(1-$G$11))</f>
        <v>200</v>
      </c>
      <c r="M705">
        <f>IF(D705&lt;$A$15,0,1)</f>
        <v>1</v>
      </c>
    </row>
    <row r="706" spans="4:13" x14ac:dyDescent="0.2">
      <c r="D706">
        <f t="shared" si="37"/>
        <v>683</v>
      </c>
      <c r="E706" s="1">
        <f t="shared" si="35"/>
        <v>237.54263876909371</v>
      </c>
      <c r="F706" s="1">
        <f t="shared" si="38"/>
        <v>-28.783429384901154</v>
      </c>
      <c r="G706" s="1">
        <f t="shared" si="36"/>
        <v>3.1587514034366406E-13</v>
      </c>
      <c r="H706" s="1">
        <f>G706/$G$21</f>
        <v>2.2150256754952414E-14</v>
      </c>
      <c r="I706">
        <f>IF($E$11&lt;=D706, IF(D706&lt;=$A$15,D706-$E$11,$F$11),0)</f>
        <v>300</v>
      </c>
      <c r="J706">
        <f>IF(D706&lt;=$A$15,0,D706-$A$15)</f>
        <v>374</v>
      </c>
      <c r="K706" s="5">
        <f>IF(D706&lt;$E$11,H706,0)</f>
        <v>0</v>
      </c>
      <c r="L706">
        <f>IF(D706&lt;$A$15,$C$11,$C$11*(1-$G$11))</f>
        <v>200</v>
      </c>
      <c r="M706">
        <f>IF(D706&lt;$A$15,0,1)</f>
        <v>1</v>
      </c>
    </row>
    <row r="707" spans="4:13" x14ac:dyDescent="0.2">
      <c r="D707">
        <f t="shared" si="37"/>
        <v>684</v>
      </c>
      <c r="E707" s="1">
        <f t="shared" si="35"/>
        <v>237.4656777279576</v>
      </c>
      <c r="F707" s="1">
        <f t="shared" si="38"/>
        <v>-28.86039042603727</v>
      </c>
      <c r="G707" s="1">
        <f t="shared" si="36"/>
        <v>2.9247698179969262E-13</v>
      </c>
      <c r="H707" s="1">
        <f>G707/$G$21</f>
        <v>2.0509496995326565E-14</v>
      </c>
      <c r="I707">
        <f>IF($E$11&lt;=D707, IF(D707&lt;=$A$15,D707-$E$11,$F$11),0)</f>
        <v>300</v>
      </c>
      <c r="J707">
        <f>IF(D707&lt;=$A$15,0,D707-$A$15)</f>
        <v>375</v>
      </c>
      <c r="K707" s="5">
        <f>IF(D707&lt;$E$11,H707,0)</f>
        <v>0</v>
      </c>
      <c r="L707">
        <f>IF(D707&lt;$A$15,$C$11,$C$11*(1-$G$11))</f>
        <v>200</v>
      </c>
      <c r="M707">
        <f>IF(D707&lt;$A$15,0,1)</f>
        <v>1</v>
      </c>
    </row>
    <row r="708" spans="4:13" x14ac:dyDescent="0.2">
      <c r="D708">
        <f t="shared" si="37"/>
        <v>685</v>
      </c>
      <c r="E708" s="1">
        <f t="shared" ref="E708:F771" si="39">IF($G$11=1,IF(D708&lt;=$A$15, E707+LN($C$11)-LN(60/$D$11)-LN(MIN(D708,$E$11)), E707-LN(60/$D$11)-LN(MIN(D708,$E$11))), IF(D708&lt;=$A$15, E707+LN($C$11)-LN(60/$D$11)-LN(MIN(D708,$E$11)), E707+LN($C$11)+LN(1-$G$11)-LN(60/$D$11)-LN(MIN(D708,$E$11))))</f>
        <v>237.38871668682148</v>
      </c>
      <c r="F708" s="1">
        <f t="shared" si="38"/>
        <v>-28.937351467173386</v>
      </c>
      <c r="G708" s="1">
        <f t="shared" si="36"/>
        <v>2.70812020184904E-13</v>
      </c>
      <c r="H708" s="1">
        <f>G708/$G$21</f>
        <v>1.8990274995672985E-14</v>
      </c>
      <c r="I708">
        <f>IF($E$11&lt;=D708, IF(D708&lt;=$A$15,D708-$E$11,$F$11),0)</f>
        <v>300</v>
      </c>
      <c r="J708">
        <f>IF(D708&lt;=$A$15,0,D708-$A$15)</f>
        <v>376</v>
      </c>
      <c r="K708" s="5">
        <f>IF(D708&lt;$E$11,H708,0)</f>
        <v>0</v>
      </c>
      <c r="L708">
        <f>IF(D708&lt;$A$15,$C$11,$C$11*(1-$G$11))</f>
        <v>200</v>
      </c>
      <c r="M708">
        <f>IF(D708&lt;$A$15,0,1)</f>
        <v>1</v>
      </c>
    </row>
    <row r="709" spans="4:13" x14ac:dyDescent="0.2">
      <c r="D709">
        <f t="shared" si="37"/>
        <v>686</v>
      </c>
      <c r="E709" s="1">
        <f t="shared" si="39"/>
        <v>237.31175564568537</v>
      </c>
      <c r="F709" s="1">
        <f t="shared" si="38"/>
        <v>-29.014312508309501</v>
      </c>
      <c r="G709" s="1">
        <f t="shared" si="36"/>
        <v>2.5075187054158095E-13</v>
      </c>
      <c r="H709" s="1">
        <f>G709/$G$21</f>
        <v>1.7583587958956691E-14</v>
      </c>
      <c r="I709">
        <f>IF($E$11&lt;=D709, IF(D709&lt;=$A$15,D709-$E$11,$F$11),0)</f>
        <v>300</v>
      </c>
      <c r="J709">
        <f>IF(D709&lt;=$A$15,0,D709-$A$15)</f>
        <v>377</v>
      </c>
      <c r="K709" s="5">
        <f>IF(D709&lt;$E$11,H709,0)</f>
        <v>0</v>
      </c>
      <c r="L709">
        <f>IF(D709&lt;$A$15,$C$11,$C$11*(1-$G$11))</f>
        <v>200</v>
      </c>
      <c r="M709">
        <f>IF(D709&lt;$A$15,0,1)</f>
        <v>1</v>
      </c>
    </row>
    <row r="710" spans="4:13" x14ac:dyDescent="0.2">
      <c r="D710">
        <f t="shared" si="37"/>
        <v>687</v>
      </c>
      <c r="E710" s="1">
        <f t="shared" si="39"/>
        <v>237.23479460454925</v>
      </c>
      <c r="F710" s="1">
        <f t="shared" si="38"/>
        <v>-29.091273549445617</v>
      </c>
      <c r="G710" s="1">
        <f t="shared" si="36"/>
        <v>2.321776579088742E-13</v>
      </c>
      <c r="H710" s="1">
        <f>G710/$G$21</f>
        <v>1.6281099961997142E-14</v>
      </c>
      <c r="I710">
        <f>IF($E$11&lt;=D710, IF(D710&lt;=$A$15,D710-$E$11,$F$11),0)</f>
        <v>300</v>
      </c>
      <c r="J710">
        <f>IF(D710&lt;=$A$15,0,D710-$A$15)</f>
        <v>378</v>
      </c>
      <c r="K710" s="5">
        <f>IF(D710&lt;$E$11,H710,0)</f>
        <v>0</v>
      </c>
      <c r="L710">
        <f>IF(D710&lt;$A$15,$C$11,$C$11*(1-$G$11))</f>
        <v>200</v>
      </c>
      <c r="M710">
        <f>IF(D710&lt;$A$15,0,1)</f>
        <v>1</v>
      </c>
    </row>
    <row r="711" spans="4:13" x14ac:dyDescent="0.2">
      <c r="D711">
        <f t="shared" si="37"/>
        <v>688</v>
      </c>
      <c r="E711" s="1">
        <f t="shared" si="39"/>
        <v>237.15783356341313</v>
      </c>
      <c r="F711" s="1">
        <f t="shared" si="38"/>
        <v>-29.168234590581733</v>
      </c>
      <c r="G711" s="1">
        <f t="shared" si="36"/>
        <v>2.1497931287858994E-13</v>
      </c>
      <c r="H711" s="1">
        <f>G711/$G$21</f>
        <v>1.5075092557404954E-14</v>
      </c>
      <c r="I711">
        <f>IF($E$11&lt;=D711, IF(D711&lt;=$A$15,D711-$E$11,$F$11),0)</f>
        <v>300</v>
      </c>
      <c r="J711">
        <f>IF(D711&lt;=$A$15,0,D711-$A$15)</f>
        <v>379</v>
      </c>
      <c r="K711" s="5">
        <f>IF(D711&lt;$E$11,H711,0)</f>
        <v>0</v>
      </c>
      <c r="L711">
        <f>IF(D711&lt;$A$15,$C$11,$C$11*(1-$G$11))</f>
        <v>200</v>
      </c>
      <c r="M711">
        <f>IF(D711&lt;$A$15,0,1)</f>
        <v>1</v>
      </c>
    </row>
    <row r="712" spans="4:13" x14ac:dyDescent="0.2">
      <c r="D712">
        <f t="shared" si="37"/>
        <v>689</v>
      </c>
      <c r="E712" s="1">
        <f t="shared" si="39"/>
        <v>237.08087252227702</v>
      </c>
      <c r="F712" s="1">
        <f t="shared" si="38"/>
        <v>-29.245195631717849</v>
      </c>
      <c r="G712" s="1">
        <f t="shared" si="36"/>
        <v>1.9905491933203024E-13</v>
      </c>
      <c r="H712" s="1">
        <f>G712/$G$21</f>
        <v>1.3958419034634392E-14</v>
      </c>
      <c r="I712">
        <f>IF($E$11&lt;=D712, IF(D712&lt;=$A$15,D712-$E$11,$F$11),0)</f>
        <v>300</v>
      </c>
      <c r="J712">
        <f>IF(D712&lt;=$A$15,0,D712-$A$15)</f>
        <v>380</v>
      </c>
      <c r="K712" s="5">
        <f>IF(D712&lt;$E$11,H712,0)</f>
        <v>0</v>
      </c>
      <c r="L712">
        <f>IF(D712&lt;$A$15,$C$11,$C$11*(1-$G$11))</f>
        <v>200</v>
      </c>
      <c r="M712">
        <f>IF(D712&lt;$A$15,0,1)</f>
        <v>1</v>
      </c>
    </row>
    <row r="713" spans="4:13" x14ac:dyDescent="0.2">
      <c r="D713">
        <f t="shared" si="37"/>
        <v>690</v>
      </c>
      <c r="E713" s="1">
        <f t="shared" si="39"/>
        <v>237.0039114811409</v>
      </c>
      <c r="F713" s="1">
        <f t="shared" si="38"/>
        <v>-29.322156672853964</v>
      </c>
      <c r="G713" s="1">
        <f t="shared" si="36"/>
        <v>1.8431011049262293E-13</v>
      </c>
      <c r="H713" s="1">
        <f>G713/$G$21</f>
        <v>1.2924462069106082E-14</v>
      </c>
      <c r="I713">
        <f>IF($E$11&lt;=D713, IF(D713&lt;=$A$15,D713-$E$11,$F$11),0)</f>
        <v>300</v>
      </c>
      <c r="J713">
        <f>IF(D713&lt;=$A$15,0,D713-$A$15)</f>
        <v>381</v>
      </c>
      <c r="K713" s="5">
        <f>IF(D713&lt;$E$11,H713,0)</f>
        <v>0</v>
      </c>
      <c r="L713">
        <f>IF(D713&lt;$A$15,$C$11,$C$11*(1-$G$11))</f>
        <v>200</v>
      </c>
      <c r="M713">
        <f>IF(D713&lt;$A$15,0,1)</f>
        <v>1</v>
      </c>
    </row>
    <row r="714" spans="4:13" x14ac:dyDescent="0.2">
      <c r="D714">
        <f t="shared" si="37"/>
        <v>691</v>
      </c>
      <c r="E714" s="1">
        <f t="shared" si="39"/>
        <v>236.92695044000479</v>
      </c>
      <c r="F714" s="1">
        <f t="shared" si="38"/>
        <v>-29.39911771399008</v>
      </c>
      <c r="G714" s="1">
        <f t="shared" si="36"/>
        <v>1.7065750971539374E-13</v>
      </c>
      <c r="H714" s="1">
        <f>G714/$G$21</f>
        <v>1.1967094508431708E-14</v>
      </c>
      <c r="I714">
        <f>IF($E$11&lt;=D714, IF(D714&lt;=$A$15,D714-$E$11,$F$11),0)</f>
        <v>300</v>
      </c>
      <c r="J714">
        <f>IF(D714&lt;=$A$15,0,D714-$A$15)</f>
        <v>382</v>
      </c>
      <c r="K714" s="5">
        <f>IF(D714&lt;$E$11,H714,0)</f>
        <v>0</v>
      </c>
      <c r="L714">
        <f>IF(D714&lt;$A$15,$C$11,$C$11*(1-$G$11))</f>
        <v>200</v>
      </c>
      <c r="M714">
        <f>IF(D714&lt;$A$15,0,1)</f>
        <v>1</v>
      </c>
    </row>
    <row r="715" spans="4:13" x14ac:dyDescent="0.2">
      <c r="D715">
        <f t="shared" si="37"/>
        <v>692</v>
      </c>
      <c r="E715" s="1">
        <f t="shared" si="39"/>
        <v>236.84998939886867</v>
      </c>
      <c r="F715" s="1">
        <f t="shared" si="38"/>
        <v>-29.476078755126196</v>
      </c>
      <c r="G715" s="1">
        <f t="shared" si="36"/>
        <v>1.5801621269944065E-13</v>
      </c>
      <c r="H715" s="1">
        <f>G715/$G$21</f>
        <v>1.1080643063362833E-14</v>
      </c>
      <c r="I715">
        <f>IF($E$11&lt;=D715, IF(D715&lt;=$A$15,D715-$E$11,$F$11),0)</f>
        <v>300</v>
      </c>
      <c r="J715">
        <f>IF(D715&lt;=$A$15,0,D715-$A$15)</f>
        <v>383</v>
      </c>
      <c r="K715" s="5">
        <f>IF(D715&lt;$E$11,H715,0)</f>
        <v>0</v>
      </c>
      <c r="L715">
        <f>IF(D715&lt;$A$15,$C$11,$C$11*(1-$G$11))</f>
        <v>200</v>
      </c>
      <c r="M715">
        <f>IF(D715&lt;$A$15,0,1)</f>
        <v>1</v>
      </c>
    </row>
    <row r="716" spans="4:13" x14ac:dyDescent="0.2">
      <c r="D716">
        <f t="shared" si="37"/>
        <v>693</v>
      </c>
      <c r="E716" s="1">
        <f t="shared" si="39"/>
        <v>236.77302835773256</v>
      </c>
      <c r="F716" s="1">
        <f t="shared" si="38"/>
        <v>-29.553039796262311</v>
      </c>
      <c r="G716" s="1">
        <f t="shared" si="36"/>
        <v>1.463113080550395E-13</v>
      </c>
      <c r="H716" s="1">
        <f>G716/$G$21</f>
        <v>1.025985468829905E-14</v>
      </c>
      <c r="I716">
        <f>IF($E$11&lt;=D716, IF(D716&lt;=$A$15,D716-$E$11,$F$11),0)</f>
        <v>300</v>
      </c>
      <c r="J716">
        <f>IF(D716&lt;=$A$15,0,D716-$A$15)</f>
        <v>384</v>
      </c>
      <c r="K716" s="5">
        <f>IF(D716&lt;$E$11,H716,0)</f>
        <v>0</v>
      </c>
      <c r="L716">
        <f>IF(D716&lt;$A$15,$C$11,$C$11*(1-$G$11))</f>
        <v>200</v>
      </c>
      <c r="M716">
        <f>IF(D716&lt;$A$15,0,1)</f>
        <v>1</v>
      </c>
    </row>
    <row r="717" spans="4:13" x14ac:dyDescent="0.2">
      <c r="D717">
        <f t="shared" si="37"/>
        <v>694</v>
      </c>
      <c r="E717" s="1">
        <f t="shared" si="39"/>
        <v>236.69606731659644</v>
      </c>
      <c r="F717" s="1">
        <f t="shared" si="38"/>
        <v>-29.630000837398427</v>
      </c>
      <c r="G717" s="1">
        <f t="shared" si="36"/>
        <v>1.3547343338429752E-13</v>
      </c>
      <c r="H717" s="1">
        <f>G717/$G$21</f>
        <v>9.4998654521288685E-15</v>
      </c>
      <c r="I717">
        <f>IF($E$11&lt;=D717, IF(D717&lt;=$A$15,D717-$E$11,$F$11),0)</f>
        <v>300</v>
      </c>
      <c r="J717">
        <f>IF(D717&lt;=$A$15,0,D717-$A$15)</f>
        <v>385</v>
      </c>
      <c r="K717" s="5">
        <f>IF(D717&lt;$E$11,H717,0)</f>
        <v>0</v>
      </c>
      <c r="L717">
        <f>IF(D717&lt;$A$15,$C$11,$C$11*(1-$G$11))</f>
        <v>200</v>
      </c>
      <c r="M717">
        <f>IF(D717&lt;$A$15,0,1)</f>
        <v>1</v>
      </c>
    </row>
    <row r="718" spans="4:13" x14ac:dyDescent="0.2">
      <c r="D718">
        <f t="shared" si="37"/>
        <v>695</v>
      </c>
      <c r="E718" s="1">
        <f t="shared" si="39"/>
        <v>236.61910627546033</v>
      </c>
      <c r="F718" s="1">
        <f t="shared" si="38"/>
        <v>-29.706961878534543</v>
      </c>
      <c r="G718" s="1">
        <f t="shared" si="36"/>
        <v>1.2543836424472153E-13</v>
      </c>
      <c r="H718" s="1">
        <f>G718/$G$21</f>
        <v>8.7961717149342484E-15</v>
      </c>
      <c r="I718">
        <f>IF($E$11&lt;=D718, IF(D718&lt;=$A$15,D718-$E$11,$F$11),0)</f>
        <v>300</v>
      </c>
      <c r="J718">
        <f>IF(D718&lt;=$A$15,0,D718-$A$15)</f>
        <v>386</v>
      </c>
      <c r="K718" s="5">
        <f>IF(D718&lt;$E$11,H718,0)</f>
        <v>0</v>
      </c>
      <c r="L718">
        <f>IF(D718&lt;$A$15,$C$11,$C$11*(1-$G$11))</f>
        <v>200</v>
      </c>
      <c r="M718">
        <f>IF(D718&lt;$A$15,0,1)</f>
        <v>1</v>
      </c>
    </row>
    <row r="719" spans="4:13" x14ac:dyDescent="0.2">
      <c r="D719">
        <f t="shared" si="37"/>
        <v>696</v>
      </c>
      <c r="E719" s="1">
        <f t="shared" si="39"/>
        <v>236.54214523432421</v>
      </c>
      <c r="F719" s="1">
        <f t="shared" si="38"/>
        <v>-29.783922919670658</v>
      </c>
      <c r="G719" s="1">
        <f t="shared" si="36"/>
        <v>1.1614663355992881E-13</v>
      </c>
      <c r="H719" s="1">
        <f>G719/$G$21</f>
        <v>8.1446034397540379E-15</v>
      </c>
      <c r="I719">
        <f>IF($E$11&lt;=D719, IF(D719&lt;=$A$15,D719-$E$11,$F$11),0)</f>
        <v>300</v>
      </c>
      <c r="J719">
        <f>IF(D719&lt;=$A$15,0,D719-$A$15)</f>
        <v>387</v>
      </c>
      <c r="K719" s="5">
        <f>IF(D719&lt;$E$11,H719,0)</f>
        <v>0</v>
      </c>
      <c r="L719">
        <f>IF(D719&lt;$A$15,$C$11,$C$11*(1-$G$11))</f>
        <v>200</v>
      </c>
      <c r="M719">
        <f>IF(D719&lt;$A$15,0,1)</f>
        <v>1</v>
      </c>
    </row>
    <row r="720" spans="4:13" x14ac:dyDescent="0.2">
      <c r="D720">
        <f t="shared" si="37"/>
        <v>697</v>
      </c>
      <c r="E720" s="1">
        <f t="shared" si="39"/>
        <v>236.46518419318809</v>
      </c>
      <c r="F720" s="1">
        <f t="shared" si="38"/>
        <v>-29.860883960806774</v>
      </c>
      <c r="G720" s="1">
        <f t="shared" si="36"/>
        <v>1.0754317922215766E-13</v>
      </c>
      <c r="H720" s="1">
        <f>G720/$G$21</f>
        <v>7.5412994812538342E-15</v>
      </c>
      <c r="I720">
        <f>IF($E$11&lt;=D720, IF(D720&lt;=$A$15,D720-$E$11,$F$11),0)</f>
        <v>300</v>
      </c>
      <c r="J720">
        <f>IF(D720&lt;=$A$15,0,D720-$A$15)</f>
        <v>388</v>
      </c>
      <c r="K720" s="5">
        <f>IF(D720&lt;$E$11,H720,0)</f>
        <v>0</v>
      </c>
      <c r="L720">
        <f>IF(D720&lt;$A$15,$C$11,$C$11*(1-$G$11))</f>
        <v>200</v>
      </c>
      <c r="M720">
        <f>IF(D720&lt;$A$15,0,1)</f>
        <v>1</v>
      </c>
    </row>
    <row r="721" spans="4:13" x14ac:dyDescent="0.2">
      <c r="D721">
        <f t="shared" si="37"/>
        <v>698</v>
      </c>
      <c r="E721" s="1">
        <f t="shared" si="39"/>
        <v>236.38822315205198</v>
      </c>
      <c r="F721" s="1">
        <f t="shared" si="38"/>
        <v>-29.93784500194289</v>
      </c>
      <c r="G721" s="1">
        <f t="shared" si="36"/>
        <v>9.9577017798295395E-14</v>
      </c>
      <c r="H721" s="1">
        <f>G721/$G$21</f>
        <v>6.982684704864749E-15</v>
      </c>
      <c r="I721">
        <f>IF($E$11&lt;=D721, IF(D721&lt;=$A$15,D721-$E$11,$F$11),0)</f>
        <v>300</v>
      </c>
      <c r="J721">
        <f>IF(D721&lt;=$A$15,0,D721-$A$15)</f>
        <v>389</v>
      </c>
      <c r="K721" s="5">
        <f>IF(D721&lt;$E$11,H721,0)</f>
        <v>0</v>
      </c>
      <c r="L721">
        <f>IF(D721&lt;$A$15,$C$11,$C$11*(1-$G$11))</f>
        <v>200</v>
      </c>
      <c r="M721">
        <f>IF(D721&lt;$A$15,0,1)</f>
        <v>1</v>
      </c>
    </row>
    <row r="722" spans="4:13" x14ac:dyDescent="0.2">
      <c r="D722">
        <f t="shared" si="37"/>
        <v>699</v>
      </c>
      <c r="E722" s="1">
        <f t="shared" si="39"/>
        <v>236.31126211091586</v>
      </c>
      <c r="F722" s="1">
        <f t="shared" si="38"/>
        <v>-30.014806043079005</v>
      </c>
      <c r="G722" s="1">
        <f t="shared" si="36"/>
        <v>9.2200942405830233E-14</v>
      </c>
      <c r="H722" s="1">
        <f>G722/$G$21</f>
        <v>6.4654488008007755E-15</v>
      </c>
      <c r="I722">
        <f>IF($E$11&lt;=D722, IF(D722&lt;=$A$15,D722-$E$11,$F$11),0)</f>
        <v>300</v>
      </c>
      <c r="J722">
        <f>IF(D722&lt;=$A$15,0,D722-$A$15)</f>
        <v>390</v>
      </c>
      <c r="K722" s="5">
        <f>IF(D722&lt;$E$11,H722,0)</f>
        <v>0</v>
      </c>
      <c r="L722">
        <f>IF(D722&lt;$A$15,$C$11,$C$11*(1-$G$11))</f>
        <v>200</v>
      </c>
      <c r="M722">
        <f>IF(D722&lt;$A$15,0,1)</f>
        <v>1</v>
      </c>
    </row>
    <row r="723" spans="4:13" x14ac:dyDescent="0.2">
      <c r="D723">
        <f t="shared" si="37"/>
        <v>700</v>
      </c>
      <c r="E723" s="1">
        <f t="shared" si="39"/>
        <v>236.23430106977975</v>
      </c>
      <c r="F723" s="1">
        <f t="shared" si="38"/>
        <v>-30.091767084215121</v>
      </c>
      <c r="G723" s="1">
        <f t="shared" si="36"/>
        <v>8.5371242968362402E-14</v>
      </c>
      <c r="H723" s="1">
        <f>G723/$G$21</f>
        <v>5.9865266674082011E-15</v>
      </c>
      <c r="I723">
        <f>IF($E$11&lt;=D723, IF(D723&lt;=$A$15,D723-$E$11,$F$11),0)</f>
        <v>300</v>
      </c>
      <c r="J723">
        <f>IF(D723&lt;=$A$15,0,D723-$A$15)</f>
        <v>391</v>
      </c>
      <c r="K723" s="5">
        <f>IF(D723&lt;$E$11,H723,0)</f>
        <v>0</v>
      </c>
      <c r="L723">
        <f>IF(D723&lt;$A$15,$C$11,$C$11*(1-$G$11))</f>
        <v>200</v>
      </c>
      <c r="M723">
        <f>IF(D723&lt;$A$15,0,1)</f>
        <v>1</v>
      </c>
    </row>
    <row r="724" spans="4:13" x14ac:dyDescent="0.2">
      <c r="D724">
        <f t="shared" si="37"/>
        <v>701</v>
      </c>
      <c r="E724" s="1">
        <f t="shared" si="39"/>
        <v>236.15734002864363</v>
      </c>
      <c r="F724" s="1">
        <f t="shared" si="38"/>
        <v>-30.168728125351237</v>
      </c>
      <c r="G724" s="1">
        <f t="shared" si="36"/>
        <v>7.904744719292915E-14</v>
      </c>
      <c r="H724" s="1">
        <f>G724/$G$21</f>
        <v>5.543080247600256E-15</v>
      </c>
      <c r="I724">
        <f>IF($E$11&lt;=D724, IF(D724&lt;=$A$15,D724-$E$11,$F$11),0)</f>
        <v>300</v>
      </c>
      <c r="J724">
        <f>IF(D724&lt;=$A$15,0,D724-$A$15)</f>
        <v>392</v>
      </c>
      <c r="K724" s="5">
        <f>IF(D724&lt;$E$11,H724,0)</f>
        <v>0</v>
      </c>
      <c r="L724">
        <f>IF(D724&lt;$A$15,$C$11,$C$11*(1-$G$11))</f>
        <v>200</v>
      </c>
      <c r="M724">
        <f>IF(D724&lt;$A$15,0,1)</f>
        <v>1</v>
      </c>
    </row>
    <row r="725" spans="4:13" x14ac:dyDescent="0.2">
      <c r="D725">
        <f t="shared" si="37"/>
        <v>702</v>
      </c>
      <c r="E725" s="1">
        <f t="shared" si="39"/>
        <v>236.08037898750752</v>
      </c>
      <c r="F725" s="1">
        <f t="shared" si="38"/>
        <v>-30.245689166487352</v>
      </c>
      <c r="G725" s="1">
        <f t="shared" si="36"/>
        <v>7.3192080734194579E-14</v>
      </c>
      <c r="H725" s="1">
        <f>G725/$G$21</f>
        <v>5.1324817107410423E-15</v>
      </c>
      <c r="I725">
        <f>IF($E$11&lt;=D725, IF(D725&lt;=$A$15,D725-$E$11,$F$11),0)</f>
        <v>300</v>
      </c>
      <c r="J725">
        <f>IF(D725&lt;=$A$15,0,D725-$A$15)</f>
        <v>393</v>
      </c>
      <c r="K725" s="5">
        <f>IF(D725&lt;$E$11,H725,0)</f>
        <v>0</v>
      </c>
      <c r="L725">
        <f>IF(D725&lt;$A$15,$C$11,$C$11*(1-$G$11))</f>
        <v>200</v>
      </c>
      <c r="M725">
        <f>IF(D725&lt;$A$15,0,1)</f>
        <v>1</v>
      </c>
    </row>
    <row r="726" spans="4:13" x14ac:dyDescent="0.2">
      <c r="D726">
        <f t="shared" si="37"/>
        <v>703</v>
      </c>
      <c r="E726" s="1">
        <f t="shared" si="39"/>
        <v>236.0034179463714</v>
      </c>
      <c r="F726" s="1">
        <f t="shared" si="38"/>
        <v>-30.322650207623468</v>
      </c>
      <c r="G726" s="1">
        <f t="shared" si="36"/>
        <v>6.7770445124255097E-14</v>
      </c>
      <c r="H726" s="1">
        <f>G726/$G$21</f>
        <v>4.7522978803158401E-15</v>
      </c>
      <c r="I726">
        <f>IF($E$11&lt;=D726, IF(D726&lt;=$A$15,D726-$E$11,$F$11),0)</f>
        <v>300</v>
      </c>
      <c r="J726">
        <f>IF(D726&lt;=$A$15,0,D726-$A$15)</f>
        <v>394</v>
      </c>
      <c r="K726" s="5">
        <f>IF(D726&lt;$E$11,H726,0)</f>
        <v>0</v>
      </c>
      <c r="L726">
        <f>IF(D726&lt;$A$15,$C$11,$C$11*(1-$G$11))</f>
        <v>200</v>
      </c>
      <c r="M726">
        <f>IF(D726&lt;$A$15,0,1)</f>
        <v>1</v>
      </c>
    </row>
    <row r="727" spans="4:13" x14ac:dyDescent="0.2">
      <c r="D727">
        <f t="shared" si="37"/>
        <v>704</v>
      </c>
      <c r="E727" s="1">
        <f t="shared" si="39"/>
        <v>235.92645690523528</v>
      </c>
      <c r="F727" s="1">
        <f t="shared" si="38"/>
        <v>-30.399611248759584</v>
      </c>
      <c r="G727" s="1">
        <f t="shared" si="36"/>
        <v>6.2750412152088848E-14</v>
      </c>
      <c r="H727" s="1">
        <f>G727/$G$21</f>
        <v>4.4002758151073148E-15</v>
      </c>
      <c r="I727">
        <f>IF($E$11&lt;=D727, IF(D727&lt;=$A$15,D727-$E$11,$F$11),0)</f>
        <v>300</v>
      </c>
      <c r="J727">
        <f>IF(D727&lt;=$A$15,0,D727-$A$15)</f>
        <v>395</v>
      </c>
      <c r="K727" s="5">
        <f>IF(D727&lt;$E$11,H727,0)</f>
        <v>0</v>
      </c>
      <c r="L727">
        <f>IF(D727&lt;$A$15,$C$11,$C$11*(1-$G$11))</f>
        <v>200</v>
      </c>
      <c r="M727">
        <f>IF(D727&lt;$A$15,0,1)</f>
        <v>1</v>
      </c>
    </row>
    <row r="728" spans="4:13" x14ac:dyDescent="0.2">
      <c r="D728">
        <f t="shared" si="37"/>
        <v>705</v>
      </c>
      <c r="E728" s="1">
        <f t="shared" si="39"/>
        <v>235.84949586409917</v>
      </c>
      <c r="F728" s="1">
        <f t="shared" si="38"/>
        <v>-30.476572289895699</v>
      </c>
      <c r="G728" s="1">
        <f t="shared" ref="G728:G791" si="40">EXP(F728)</f>
        <v>5.8102233474157073E-14</v>
      </c>
      <c r="H728" s="1">
        <f>G728/$G$21</f>
        <v>4.0743294584327505E-15</v>
      </c>
      <c r="I728">
        <f>IF($E$11&lt;=D728, IF(D728&lt;=$A$15,D728-$E$11,$F$11),0)</f>
        <v>300</v>
      </c>
      <c r="J728">
        <f>IF(D728&lt;=$A$15,0,D728-$A$15)</f>
        <v>396</v>
      </c>
      <c r="K728" s="5">
        <f>IF(D728&lt;$E$11,H728,0)</f>
        <v>0</v>
      </c>
      <c r="L728">
        <f>IF(D728&lt;$A$15,$C$11,$C$11*(1-$G$11))</f>
        <v>200</v>
      </c>
      <c r="M728">
        <f>IF(D728&lt;$A$15,0,1)</f>
        <v>1</v>
      </c>
    </row>
    <row r="729" spans="4:13" x14ac:dyDescent="0.2">
      <c r="D729">
        <f t="shared" ref="D729:D792" si="41">1+D728</f>
        <v>706</v>
      </c>
      <c r="E729" s="1">
        <f t="shared" si="39"/>
        <v>235.77253482296305</v>
      </c>
      <c r="F729" s="1">
        <f t="shared" ref="F729:F792" si="42">E729-$E$21</f>
        <v>-30.553533331031815</v>
      </c>
      <c r="G729" s="1">
        <f t="shared" si="40"/>
        <v>5.3798364327923899E-14</v>
      </c>
      <c r="H729" s="1">
        <f>G729/$G$21</f>
        <v>3.7725272763266687E-15</v>
      </c>
      <c r="I729">
        <f>IF($E$11&lt;=D729, IF(D729&lt;=$A$15,D729-$E$11,$F$11),0)</f>
        <v>300</v>
      </c>
      <c r="J729">
        <f>IF(D729&lt;=$A$15,0,D729-$A$15)</f>
        <v>397</v>
      </c>
      <c r="K729" s="5">
        <f>IF(D729&lt;$E$11,H729,0)</f>
        <v>0</v>
      </c>
      <c r="L729">
        <f>IF(D729&lt;$A$15,$C$11,$C$11*(1-$G$11))</f>
        <v>200</v>
      </c>
      <c r="M729">
        <f>IF(D729&lt;$A$15,0,1)</f>
        <v>1</v>
      </c>
    </row>
    <row r="730" spans="4:13" x14ac:dyDescent="0.2">
      <c r="D730">
        <f t="shared" si="41"/>
        <v>707</v>
      </c>
      <c r="E730" s="1">
        <f t="shared" si="39"/>
        <v>235.69557378182694</v>
      </c>
      <c r="F730" s="1">
        <f t="shared" si="42"/>
        <v>-30.630494372167931</v>
      </c>
      <c r="G730" s="1">
        <f t="shared" si="40"/>
        <v>4.9813300303633872E-14</v>
      </c>
      <c r="H730" s="1">
        <f>G730/$G$21</f>
        <v>3.4930808114136267E-15</v>
      </c>
      <c r="I730">
        <f>IF($E$11&lt;=D730, IF(D730&lt;=$A$15,D730-$E$11,$F$11),0)</f>
        <v>300</v>
      </c>
      <c r="J730">
        <f>IF(D730&lt;=$A$15,0,D730-$A$15)</f>
        <v>398</v>
      </c>
      <c r="K730" s="5">
        <f>IF(D730&lt;$E$11,H730,0)</f>
        <v>0</v>
      </c>
      <c r="L730">
        <f>IF(D730&lt;$A$15,$C$11,$C$11*(1-$G$11))</f>
        <v>200</v>
      </c>
      <c r="M730">
        <f>IF(D730&lt;$A$15,0,1)</f>
        <v>1</v>
      </c>
    </row>
    <row r="731" spans="4:13" x14ac:dyDescent="0.2">
      <c r="D731">
        <f t="shared" si="41"/>
        <v>708</v>
      </c>
      <c r="E731" s="1">
        <f t="shared" si="39"/>
        <v>235.61861274069082</v>
      </c>
      <c r="F731" s="1">
        <f t="shared" si="42"/>
        <v>-30.707455413304046</v>
      </c>
      <c r="G731" s="1">
        <f t="shared" si="40"/>
        <v>4.6123426207068981E-14</v>
      </c>
      <c r="H731" s="1">
        <f>G731/$G$21</f>
        <v>3.2343340846422878E-15</v>
      </c>
      <c r="I731">
        <f>IF($E$11&lt;=D731, IF(D731&lt;=$A$15,D731-$E$11,$F$11),0)</f>
        <v>300</v>
      </c>
      <c r="J731">
        <f>IF(D731&lt;=$A$15,0,D731-$A$15)</f>
        <v>399</v>
      </c>
      <c r="K731" s="5">
        <f>IF(D731&lt;$E$11,H731,0)</f>
        <v>0</v>
      </c>
      <c r="L731">
        <f>IF(D731&lt;$A$15,$C$11,$C$11*(1-$G$11))</f>
        <v>200</v>
      </c>
      <c r="M731">
        <f>IF(D731&lt;$A$15,0,1)</f>
        <v>1</v>
      </c>
    </row>
    <row r="732" spans="4:13" x14ac:dyDescent="0.2">
      <c r="D732">
        <f t="shared" si="41"/>
        <v>709</v>
      </c>
      <c r="E732" s="1">
        <f t="shared" si="39"/>
        <v>235.54165169955471</v>
      </c>
      <c r="F732" s="1">
        <f t="shared" si="42"/>
        <v>-30.784416454440162</v>
      </c>
      <c r="G732" s="1">
        <f t="shared" si="40"/>
        <v>4.2706876117657004E-14</v>
      </c>
      <c r="H732" s="1">
        <f>G732/$G$21</f>
        <v>2.9947537820762299E-15</v>
      </c>
      <c r="I732">
        <f>IF($E$11&lt;=D732, IF(D732&lt;=$A$15,D732-$E$11,$F$11),0)</f>
        <v>300</v>
      </c>
      <c r="J732">
        <f>IF(D732&lt;=$A$15,0,D732-$A$15)</f>
        <v>400</v>
      </c>
      <c r="K732" s="5">
        <f>IF(D732&lt;$E$11,H732,0)</f>
        <v>0</v>
      </c>
      <c r="L732">
        <f>IF(D732&lt;$A$15,$C$11,$C$11*(1-$G$11))</f>
        <v>200</v>
      </c>
      <c r="M732">
        <f>IF(D732&lt;$A$15,0,1)</f>
        <v>1</v>
      </c>
    </row>
    <row r="733" spans="4:13" x14ac:dyDescent="0.2">
      <c r="D733">
        <f t="shared" si="41"/>
        <v>710</v>
      </c>
      <c r="E733" s="1">
        <f t="shared" si="39"/>
        <v>235.46469065841859</v>
      </c>
      <c r="F733" s="1">
        <f t="shared" si="42"/>
        <v>-30.861377495576278</v>
      </c>
      <c r="G733" s="1">
        <f t="shared" si="40"/>
        <v>3.9543403812645876E-14</v>
      </c>
      <c r="H733" s="1">
        <f>G733/$G$21</f>
        <v>2.7729201685891373E-15</v>
      </c>
      <c r="I733">
        <f>IF($E$11&lt;=D733, IF(D733&lt;=$A$15,D733-$E$11,$F$11),0)</f>
        <v>300</v>
      </c>
      <c r="J733">
        <f>IF(D733&lt;=$A$15,0,D733-$A$15)</f>
        <v>401</v>
      </c>
      <c r="K733" s="5">
        <f>IF(D733&lt;$E$11,H733,0)</f>
        <v>0</v>
      </c>
      <c r="L733">
        <f>IF(D733&lt;$A$15,$C$11,$C$11*(1-$G$11))</f>
        <v>200</v>
      </c>
      <c r="M733">
        <f>IF(D733&lt;$A$15,0,1)</f>
        <v>1</v>
      </c>
    </row>
    <row r="734" spans="4:13" x14ac:dyDescent="0.2">
      <c r="D734">
        <f t="shared" si="41"/>
        <v>711</v>
      </c>
      <c r="E734" s="1">
        <f t="shared" si="39"/>
        <v>235.38772961728247</v>
      </c>
      <c r="F734" s="1">
        <f t="shared" si="42"/>
        <v>-30.938338536712394</v>
      </c>
      <c r="G734" s="1">
        <f t="shared" si="40"/>
        <v>3.6614262789487385E-14</v>
      </c>
      <c r="H734" s="1">
        <f>G734/$G$21</f>
        <v>2.567518674619604E-15</v>
      </c>
      <c r="I734">
        <f>IF($E$11&lt;=D734, IF(D734&lt;=$A$15,D734-$E$11,$F$11),0)</f>
        <v>300</v>
      </c>
      <c r="J734">
        <f>IF(D734&lt;=$A$15,0,D734-$A$15)</f>
        <v>402</v>
      </c>
      <c r="K734" s="5">
        <f>IF(D734&lt;$E$11,H734,0)</f>
        <v>0</v>
      </c>
      <c r="L734">
        <f>IF(D734&lt;$A$15,$C$11,$C$11*(1-$G$11))</f>
        <v>200</v>
      </c>
      <c r="M734">
        <f>IF(D734&lt;$A$15,0,1)</f>
        <v>1</v>
      </c>
    </row>
    <row r="735" spans="4:13" x14ac:dyDescent="0.2">
      <c r="D735">
        <f t="shared" si="41"/>
        <v>712</v>
      </c>
      <c r="E735" s="1">
        <f t="shared" si="39"/>
        <v>235.31076857614636</v>
      </c>
      <c r="F735" s="1">
        <f t="shared" si="42"/>
        <v>-31.015299577848509</v>
      </c>
      <c r="G735" s="1">
        <f t="shared" si="40"/>
        <v>3.390209517545171E-14</v>
      </c>
      <c r="H735" s="1">
        <f>G735/$G$21</f>
        <v>2.377332106129293E-15</v>
      </c>
      <c r="I735">
        <f>IF($E$11&lt;=D735, IF(D735&lt;=$A$15,D735-$E$11,$F$11),0)</f>
        <v>300</v>
      </c>
      <c r="J735">
        <f>IF(D735&lt;=$A$15,0,D735-$A$15)</f>
        <v>403</v>
      </c>
      <c r="K735" s="5">
        <f>IF(D735&lt;$E$11,H735,0)</f>
        <v>0</v>
      </c>
      <c r="L735">
        <f>IF(D735&lt;$A$15,$C$11,$C$11*(1-$G$11))</f>
        <v>200</v>
      </c>
      <c r="M735">
        <f>IF(D735&lt;$A$15,0,1)</f>
        <v>1</v>
      </c>
    </row>
    <row r="736" spans="4:13" x14ac:dyDescent="0.2">
      <c r="D736">
        <f t="shared" si="41"/>
        <v>713</v>
      </c>
      <c r="E736" s="1">
        <f t="shared" si="39"/>
        <v>235.23380753501024</v>
      </c>
      <c r="F736" s="1">
        <f t="shared" si="42"/>
        <v>-31.092260618984625</v>
      </c>
      <c r="G736" s="1">
        <f t="shared" si="40"/>
        <v>3.1390828866159386E-14</v>
      </c>
      <c r="H736" s="1">
        <f>G736/$G$21</f>
        <v>2.201233431601225E-15</v>
      </c>
      <c r="I736">
        <f>IF($E$11&lt;=D736, IF(D736&lt;=$A$15,D736-$E$11,$F$11),0)</f>
        <v>300</v>
      </c>
      <c r="J736">
        <f>IF(D736&lt;=$A$15,0,D736-$A$15)</f>
        <v>404</v>
      </c>
      <c r="K736" s="5">
        <f>IF(D736&lt;$E$11,H736,0)</f>
        <v>0</v>
      </c>
      <c r="L736">
        <f>IF(D736&lt;$A$15,$C$11,$C$11*(1-$G$11))</f>
        <v>200</v>
      </c>
      <c r="M736">
        <f>IF(D736&lt;$A$15,0,1)</f>
        <v>1</v>
      </c>
    </row>
    <row r="737" spans="4:13" x14ac:dyDescent="0.2">
      <c r="D737">
        <f t="shared" si="41"/>
        <v>714</v>
      </c>
      <c r="E737" s="1">
        <f t="shared" si="39"/>
        <v>235.15684649387413</v>
      </c>
      <c r="F737" s="1">
        <f t="shared" si="42"/>
        <v>-31.169221660120741</v>
      </c>
      <c r="G737" s="1">
        <f t="shared" si="40"/>
        <v>2.9065582283481284E-14</v>
      </c>
      <c r="H737" s="1">
        <f>G737/$G$21</f>
        <v>2.0381791033344934E-15</v>
      </c>
      <c r="I737">
        <f>IF($E$11&lt;=D737, IF(D737&lt;=$A$15,D737-$E$11,$F$11),0)</f>
        <v>300</v>
      </c>
      <c r="J737">
        <f>IF(D737&lt;=$A$15,0,D737-$A$15)</f>
        <v>405</v>
      </c>
      <c r="K737" s="5">
        <f>IF(D737&lt;$E$11,H737,0)</f>
        <v>0</v>
      </c>
      <c r="L737">
        <f>IF(D737&lt;$A$15,$C$11,$C$11*(1-$G$11))</f>
        <v>200</v>
      </c>
      <c r="M737">
        <f>IF(D737&lt;$A$15,0,1)</f>
        <v>1</v>
      </c>
    </row>
    <row r="738" spans="4:13" x14ac:dyDescent="0.2">
      <c r="D738">
        <f t="shared" si="41"/>
        <v>715</v>
      </c>
      <c r="E738" s="1">
        <f t="shared" si="39"/>
        <v>235.07988545273801</v>
      </c>
      <c r="F738" s="1">
        <f t="shared" si="42"/>
        <v>-31.246182701256856</v>
      </c>
      <c r="G738" s="1">
        <f t="shared" si="40"/>
        <v>2.6912576188408934E-14</v>
      </c>
      <c r="H738" s="1">
        <f>G738/$G$21</f>
        <v>1.887202873457888E-15</v>
      </c>
      <c r="I738">
        <f>IF($E$11&lt;=D738, IF(D738&lt;=$A$15,D738-$E$11,$F$11),0)</f>
        <v>300</v>
      </c>
      <c r="J738">
        <f>IF(D738&lt;=$A$15,0,D738-$A$15)</f>
        <v>406</v>
      </c>
      <c r="K738" s="5">
        <f>IF(D738&lt;$E$11,H738,0)</f>
        <v>0</v>
      </c>
      <c r="L738">
        <f>IF(D738&lt;$A$15,$C$11,$C$11*(1-$G$11))</f>
        <v>200</v>
      </c>
      <c r="M738">
        <f>IF(D738&lt;$A$15,0,1)</f>
        <v>1</v>
      </c>
    </row>
    <row r="739" spans="4:13" x14ac:dyDescent="0.2">
      <c r="D739">
        <f t="shared" si="41"/>
        <v>716</v>
      </c>
      <c r="E739" s="1">
        <f t="shared" si="39"/>
        <v>235.0029244116019</v>
      </c>
      <c r="F739" s="1">
        <f t="shared" si="42"/>
        <v>-31.323143742392972</v>
      </c>
      <c r="G739" s="1">
        <f t="shared" si="40"/>
        <v>2.4919052026304885E-14</v>
      </c>
      <c r="H739" s="1">
        <f>G739/$G$21</f>
        <v>1.7474100680165851E-15</v>
      </c>
      <c r="I739">
        <f>IF($E$11&lt;=D739, IF(D739&lt;=$A$15,D739-$E$11,$F$11),0)</f>
        <v>300</v>
      </c>
      <c r="J739">
        <f>IF(D739&lt;=$A$15,0,D739-$A$15)</f>
        <v>407</v>
      </c>
      <c r="K739" s="5">
        <f>IF(D739&lt;$E$11,H739,0)</f>
        <v>0</v>
      </c>
      <c r="L739">
        <f>IF(D739&lt;$A$15,$C$11,$C$11*(1-$G$11))</f>
        <v>200</v>
      </c>
      <c r="M739">
        <f>IF(D739&lt;$A$15,0,1)</f>
        <v>1</v>
      </c>
    </row>
    <row r="740" spans="4:13" x14ac:dyDescent="0.2">
      <c r="D740">
        <f t="shared" si="41"/>
        <v>717</v>
      </c>
      <c r="E740" s="1">
        <f t="shared" si="39"/>
        <v>234.92596337046578</v>
      </c>
      <c r="F740" s="1">
        <f t="shared" si="42"/>
        <v>-31.400104783529088</v>
      </c>
      <c r="G740" s="1">
        <f t="shared" si="40"/>
        <v>2.3073196320652964E-14</v>
      </c>
      <c r="H740" s="1">
        <f>G740/$G$21</f>
        <v>1.6179722852005623E-15</v>
      </c>
      <c r="I740">
        <f>IF($E$11&lt;=D740, IF(D740&lt;=$A$15,D740-$E$11,$F$11),0)</f>
        <v>300</v>
      </c>
      <c r="J740">
        <f>IF(D740&lt;=$A$15,0,D740-$A$15)</f>
        <v>408</v>
      </c>
      <c r="K740" s="5">
        <f>IF(D740&lt;$E$11,H740,0)</f>
        <v>0</v>
      </c>
      <c r="L740">
        <f>IF(D740&lt;$A$15,$C$11,$C$11*(1-$G$11))</f>
        <v>200</v>
      </c>
      <c r="M740">
        <f>IF(D740&lt;$A$15,0,1)</f>
        <v>1</v>
      </c>
    </row>
    <row r="741" spans="4:13" x14ac:dyDescent="0.2">
      <c r="D741">
        <f t="shared" si="41"/>
        <v>718</v>
      </c>
      <c r="E741" s="1">
        <f t="shared" si="39"/>
        <v>234.84900232932966</v>
      </c>
      <c r="F741" s="1">
        <f t="shared" si="42"/>
        <v>-31.477065824665203</v>
      </c>
      <c r="G741" s="1">
        <f t="shared" si="40"/>
        <v>2.1364070667271533E-14</v>
      </c>
      <c r="H741" s="1">
        <f>G741/$G$21</f>
        <v>1.4981224862968358E-15</v>
      </c>
      <c r="I741">
        <f>IF($E$11&lt;=D741, IF(D741&lt;=$A$15,D741-$E$11,$F$11),0)</f>
        <v>300</v>
      </c>
      <c r="J741">
        <f>IF(D741&lt;=$A$15,0,D741-$A$15)</f>
        <v>409</v>
      </c>
      <c r="K741" s="5">
        <f>IF(D741&lt;$E$11,H741,0)</f>
        <v>0</v>
      </c>
      <c r="L741">
        <f>IF(D741&lt;$A$15,$C$11,$C$11*(1-$G$11))</f>
        <v>200</v>
      </c>
      <c r="M741">
        <f>IF(D741&lt;$A$15,0,1)</f>
        <v>1</v>
      </c>
    </row>
    <row r="742" spans="4:13" x14ac:dyDescent="0.2">
      <c r="D742">
        <f t="shared" si="41"/>
        <v>719</v>
      </c>
      <c r="E742" s="1">
        <f t="shared" si="39"/>
        <v>234.77204128819355</v>
      </c>
      <c r="F742" s="1">
        <f t="shared" si="42"/>
        <v>-31.554026865801319</v>
      </c>
      <c r="G742" s="1">
        <f t="shared" si="40"/>
        <v>1.9781546914140557E-14</v>
      </c>
      <c r="H742" s="1">
        <f>G742/$G$21</f>
        <v>1.3871504502748654E-15</v>
      </c>
      <c r="I742">
        <f>IF($E$11&lt;=D742, IF(D742&lt;=$A$15,D742-$E$11,$F$11),0)</f>
        <v>300</v>
      </c>
      <c r="J742">
        <f>IF(D742&lt;=$A$15,0,D742-$A$15)</f>
        <v>410</v>
      </c>
      <c r="K742" s="5">
        <f>IF(D742&lt;$E$11,H742,0)</f>
        <v>0</v>
      </c>
      <c r="L742">
        <f>IF(D742&lt;$A$15,$C$11,$C$11*(1-$G$11))</f>
        <v>200</v>
      </c>
      <c r="M742">
        <f>IF(D742&lt;$A$15,0,1)</f>
        <v>1</v>
      </c>
    </row>
    <row r="743" spans="4:13" x14ac:dyDescent="0.2">
      <c r="D743">
        <f t="shared" si="41"/>
        <v>720</v>
      </c>
      <c r="E743" s="1">
        <f t="shared" si="39"/>
        <v>234.69508024705743</v>
      </c>
      <c r="F743" s="1">
        <f t="shared" si="42"/>
        <v>-31.630987906937435</v>
      </c>
      <c r="G743" s="1">
        <f t="shared" si="40"/>
        <v>1.8316247142722969E-14</v>
      </c>
      <c r="H743" s="1">
        <f>G743/$G$21</f>
        <v>1.2843985650693361E-15</v>
      </c>
      <c r="I743">
        <f>IF($E$11&lt;=D743, IF(D743&lt;=$A$15,D743-$E$11,$F$11),0)</f>
        <v>300</v>
      </c>
      <c r="J743">
        <f>IF(D743&lt;=$A$15,0,D743-$A$15)</f>
        <v>411</v>
      </c>
      <c r="K743" s="5">
        <f>IF(D743&lt;$E$11,H743,0)</f>
        <v>0</v>
      </c>
      <c r="L743">
        <f>IF(D743&lt;$A$15,$C$11,$C$11*(1-$G$11))</f>
        <v>200</v>
      </c>
      <c r="M743">
        <f>IF(D743&lt;$A$15,0,1)</f>
        <v>1</v>
      </c>
    </row>
    <row r="744" spans="4:13" x14ac:dyDescent="0.2">
      <c r="D744">
        <f t="shared" si="41"/>
        <v>721</v>
      </c>
      <c r="E744" s="1">
        <f t="shared" si="39"/>
        <v>234.61811920592132</v>
      </c>
      <c r="F744" s="1">
        <f t="shared" si="42"/>
        <v>-31.70794894807355</v>
      </c>
      <c r="G744" s="1">
        <f t="shared" si="40"/>
        <v>1.6959488095114075E-14</v>
      </c>
      <c r="H744" s="1">
        <f>G744/$G$21</f>
        <v>1.1892579306197706E-15</v>
      </c>
      <c r="I744">
        <f>IF($E$11&lt;=D744, IF(D744&lt;=$A$15,D744-$E$11,$F$11),0)</f>
        <v>300</v>
      </c>
      <c r="J744">
        <f>IF(D744&lt;=$A$15,0,D744-$A$15)</f>
        <v>412</v>
      </c>
      <c r="K744" s="5">
        <f>IF(D744&lt;$E$11,H744,0)</f>
        <v>0</v>
      </c>
      <c r="L744">
        <f>IF(D744&lt;$A$15,$C$11,$C$11*(1-$G$11))</f>
        <v>200</v>
      </c>
      <c r="M744">
        <f>IF(D744&lt;$A$15,0,1)</f>
        <v>1</v>
      </c>
    </row>
    <row r="745" spans="4:13" x14ac:dyDescent="0.2">
      <c r="D745">
        <f t="shared" si="41"/>
        <v>722</v>
      </c>
      <c r="E745" s="1">
        <f t="shared" si="39"/>
        <v>234.5411581647852</v>
      </c>
      <c r="F745" s="1">
        <f t="shared" si="42"/>
        <v>-31.784909989209666</v>
      </c>
      <c r="G745" s="1">
        <f t="shared" si="40"/>
        <v>1.5703229717698417E-14</v>
      </c>
      <c r="H745" s="1">
        <f>G745/$G$21</f>
        <v>1.1011647505738757E-15</v>
      </c>
      <c r="I745">
        <f>IF($E$11&lt;=D745, IF(D745&lt;=$A$15,D745-$E$11,$F$11),0)</f>
        <v>300</v>
      </c>
      <c r="J745">
        <f>IF(D745&lt;=$A$15,0,D745-$A$15)</f>
        <v>413</v>
      </c>
      <c r="K745" s="5">
        <f>IF(D745&lt;$E$11,H745,0)</f>
        <v>0</v>
      </c>
      <c r="L745">
        <f>IF(D745&lt;$A$15,$C$11,$C$11*(1-$G$11))</f>
        <v>200</v>
      </c>
      <c r="M745">
        <f>IF(D745&lt;$A$15,0,1)</f>
        <v>1</v>
      </c>
    </row>
    <row r="746" spans="4:13" x14ac:dyDescent="0.2">
      <c r="D746">
        <f t="shared" si="41"/>
        <v>723</v>
      </c>
      <c r="E746" s="1">
        <f t="shared" si="39"/>
        <v>234.46419712364909</v>
      </c>
      <c r="F746" s="1">
        <f t="shared" si="42"/>
        <v>-31.861871030345782</v>
      </c>
      <c r="G746" s="1">
        <f t="shared" si="40"/>
        <v>1.4540027516387606E-14</v>
      </c>
      <c r="H746" s="1">
        <f>G746/$G$21</f>
        <v>1.01959699127212E-15</v>
      </c>
      <c r="I746">
        <f>IF($E$11&lt;=D746, IF(D746&lt;=$A$15,D746-$E$11,$F$11),0)</f>
        <v>300</v>
      </c>
      <c r="J746">
        <f>IF(D746&lt;=$A$15,0,D746-$A$15)</f>
        <v>414</v>
      </c>
      <c r="K746" s="5">
        <f>IF(D746&lt;$E$11,H746,0)</f>
        <v>0</v>
      </c>
      <c r="L746">
        <f>IF(D746&lt;$A$15,$C$11,$C$11*(1-$G$11))</f>
        <v>200</v>
      </c>
      <c r="M746">
        <f>IF(D746&lt;$A$15,0,1)</f>
        <v>1</v>
      </c>
    </row>
    <row r="747" spans="4:13" x14ac:dyDescent="0.2">
      <c r="D747">
        <f t="shared" si="41"/>
        <v>724</v>
      </c>
      <c r="E747" s="1">
        <f t="shared" si="39"/>
        <v>234.38723608251297</v>
      </c>
      <c r="F747" s="1">
        <f t="shared" si="42"/>
        <v>-31.938832071481897</v>
      </c>
      <c r="G747" s="1">
        <f t="shared" si="40"/>
        <v>1.3462988441099806E-14</v>
      </c>
      <c r="H747" s="1">
        <f>G747/$G$21</f>
        <v>9.4407128821493787E-16</v>
      </c>
      <c r="I747">
        <f>IF($E$11&lt;=D747, IF(D747&lt;=$A$15,D747-$E$11,$F$11),0)</f>
        <v>300</v>
      </c>
      <c r="J747">
        <f>IF(D747&lt;=$A$15,0,D747-$A$15)</f>
        <v>415</v>
      </c>
      <c r="K747" s="5">
        <f>IF(D747&lt;$E$11,H747,0)</f>
        <v>0</v>
      </c>
      <c r="L747">
        <f>IF(D747&lt;$A$15,$C$11,$C$11*(1-$G$11))</f>
        <v>200</v>
      </c>
      <c r="M747">
        <f>IF(D747&lt;$A$15,0,1)</f>
        <v>1</v>
      </c>
    </row>
    <row r="748" spans="4:13" x14ac:dyDescent="0.2">
      <c r="D748">
        <f t="shared" si="41"/>
        <v>725</v>
      </c>
      <c r="E748" s="1">
        <f t="shared" si="39"/>
        <v>234.31027504137685</v>
      </c>
      <c r="F748" s="1">
        <f t="shared" si="42"/>
        <v>-32.015793112618013</v>
      </c>
      <c r="G748" s="1">
        <f t="shared" si="40"/>
        <v>1.2465730038055534E-14</v>
      </c>
      <c r="H748" s="1">
        <f>G748/$G$21</f>
        <v>8.7414008168050913E-16</v>
      </c>
      <c r="I748">
        <f>IF($E$11&lt;=D748, IF(D748&lt;=$A$15,D748-$E$11,$F$11),0)</f>
        <v>300</v>
      </c>
      <c r="J748">
        <f>IF(D748&lt;=$A$15,0,D748-$A$15)</f>
        <v>416</v>
      </c>
      <c r="K748" s="5">
        <f>IF(D748&lt;$E$11,H748,0)</f>
        <v>0</v>
      </c>
      <c r="L748">
        <f>IF(D748&lt;$A$15,$C$11,$C$11*(1-$G$11))</f>
        <v>200</v>
      </c>
      <c r="M748">
        <f>IF(D748&lt;$A$15,0,1)</f>
        <v>1</v>
      </c>
    </row>
    <row r="749" spans="4:13" x14ac:dyDescent="0.2">
      <c r="D749">
        <f t="shared" si="41"/>
        <v>726</v>
      </c>
      <c r="E749" s="1">
        <f t="shared" si="39"/>
        <v>234.23331400024074</v>
      </c>
      <c r="F749" s="1">
        <f t="shared" si="42"/>
        <v>-32.092754153754129</v>
      </c>
      <c r="G749" s="1">
        <f t="shared" si="40"/>
        <v>1.1542342627829344E-14</v>
      </c>
      <c r="H749" s="1">
        <f>G749/$G$21</f>
        <v>8.0938896451900016E-16</v>
      </c>
      <c r="I749">
        <f>IF($E$11&lt;=D749, IF(D749&lt;=$A$15,D749-$E$11,$F$11),0)</f>
        <v>300</v>
      </c>
      <c r="J749">
        <f>IF(D749&lt;=$A$15,0,D749-$A$15)</f>
        <v>417</v>
      </c>
      <c r="K749" s="5">
        <f>IF(D749&lt;$E$11,H749,0)</f>
        <v>0</v>
      </c>
      <c r="L749">
        <f>IF(D749&lt;$A$15,$C$11,$C$11*(1-$G$11))</f>
        <v>200</v>
      </c>
      <c r="M749">
        <f>IF(D749&lt;$A$15,0,1)</f>
        <v>1</v>
      </c>
    </row>
    <row r="750" spans="4:13" x14ac:dyDescent="0.2">
      <c r="D750">
        <f t="shared" si="41"/>
        <v>727</v>
      </c>
      <c r="E750" s="1">
        <f t="shared" si="39"/>
        <v>234.15635295910462</v>
      </c>
      <c r="F750" s="1">
        <f t="shared" si="42"/>
        <v>-32.169715194890244</v>
      </c>
      <c r="G750" s="1">
        <f t="shared" si="40"/>
        <v>1.0687354285027304E-14</v>
      </c>
      <c r="H750" s="1">
        <f>G750/$G$21</f>
        <v>7.4943422640649103E-16</v>
      </c>
      <c r="I750">
        <f>IF($E$11&lt;=D750, IF(D750&lt;=$A$15,D750-$E$11,$F$11),0)</f>
        <v>300</v>
      </c>
      <c r="J750">
        <f>IF(D750&lt;=$A$15,0,D750-$A$15)</f>
        <v>418</v>
      </c>
      <c r="K750" s="5">
        <f>IF(D750&lt;$E$11,H750,0)</f>
        <v>0</v>
      </c>
      <c r="L750">
        <f>IF(D750&lt;$A$15,$C$11,$C$11*(1-$G$11))</f>
        <v>200</v>
      </c>
      <c r="M750">
        <f>IF(D750&lt;$A$15,0,1)</f>
        <v>1</v>
      </c>
    </row>
    <row r="751" spans="4:13" x14ac:dyDescent="0.2">
      <c r="D751">
        <f t="shared" si="41"/>
        <v>728</v>
      </c>
      <c r="E751" s="1">
        <f t="shared" si="39"/>
        <v>234.07939191796851</v>
      </c>
      <c r="F751" s="1">
        <f t="shared" si="42"/>
        <v>-32.24667623602636</v>
      </c>
      <c r="G751" s="1">
        <f t="shared" si="40"/>
        <v>9.8956984120624442E-15</v>
      </c>
      <c r="H751" s="1">
        <f>G751/$G$21</f>
        <v>6.9392058000601905E-16</v>
      </c>
      <c r="I751">
        <f>IF($E$11&lt;=D751, IF(D751&lt;=$A$15,D751-$E$11,$F$11),0)</f>
        <v>300</v>
      </c>
      <c r="J751">
        <f>IF(D751&lt;=$A$15,0,D751-$A$15)</f>
        <v>419</v>
      </c>
      <c r="K751" s="5">
        <f>IF(D751&lt;$E$11,H751,0)</f>
        <v>0</v>
      </c>
      <c r="L751">
        <f>IF(D751&lt;$A$15,$C$11,$C$11*(1-$G$11))</f>
        <v>200</v>
      </c>
      <c r="M751">
        <f>IF(D751&lt;$A$15,0,1)</f>
        <v>1</v>
      </c>
    </row>
    <row r="752" spans="4:13" x14ac:dyDescent="0.2">
      <c r="D752">
        <f t="shared" si="41"/>
        <v>729</v>
      </c>
      <c r="E752" s="1">
        <f t="shared" si="39"/>
        <v>234.00243087683239</v>
      </c>
      <c r="F752" s="1">
        <f t="shared" si="42"/>
        <v>-32.323637277162476</v>
      </c>
      <c r="G752" s="1">
        <f t="shared" si="40"/>
        <v>9.1626837148727498E-15</v>
      </c>
      <c r="H752" s="1">
        <f>G752/$G$21</f>
        <v>6.4251905556113689E-16</v>
      </c>
      <c r="I752">
        <f>IF($E$11&lt;=D752, IF(D752&lt;=$A$15,D752-$E$11,$F$11),0)</f>
        <v>300</v>
      </c>
      <c r="J752">
        <f>IF(D752&lt;=$A$15,0,D752-$A$15)</f>
        <v>420</v>
      </c>
      <c r="K752" s="5">
        <f>IF(D752&lt;$E$11,H752,0)</f>
        <v>0</v>
      </c>
      <c r="L752">
        <f>IF(D752&lt;$A$15,$C$11,$C$11*(1-$G$11))</f>
        <v>200</v>
      </c>
      <c r="M752">
        <f>IF(D752&lt;$A$15,0,1)</f>
        <v>1</v>
      </c>
    </row>
    <row r="753" spans="4:13" x14ac:dyDescent="0.2">
      <c r="D753">
        <f t="shared" si="41"/>
        <v>730</v>
      </c>
      <c r="E753" s="1">
        <f t="shared" si="39"/>
        <v>233.92546983569628</v>
      </c>
      <c r="F753" s="1">
        <f t="shared" si="42"/>
        <v>-32.400598318298591</v>
      </c>
      <c r="G753" s="1">
        <f t="shared" si="40"/>
        <v>8.4839664026600606E-15</v>
      </c>
      <c r="H753" s="1">
        <f>G753/$G$21</f>
        <v>5.9492505144550457E-16</v>
      </c>
      <c r="I753">
        <f>IF($E$11&lt;=D753, IF(D753&lt;=$A$15,D753-$E$11,$F$11),0)</f>
        <v>300</v>
      </c>
      <c r="J753">
        <f>IF(D753&lt;=$A$15,0,D753-$A$15)</f>
        <v>421</v>
      </c>
      <c r="K753" s="5">
        <f>IF(D753&lt;$E$11,H753,0)</f>
        <v>0</v>
      </c>
      <c r="L753">
        <f>IF(D753&lt;$A$15,$C$11,$C$11*(1-$G$11))</f>
        <v>200</v>
      </c>
      <c r="M753">
        <f>IF(D753&lt;$A$15,0,1)</f>
        <v>1</v>
      </c>
    </row>
    <row r="754" spans="4:13" x14ac:dyDescent="0.2">
      <c r="D754">
        <f t="shared" si="41"/>
        <v>731</v>
      </c>
      <c r="E754" s="1">
        <f t="shared" si="39"/>
        <v>233.84850879456016</v>
      </c>
      <c r="F754" s="1">
        <f t="shared" si="42"/>
        <v>-32.477559359434707</v>
      </c>
      <c r="G754" s="1">
        <f t="shared" si="40"/>
        <v>7.855524446907563E-15</v>
      </c>
      <c r="H754" s="1">
        <f>G754/$G$21</f>
        <v>5.5085652911621494E-16</v>
      </c>
      <c r="I754">
        <f>IF($E$11&lt;=D754, IF(D754&lt;=$A$15,D754-$E$11,$F$11),0)</f>
        <v>300</v>
      </c>
      <c r="J754">
        <f>IF(D754&lt;=$A$15,0,D754-$A$15)</f>
        <v>422</v>
      </c>
      <c r="K754" s="5">
        <f>IF(D754&lt;$E$11,H754,0)</f>
        <v>0</v>
      </c>
      <c r="L754">
        <f>IF(D754&lt;$A$15,$C$11,$C$11*(1-$G$11))</f>
        <v>200</v>
      </c>
      <c r="M754">
        <f>IF(D754&lt;$A$15,0,1)</f>
        <v>1</v>
      </c>
    </row>
    <row r="755" spans="4:13" x14ac:dyDescent="0.2">
      <c r="D755">
        <f t="shared" si="41"/>
        <v>732</v>
      </c>
      <c r="E755" s="1">
        <f t="shared" si="39"/>
        <v>233.77154775342404</v>
      </c>
      <c r="F755" s="1">
        <f t="shared" si="42"/>
        <v>-32.554520400570823</v>
      </c>
      <c r="G755" s="1">
        <f t="shared" si="40"/>
        <v>7.2736337471367244E-15</v>
      </c>
      <c r="H755" s="1">
        <f>G755/$G$21</f>
        <v>5.1005234177427957E-16</v>
      </c>
      <c r="I755">
        <f>IF($E$11&lt;=D755, IF(D755&lt;=$A$15,D755-$E$11,$F$11),0)</f>
        <v>300</v>
      </c>
      <c r="J755">
        <f>IF(D755&lt;=$A$15,0,D755-$A$15)</f>
        <v>423</v>
      </c>
      <c r="K755" s="5">
        <f>IF(D755&lt;$E$11,H755,0)</f>
        <v>0</v>
      </c>
      <c r="L755">
        <f>IF(D755&lt;$A$15,$C$11,$C$11*(1-$G$11))</f>
        <v>200</v>
      </c>
      <c r="M755">
        <f>IF(D755&lt;$A$15,0,1)</f>
        <v>1</v>
      </c>
    </row>
    <row r="756" spans="4:13" x14ac:dyDescent="0.2">
      <c r="D756">
        <f t="shared" si="41"/>
        <v>733</v>
      </c>
      <c r="E756" s="1">
        <f t="shared" si="39"/>
        <v>233.69458671228793</v>
      </c>
      <c r="F756" s="1">
        <f t="shared" si="42"/>
        <v>-32.631481441706939</v>
      </c>
      <c r="G756" s="1">
        <f t="shared" si="40"/>
        <v>6.7348460621637185E-15</v>
      </c>
      <c r="H756" s="1">
        <f>G756/$G$21</f>
        <v>4.7227068682804252E-16</v>
      </c>
      <c r="I756">
        <f>IF($E$11&lt;=D756, IF(D756&lt;=$A$15,D756-$E$11,$F$11),0)</f>
        <v>300</v>
      </c>
      <c r="J756">
        <f>IF(D756&lt;=$A$15,0,D756-$A$15)</f>
        <v>424</v>
      </c>
      <c r="K756" s="5">
        <f>IF(D756&lt;$E$11,H756,0)</f>
        <v>0</v>
      </c>
      <c r="L756">
        <f>IF(D756&lt;$A$15,$C$11,$C$11*(1-$G$11))</f>
        <v>200</v>
      </c>
      <c r="M756">
        <f>IF(D756&lt;$A$15,0,1)</f>
        <v>1</v>
      </c>
    </row>
    <row r="757" spans="4:13" x14ac:dyDescent="0.2">
      <c r="D757">
        <f t="shared" si="41"/>
        <v>734</v>
      </c>
      <c r="E757" s="1">
        <f t="shared" si="39"/>
        <v>233.61762567115181</v>
      </c>
      <c r="F757" s="1">
        <f t="shared" si="42"/>
        <v>-32.708442482843054</v>
      </c>
      <c r="G757" s="1">
        <f t="shared" si="40"/>
        <v>6.2359685760775963E-15</v>
      </c>
      <c r="H757" s="1">
        <f>G757/$G$21</f>
        <v>4.3728767298893385E-16</v>
      </c>
      <c r="I757">
        <f>IF($E$11&lt;=D757, IF(D757&lt;=$A$15,D757-$E$11,$F$11),0)</f>
        <v>300</v>
      </c>
      <c r="J757">
        <f>IF(D757&lt;=$A$15,0,D757-$A$15)</f>
        <v>425</v>
      </c>
      <c r="K757" s="5">
        <f>IF(D757&lt;$E$11,H757,0)</f>
        <v>0</v>
      </c>
      <c r="L757">
        <f>IF(D757&lt;$A$15,$C$11,$C$11*(1-$G$11))</f>
        <v>200</v>
      </c>
      <c r="M757">
        <f>IF(D757&lt;$A$15,0,1)</f>
        <v>1</v>
      </c>
    </row>
    <row r="758" spans="4:13" x14ac:dyDescent="0.2">
      <c r="D758">
        <f t="shared" si="41"/>
        <v>735</v>
      </c>
      <c r="E758" s="1">
        <f t="shared" si="39"/>
        <v>233.5406646300157</v>
      </c>
      <c r="F758" s="1">
        <f t="shared" si="42"/>
        <v>-32.78540352397917</v>
      </c>
      <c r="G758" s="1">
        <f t="shared" si="40"/>
        <v>5.7740449778496994E-15</v>
      </c>
      <c r="H758" s="1">
        <f>G758/$G$21</f>
        <v>4.0489599350827721E-16</v>
      </c>
      <c r="I758">
        <f>IF($E$11&lt;=D758, IF(D758&lt;=$A$15,D758-$E$11,$F$11),0)</f>
        <v>300</v>
      </c>
      <c r="J758">
        <f>IF(D758&lt;=$A$15,0,D758-$A$15)</f>
        <v>426</v>
      </c>
      <c r="K758" s="5">
        <f>IF(D758&lt;$E$11,H758,0)</f>
        <v>0</v>
      </c>
      <c r="L758">
        <f>IF(D758&lt;$A$15,$C$11,$C$11*(1-$G$11))</f>
        <v>200</v>
      </c>
      <c r="M758">
        <f>IF(D758&lt;$A$15,0,1)</f>
        <v>1</v>
      </c>
    </row>
    <row r="759" spans="4:13" x14ac:dyDescent="0.2">
      <c r="D759">
        <f t="shared" si="41"/>
        <v>736</v>
      </c>
      <c r="E759" s="1">
        <f t="shared" si="39"/>
        <v>233.46370358887958</v>
      </c>
      <c r="F759" s="1">
        <f t="shared" si="42"/>
        <v>-32.862364565115286</v>
      </c>
      <c r="G759" s="1">
        <f t="shared" si="40"/>
        <v>5.3463379424534927E-15</v>
      </c>
      <c r="H759" s="1">
        <f>G759/$G$21</f>
        <v>3.7490369769285397E-16</v>
      </c>
      <c r="I759">
        <f>IF($E$11&lt;=D759, IF(D759&lt;=$A$15,D759-$E$11,$F$11),0)</f>
        <v>300</v>
      </c>
      <c r="J759">
        <f>IF(D759&lt;=$A$15,0,D759-$A$15)</f>
        <v>427</v>
      </c>
      <c r="K759" s="5">
        <f>IF(D759&lt;$E$11,H759,0)</f>
        <v>0</v>
      </c>
      <c r="L759">
        <f>IF(D759&lt;$A$15,$C$11,$C$11*(1-$G$11))</f>
        <v>200</v>
      </c>
      <c r="M759">
        <f>IF(D759&lt;$A$15,0,1)</f>
        <v>1</v>
      </c>
    </row>
    <row r="760" spans="4:13" x14ac:dyDescent="0.2">
      <c r="D760">
        <f t="shared" si="41"/>
        <v>737</v>
      </c>
      <c r="E760" s="1">
        <f t="shared" si="39"/>
        <v>233.38674254774347</v>
      </c>
      <c r="F760" s="1">
        <f t="shared" si="42"/>
        <v>-32.939325606251401</v>
      </c>
      <c r="G760" s="1">
        <f t="shared" si="40"/>
        <v>4.9503129096792224E-15</v>
      </c>
      <c r="H760" s="1">
        <f>G760/$G$21</f>
        <v>3.4713305341931363E-16</v>
      </c>
      <c r="I760">
        <f>IF($E$11&lt;=D760, IF(D760&lt;=$A$15,D760-$E$11,$F$11),0)</f>
        <v>300</v>
      </c>
      <c r="J760">
        <f>IF(D760&lt;=$A$15,0,D760-$A$15)</f>
        <v>428</v>
      </c>
      <c r="K760" s="5">
        <f>IF(D760&lt;$E$11,H760,0)</f>
        <v>0</v>
      </c>
      <c r="L760">
        <f>IF(D760&lt;$A$15,$C$11,$C$11*(1-$G$11))</f>
        <v>200</v>
      </c>
      <c r="M760">
        <f>IF(D760&lt;$A$15,0,1)</f>
        <v>1</v>
      </c>
    </row>
    <row r="761" spans="4:13" x14ac:dyDescent="0.2">
      <c r="D761">
        <f t="shared" si="41"/>
        <v>738</v>
      </c>
      <c r="E761" s="1">
        <f t="shared" si="39"/>
        <v>233.30978150660735</v>
      </c>
      <c r="F761" s="1">
        <f t="shared" si="42"/>
        <v>-33.016286647387517</v>
      </c>
      <c r="G761" s="1">
        <f t="shared" si="40"/>
        <v>4.5836230645178565E-15</v>
      </c>
      <c r="H761" s="1">
        <f>G761/$G$21</f>
        <v>3.2141949390677595E-16</v>
      </c>
      <c r="I761">
        <f>IF($E$11&lt;=D761, IF(D761&lt;=$A$15,D761-$E$11,$F$11),0)</f>
        <v>300</v>
      </c>
      <c r="J761">
        <f>IF(D761&lt;=$A$15,0,D761-$A$15)</f>
        <v>429</v>
      </c>
      <c r="K761" s="5">
        <f>IF(D761&lt;$E$11,H761,0)</f>
        <v>0</v>
      </c>
      <c r="L761">
        <f>IF(D761&lt;$A$15,$C$11,$C$11*(1-$G$11))</f>
        <v>200</v>
      </c>
      <c r="M761">
        <f>IF(D761&lt;$A$15,0,1)</f>
        <v>1</v>
      </c>
    </row>
    <row r="762" spans="4:13" x14ac:dyDescent="0.2">
      <c r="D762">
        <f t="shared" si="41"/>
        <v>739</v>
      </c>
      <c r="E762" s="1">
        <f t="shared" si="39"/>
        <v>233.23282046547124</v>
      </c>
      <c r="F762" s="1">
        <f t="shared" si="42"/>
        <v>-33.093247688523633</v>
      </c>
      <c r="G762" s="1">
        <f t="shared" si="40"/>
        <v>4.2440954301091804E-15</v>
      </c>
      <c r="H762" s="1">
        <f>G762/$G$21</f>
        <v>2.9761064250627781E-16</v>
      </c>
      <c r="I762">
        <f>IF($E$11&lt;=D762, IF(D762&lt;=$A$15,D762-$E$11,$F$11),0)</f>
        <v>300</v>
      </c>
      <c r="J762">
        <f>IF(D762&lt;=$A$15,0,D762-$A$15)</f>
        <v>430</v>
      </c>
      <c r="K762" s="5">
        <f>IF(D762&lt;$E$11,H762,0)</f>
        <v>0</v>
      </c>
      <c r="L762">
        <f>IF(D762&lt;$A$15,$C$11,$C$11*(1-$G$11))</f>
        <v>200</v>
      </c>
      <c r="M762">
        <f>IF(D762&lt;$A$15,0,1)</f>
        <v>1</v>
      </c>
    </row>
    <row r="763" spans="4:13" x14ac:dyDescent="0.2">
      <c r="D763">
        <f t="shared" si="41"/>
        <v>740</v>
      </c>
      <c r="E763" s="1">
        <f t="shared" si="39"/>
        <v>233.15585942433512</v>
      </c>
      <c r="F763" s="1">
        <f t="shared" si="42"/>
        <v>-33.170208729659748</v>
      </c>
      <c r="G763" s="1">
        <f t="shared" si="40"/>
        <v>3.9297179908418833E-15</v>
      </c>
      <c r="H763" s="1">
        <f>G763/$G$21</f>
        <v>2.7556540972803847E-16</v>
      </c>
      <c r="I763">
        <f>IF($E$11&lt;=D763, IF(D763&lt;=$A$15,D763-$E$11,$F$11),0)</f>
        <v>300</v>
      </c>
      <c r="J763">
        <f>IF(D763&lt;=$A$15,0,D763-$A$15)</f>
        <v>431</v>
      </c>
      <c r="K763" s="5">
        <f>IF(D763&lt;$E$11,H763,0)</f>
        <v>0</v>
      </c>
      <c r="L763">
        <f>IF(D763&lt;$A$15,$C$11,$C$11*(1-$G$11))</f>
        <v>200</v>
      </c>
      <c r="M763">
        <f>IF(D763&lt;$A$15,0,1)</f>
        <v>1</v>
      </c>
    </row>
    <row r="764" spans="4:13" x14ac:dyDescent="0.2">
      <c r="D764">
        <f t="shared" si="41"/>
        <v>741</v>
      </c>
      <c r="E764" s="1">
        <f t="shared" si="39"/>
        <v>233.078898383199</v>
      </c>
      <c r="F764" s="1">
        <f t="shared" si="42"/>
        <v>-33.247169770795864</v>
      </c>
      <c r="G764" s="1">
        <f t="shared" si="40"/>
        <v>3.6386277692980859E-15</v>
      </c>
      <c r="H764" s="1">
        <f>G764/$G$21</f>
        <v>2.5515315715559441E-16</v>
      </c>
      <c r="I764">
        <f>IF($E$11&lt;=D764, IF(D764&lt;=$A$15,D764-$E$11,$F$11),0)</f>
        <v>300</v>
      </c>
      <c r="J764">
        <f>IF(D764&lt;=$A$15,0,D764-$A$15)</f>
        <v>432</v>
      </c>
      <c r="K764" s="5">
        <f>IF(D764&lt;$E$11,H764,0)</f>
        <v>0</v>
      </c>
      <c r="L764">
        <f>IF(D764&lt;$A$15,$C$11,$C$11*(1-$G$11))</f>
        <v>200</v>
      </c>
      <c r="M764">
        <f>IF(D764&lt;$A$15,0,1)</f>
        <v>1</v>
      </c>
    </row>
    <row r="765" spans="4:13" x14ac:dyDescent="0.2">
      <c r="D765">
        <f t="shared" si="41"/>
        <v>742</v>
      </c>
      <c r="E765" s="1">
        <f t="shared" si="39"/>
        <v>233.00193734206289</v>
      </c>
      <c r="F765" s="1">
        <f t="shared" si="42"/>
        <v>-33.32413081193198</v>
      </c>
      <c r="G765" s="1">
        <f t="shared" si="40"/>
        <v>3.3690997863871593E-15</v>
      </c>
      <c r="H765" s="1">
        <f>G765/$G$21</f>
        <v>2.3625292329222003E-16</v>
      </c>
      <c r="I765">
        <f>IF($E$11&lt;=D765, IF(D765&lt;=$A$15,D765-$E$11,$F$11),0)</f>
        <v>300</v>
      </c>
      <c r="J765">
        <f>IF(D765&lt;=$A$15,0,D765-$A$15)</f>
        <v>433</v>
      </c>
      <c r="K765" s="5">
        <f>IF(D765&lt;$E$11,H765,0)</f>
        <v>0</v>
      </c>
      <c r="L765">
        <f>IF(D765&lt;$A$15,$C$11,$C$11*(1-$G$11))</f>
        <v>200</v>
      </c>
      <c r="M765">
        <f>IF(D765&lt;$A$15,0,1)</f>
        <v>1</v>
      </c>
    </row>
    <row r="766" spans="4:13" x14ac:dyDescent="0.2">
      <c r="D766">
        <f t="shared" si="41"/>
        <v>743</v>
      </c>
      <c r="E766" s="1">
        <f t="shared" si="39"/>
        <v>232.92497630092677</v>
      </c>
      <c r="F766" s="1">
        <f t="shared" si="42"/>
        <v>-33.401091853068095</v>
      </c>
      <c r="G766" s="1">
        <f t="shared" si="40"/>
        <v>3.1195368392474089E-15</v>
      </c>
      <c r="H766" s="1">
        <f>G766/$G$21</f>
        <v>2.1875270675205833E-16</v>
      </c>
      <c r="I766">
        <f>IF($E$11&lt;=D766, IF(D766&lt;=$A$15,D766-$E$11,$F$11),0)</f>
        <v>300</v>
      </c>
      <c r="J766">
        <f>IF(D766&lt;=$A$15,0,D766-$A$15)</f>
        <v>434</v>
      </c>
      <c r="K766" s="5">
        <f>IF(D766&lt;$E$11,H766,0)</f>
        <v>0</v>
      </c>
      <c r="L766">
        <f>IF(D766&lt;$A$15,$C$11,$C$11*(1-$G$11))</f>
        <v>200</v>
      </c>
      <c r="M766">
        <f>IF(D766&lt;$A$15,0,1)</f>
        <v>1</v>
      </c>
    </row>
    <row r="767" spans="4:13" x14ac:dyDescent="0.2">
      <c r="D767">
        <f t="shared" si="41"/>
        <v>744</v>
      </c>
      <c r="E767" s="1">
        <f t="shared" si="39"/>
        <v>232.84801525979066</v>
      </c>
      <c r="F767" s="1">
        <f t="shared" si="42"/>
        <v>-33.478052894204211</v>
      </c>
      <c r="G767" s="1">
        <f t="shared" si="40"/>
        <v>2.8884600363402301E-15</v>
      </c>
      <c r="H767" s="1">
        <f>G767/$G$21</f>
        <v>2.0254880254820473E-16</v>
      </c>
      <c r="I767">
        <f>IF($E$11&lt;=D767, IF(D767&lt;=$A$15,D767-$E$11,$F$11),0)</f>
        <v>300</v>
      </c>
      <c r="J767">
        <f>IF(D767&lt;=$A$15,0,D767-$A$15)</f>
        <v>435</v>
      </c>
      <c r="K767" s="5">
        <f>IF(D767&lt;$E$11,H767,0)</f>
        <v>0</v>
      </c>
      <c r="L767">
        <f>IF(D767&lt;$A$15,$C$11,$C$11*(1-$G$11))</f>
        <v>200</v>
      </c>
      <c r="M767">
        <f>IF(D767&lt;$A$15,0,1)</f>
        <v>1</v>
      </c>
    </row>
    <row r="768" spans="4:13" x14ac:dyDescent="0.2">
      <c r="D768">
        <f t="shared" si="41"/>
        <v>745</v>
      </c>
      <c r="E768" s="1">
        <f t="shared" si="39"/>
        <v>232.77105421865454</v>
      </c>
      <c r="F768" s="1">
        <f t="shared" si="42"/>
        <v>-33.555013935340327</v>
      </c>
      <c r="G768" s="1">
        <f t="shared" si="40"/>
        <v>2.6745000336483949E-15</v>
      </c>
      <c r="H768" s="1">
        <f>G768/$G$21</f>
        <v>1.8754518754463638E-16</v>
      </c>
      <c r="I768">
        <f>IF($E$11&lt;=D768, IF(D768&lt;=$A$15,D768-$E$11,$F$11),0)</f>
        <v>300</v>
      </c>
      <c r="J768">
        <f>IF(D768&lt;=$A$15,0,D768-$A$15)</f>
        <v>436</v>
      </c>
      <c r="K768" s="5">
        <f>IF(D768&lt;$E$11,H768,0)</f>
        <v>0</v>
      </c>
      <c r="L768">
        <f>IF(D768&lt;$A$15,$C$11,$C$11*(1-$G$11))</f>
        <v>200</v>
      </c>
      <c r="M768">
        <f>IF(D768&lt;$A$15,0,1)</f>
        <v>1</v>
      </c>
    </row>
    <row r="769" spans="4:13" x14ac:dyDescent="0.2">
      <c r="D769">
        <f t="shared" si="41"/>
        <v>746</v>
      </c>
      <c r="E769" s="1">
        <f t="shared" si="39"/>
        <v>232.69409317751843</v>
      </c>
      <c r="F769" s="1">
        <f t="shared" si="42"/>
        <v>-33.631974976476442</v>
      </c>
      <c r="G769" s="1">
        <f t="shared" si="40"/>
        <v>2.4763889200448414E-15</v>
      </c>
      <c r="H769" s="1">
        <f>G769/$G$21</f>
        <v>1.7365295143022107E-16</v>
      </c>
      <c r="I769">
        <f>IF($E$11&lt;=D769, IF(D769&lt;=$A$15,D769-$E$11,$F$11),0)</f>
        <v>300</v>
      </c>
      <c r="J769">
        <f>IF(D769&lt;=$A$15,0,D769-$A$15)</f>
        <v>437</v>
      </c>
      <c r="K769" s="5">
        <f>IF(D769&lt;$E$11,H769,0)</f>
        <v>0</v>
      </c>
      <c r="L769">
        <f>IF(D769&lt;$A$15,$C$11,$C$11*(1-$G$11))</f>
        <v>200</v>
      </c>
      <c r="M769">
        <f>IF(D769&lt;$A$15,0,1)</f>
        <v>1</v>
      </c>
    </row>
    <row r="770" spans="4:13" x14ac:dyDescent="0.2">
      <c r="D770">
        <f t="shared" si="41"/>
        <v>747</v>
      </c>
      <c r="E770" s="1">
        <f t="shared" si="39"/>
        <v>232.61713213638231</v>
      </c>
      <c r="F770" s="1">
        <f t="shared" si="42"/>
        <v>-33.708936017612558</v>
      </c>
      <c r="G770" s="1">
        <f t="shared" si="40"/>
        <v>2.2929527037452527E-15</v>
      </c>
      <c r="H770" s="1">
        <f>G770/$G$21</f>
        <v>1.6078976984279934E-16</v>
      </c>
      <c r="I770">
        <f>IF($E$11&lt;=D770, IF(D770&lt;=$A$15,D770-$E$11,$F$11),0)</f>
        <v>300</v>
      </c>
      <c r="J770">
        <f>IF(D770&lt;=$A$15,0,D770-$A$15)</f>
        <v>438</v>
      </c>
      <c r="K770" s="5">
        <f>IF(D770&lt;$E$11,H770,0)</f>
        <v>0</v>
      </c>
      <c r="L770">
        <f>IF(D770&lt;$A$15,$C$11,$C$11*(1-$G$11))</f>
        <v>200</v>
      </c>
      <c r="M770">
        <f>IF(D770&lt;$A$15,0,1)</f>
        <v>1</v>
      </c>
    </row>
    <row r="771" spans="4:13" x14ac:dyDescent="0.2">
      <c r="D771">
        <f t="shared" si="41"/>
        <v>748</v>
      </c>
      <c r="E771" s="1">
        <f t="shared" si="39"/>
        <v>232.54017109524619</v>
      </c>
      <c r="F771" s="1">
        <f t="shared" si="42"/>
        <v>-33.785897058748674</v>
      </c>
      <c r="G771" s="1">
        <f t="shared" si="40"/>
        <v>2.1231043553197053E-15</v>
      </c>
      <c r="H771" s="1">
        <f>G771/$G$21</f>
        <v>1.4887941652111238E-16</v>
      </c>
      <c r="I771">
        <f>IF($E$11&lt;=D771, IF(D771&lt;=$A$15,D771-$E$11,$F$11),0)</f>
        <v>300</v>
      </c>
      <c r="J771">
        <f>IF(D771&lt;=$A$15,0,D771-$A$15)</f>
        <v>439</v>
      </c>
      <c r="K771" s="5">
        <f>IF(D771&lt;$E$11,H771,0)</f>
        <v>0</v>
      </c>
      <c r="L771">
        <f>IF(D771&lt;$A$15,$C$11,$C$11*(1-$G$11))</f>
        <v>200</v>
      </c>
      <c r="M771">
        <f>IF(D771&lt;$A$15,0,1)</f>
        <v>1</v>
      </c>
    </row>
    <row r="772" spans="4:13" x14ac:dyDescent="0.2">
      <c r="D772">
        <f t="shared" si="41"/>
        <v>749</v>
      </c>
      <c r="E772" s="1">
        <f t="shared" ref="E772:F835" si="43">IF($G$11=1,IF(D772&lt;=$A$15, E771+LN($C$11)-LN(60/$D$11)-LN(MIN(D772,$E$11)), E771-LN(60/$D$11)-LN(MIN(D772,$E$11))), IF(D772&lt;=$A$15, E771+LN($C$11)-LN(60/$D$11)-LN(MIN(D772,$E$11)), E771+LN($C$11)+LN(1-$G$11)-LN(60/$D$11)-LN(MIN(D772,$E$11))))</f>
        <v>232.46321005411008</v>
      </c>
      <c r="F772" s="1">
        <f t="shared" si="42"/>
        <v>-33.862858099884789</v>
      </c>
      <c r="G772" s="1">
        <f t="shared" si="40"/>
        <v>1.9658373660367889E-15</v>
      </c>
      <c r="H772" s="1">
        <f>G772/$G$21</f>
        <v>1.3785131159362431E-16</v>
      </c>
      <c r="I772">
        <f>IF($E$11&lt;=D772, IF(D772&lt;=$A$15,D772-$E$11,$F$11),0)</f>
        <v>300</v>
      </c>
      <c r="J772">
        <f>IF(D772&lt;=$A$15,0,D772-$A$15)</f>
        <v>440</v>
      </c>
      <c r="K772" s="5">
        <f>IF(D772&lt;$E$11,H772,0)</f>
        <v>0</v>
      </c>
      <c r="L772">
        <f>IF(D772&lt;$A$15,$C$11,$C$11*(1-$G$11))</f>
        <v>200</v>
      </c>
      <c r="M772">
        <f>IF(D772&lt;$A$15,0,1)</f>
        <v>1</v>
      </c>
    </row>
    <row r="773" spans="4:13" x14ac:dyDescent="0.2">
      <c r="D773">
        <f t="shared" si="41"/>
        <v>750</v>
      </c>
      <c r="E773" s="1">
        <f t="shared" si="43"/>
        <v>232.38624901297396</v>
      </c>
      <c r="F773" s="1">
        <f t="shared" si="42"/>
        <v>-33.939819141020905</v>
      </c>
      <c r="G773" s="1">
        <f t="shared" si="40"/>
        <v>1.8202197833674203E-15</v>
      </c>
      <c r="H773" s="1">
        <f>G773/$G$21</f>
        <v>1.2764010332743154E-16</v>
      </c>
      <c r="I773">
        <f>IF($E$11&lt;=D773, IF(D773&lt;=$A$15,D773-$E$11,$F$11),0)</f>
        <v>300</v>
      </c>
      <c r="J773">
        <f>IF(D773&lt;=$A$15,0,D773-$A$15)</f>
        <v>441</v>
      </c>
      <c r="K773" s="5">
        <f>IF(D773&lt;$E$11,H773,0)</f>
        <v>0</v>
      </c>
      <c r="L773">
        <f>IF(D773&lt;$A$15,$C$11,$C$11*(1-$G$11))</f>
        <v>200</v>
      </c>
      <c r="M773">
        <f>IF(D773&lt;$A$15,0,1)</f>
        <v>1</v>
      </c>
    </row>
    <row r="774" spans="4:13" x14ac:dyDescent="0.2">
      <c r="D774">
        <f t="shared" si="41"/>
        <v>751</v>
      </c>
      <c r="E774" s="1">
        <f t="shared" si="43"/>
        <v>232.30928797183785</v>
      </c>
      <c r="F774" s="1">
        <f t="shared" si="42"/>
        <v>-34.016780182157021</v>
      </c>
      <c r="G774" s="1">
        <f t="shared" si="40"/>
        <v>1.6853886883031882E-15</v>
      </c>
      <c r="H774" s="1">
        <f>G774/$G$21</f>
        <v>1.181852808587344E-16</v>
      </c>
      <c r="I774">
        <f>IF($E$11&lt;=D774, IF(D774&lt;=$A$15,D774-$E$11,$F$11),0)</f>
        <v>300</v>
      </c>
      <c r="J774">
        <f>IF(D774&lt;=$A$15,0,D774-$A$15)</f>
        <v>442</v>
      </c>
      <c r="K774" s="5">
        <f>IF(D774&lt;$E$11,H774,0)</f>
        <v>0</v>
      </c>
      <c r="L774">
        <f>IF(D774&lt;$A$15,$C$11,$C$11*(1-$G$11))</f>
        <v>200</v>
      </c>
      <c r="M774">
        <f>IF(D774&lt;$A$15,0,1)</f>
        <v>1</v>
      </c>
    </row>
    <row r="775" spans="4:13" x14ac:dyDescent="0.2">
      <c r="D775">
        <f t="shared" si="41"/>
        <v>752</v>
      </c>
      <c r="E775" s="1">
        <f t="shared" si="43"/>
        <v>232.23232693070173</v>
      </c>
      <c r="F775" s="1">
        <f t="shared" si="42"/>
        <v>-34.093741223293136</v>
      </c>
      <c r="G775" s="1">
        <f t="shared" si="40"/>
        <v>1.560545081762231E-15</v>
      </c>
      <c r="H775" s="1">
        <f>G775/$G$21</f>
        <v>1.0943081560994063E-16</v>
      </c>
      <c r="I775">
        <f>IF($E$11&lt;=D775, IF(D775&lt;=$A$15,D775-$E$11,$F$11),0)</f>
        <v>300</v>
      </c>
      <c r="J775">
        <f>IF(D775&lt;=$A$15,0,D775-$A$15)</f>
        <v>443</v>
      </c>
      <c r="K775" s="5">
        <f>IF(D775&lt;$E$11,H775,0)</f>
        <v>0</v>
      </c>
      <c r="L775">
        <f>IF(D775&lt;$A$15,$C$11,$C$11*(1-$G$11))</f>
        <v>200</v>
      </c>
      <c r="M775">
        <f>IF(D775&lt;$A$15,0,1)</f>
        <v>1</v>
      </c>
    </row>
    <row r="776" spans="4:13" x14ac:dyDescent="0.2">
      <c r="D776">
        <f t="shared" si="41"/>
        <v>753</v>
      </c>
      <c r="E776" s="1">
        <f t="shared" si="43"/>
        <v>232.15536588956562</v>
      </c>
      <c r="F776" s="1">
        <f t="shared" si="42"/>
        <v>-34.170702264429252</v>
      </c>
      <c r="G776" s="1">
        <f t="shared" si="40"/>
        <v>1.4449491497798618E-15</v>
      </c>
      <c r="H776" s="1">
        <f>G776/$G$21</f>
        <v>1.0132482926846483E-16</v>
      </c>
      <c r="I776">
        <f>IF($E$11&lt;=D776, IF(D776&lt;=$A$15,D776-$E$11,$F$11),0)</f>
        <v>300</v>
      </c>
      <c r="J776">
        <f>IF(D776&lt;=$A$15,0,D776-$A$15)</f>
        <v>444</v>
      </c>
      <c r="K776" s="5">
        <f>IF(D776&lt;$E$11,H776,0)</f>
        <v>0</v>
      </c>
      <c r="L776">
        <f>IF(D776&lt;$A$15,$C$11,$C$11*(1-$G$11))</f>
        <v>200</v>
      </c>
      <c r="M776">
        <f>IF(D776&lt;$A$15,0,1)</f>
        <v>1</v>
      </c>
    </row>
    <row r="777" spans="4:13" x14ac:dyDescent="0.2">
      <c r="D777">
        <f t="shared" si="41"/>
        <v>754</v>
      </c>
      <c r="E777" s="1">
        <f t="shared" si="43"/>
        <v>232.0784048484295</v>
      </c>
      <c r="F777" s="1">
        <f t="shared" si="42"/>
        <v>-34.247663305565368</v>
      </c>
      <c r="G777" s="1">
        <f t="shared" si="40"/>
        <v>1.3379158794258148E-15</v>
      </c>
      <c r="H777" s="1">
        <f>G777/$G$21</f>
        <v>9.3819286359690844E-17</v>
      </c>
      <c r="I777">
        <f>IF($E$11&lt;=D777, IF(D777&lt;=$A$15,D777-$E$11,$F$11),0)</f>
        <v>300</v>
      </c>
      <c r="J777">
        <f>IF(D777&lt;=$A$15,0,D777-$A$15)</f>
        <v>445</v>
      </c>
      <c r="K777" s="5">
        <f>IF(D777&lt;$E$11,H777,0)</f>
        <v>0</v>
      </c>
      <c r="L777">
        <f>IF(D777&lt;$A$15,$C$11,$C$11*(1-$G$11))</f>
        <v>200</v>
      </c>
      <c r="M777">
        <f>IF(D777&lt;$A$15,0,1)</f>
        <v>1</v>
      </c>
    </row>
    <row r="778" spans="4:13" x14ac:dyDescent="0.2">
      <c r="D778">
        <f t="shared" si="41"/>
        <v>755</v>
      </c>
      <c r="E778" s="1">
        <f t="shared" si="43"/>
        <v>232.00144380729338</v>
      </c>
      <c r="F778" s="1">
        <f t="shared" si="42"/>
        <v>-34.324624346701484</v>
      </c>
      <c r="G778" s="1">
        <f t="shared" si="40"/>
        <v>1.2388109994683627E-15</v>
      </c>
      <c r="H778" s="1">
        <f>G778/$G$21</f>
        <v>8.6869709592307437E-17</v>
      </c>
      <c r="I778">
        <f>IF($E$11&lt;=D778, IF(D778&lt;=$A$15,D778-$E$11,$F$11),0)</f>
        <v>300</v>
      </c>
      <c r="J778">
        <f>IF(D778&lt;=$A$15,0,D778-$A$15)</f>
        <v>446</v>
      </c>
      <c r="K778" s="5">
        <f>IF(D778&lt;$E$11,H778,0)</f>
        <v>0</v>
      </c>
      <c r="L778">
        <f>IF(D778&lt;$A$15,$C$11,$C$11*(1-$G$11))</f>
        <v>200</v>
      </c>
      <c r="M778">
        <f>IF(D778&lt;$A$15,0,1)</f>
        <v>1</v>
      </c>
    </row>
    <row r="779" spans="4:13" x14ac:dyDescent="0.2">
      <c r="D779">
        <f t="shared" si="41"/>
        <v>756</v>
      </c>
      <c r="E779" s="1">
        <f t="shared" si="43"/>
        <v>231.92448276615727</v>
      </c>
      <c r="F779" s="1">
        <f t="shared" si="42"/>
        <v>-34.401585387837599</v>
      </c>
      <c r="G779" s="1">
        <f t="shared" si="40"/>
        <v>1.1470472217299799E-15</v>
      </c>
      <c r="H779" s="1">
        <f>G779/$G$21</f>
        <v>8.0434916289174559E-17</v>
      </c>
      <c r="I779">
        <f>IF($E$11&lt;=D779, IF(D779&lt;=$A$15,D779-$E$11,$F$11),0)</f>
        <v>300</v>
      </c>
      <c r="J779">
        <f>IF(D779&lt;=$A$15,0,D779-$A$15)</f>
        <v>447</v>
      </c>
      <c r="K779" s="5">
        <f>IF(D779&lt;$E$11,H779,0)</f>
        <v>0</v>
      </c>
      <c r="L779">
        <f>IF(D779&lt;$A$15,$C$11,$C$11*(1-$G$11))</f>
        <v>200</v>
      </c>
      <c r="M779">
        <f>IF(D779&lt;$A$15,0,1)</f>
        <v>1</v>
      </c>
    </row>
    <row r="780" spans="4:13" x14ac:dyDescent="0.2">
      <c r="D780">
        <f t="shared" si="41"/>
        <v>757</v>
      </c>
      <c r="E780" s="1">
        <f t="shared" si="43"/>
        <v>231.84752172502115</v>
      </c>
      <c r="F780" s="1">
        <f t="shared" si="42"/>
        <v>-34.478546428973715</v>
      </c>
      <c r="G780" s="1">
        <f t="shared" si="40"/>
        <v>1.0620807608611059E-15</v>
      </c>
      <c r="H780" s="1">
        <f>G780/$G$21</f>
        <v>7.4476774341829243E-17</v>
      </c>
      <c r="I780">
        <f>IF($E$11&lt;=D780, IF(D780&lt;=$A$15,D780-$E$11,$F$11),0)</f>
        <v>300</v>
      </c>
      <c r="J780">
        <f>IF(D780&lt;=$A$15,0,D780-$A$15)</f>
        <v>448</v>
      </c>
      <c r="K780" s="5">
        <f>IF(D780&lt;$E$11,H780,0)</f>
        <v>0</v>
      </c>
      <c r="L780">
        <f>IF(D780&lt;$A$15,$C$11,$C$11*(1-$G$11))</f>
        <v>200</v>
      </c>
      <c r="M780">
        <f>IF(D780&lt;$A$15,0,1)</f>
        <v>1</v>
      </c>
    </row>
    <row r="781" spans="4:13" x14ac:dyDescent="0.2">
      <c r="D781">
        <f t="shared" si="41"/>
        <v>758</v>
      </c>
      <c r="E781" s="1">
        <f t="shared" si="43"/>
        <v>231.77056068388504</v>
      </c>
      <c r="F781" s="1">
        <f t="shared" si="42"/>
        <v>-34.555507470109831</v>
      </c>
      <c r="G781" s="1">
        <f t="shared" si="40"/>
        <v>9.8340811190844394E-16</v>
      </c>
      <c r="H781" s="1">
        <f>G781/$G$21</f>
        <v>6.8959976242435361E-17</v>
      </c>
      <c r="I781">
        <f>IF($E$11&lt;=D781, IF(D781&lt;=$A$15,D781-$E$11,$F$11),0)</f>
        <v>300</v>
      </c>
      <c r="J781">
        <f>IF(D781&lt;=$A$15,0,D781-$A$15)</f>
        <v>449</v>
      </c>
      <c r="K781" s="5">
        <f>IF(D781&lt;$E$11,H781,0)</f>
        <v>0</v>
      </c>
      <c r="L781">
        <f>IF(D781&lt;$A$15,$C$11,$C$11*(1-$G$11))</f>
        <v>200</v>
      </c>
      <c r="M781">
        <f>IF(D781&lt;$A$15,0,1)</f>
        <v>1</v>
      </c>
    </row>
    <row r="782" spans="4:13" x14ac:dyDescent="0.2">
      <c r="D782">
        <f t="shared" si="41"/>
        <v>759</v>
      </c>
      <c r="E782" s="1">
        <f t="shared" si="43"/>
        <v>231.69359964274892</v>
      </c>
      <c r="F782" s="1">
        <f t="shared" si="42"/>
        <v>-34.632468511245946</v>
      </c>
      <c r="G782" s="1">
        <f t="shared" si="40"/>
        <v>9.1056306658190395E-16</v>
      </c>
      <c r="H782" s="1">
        <f>G782/$G$21</f>
        <v>6.3851829854107616E-17</v>
      </c>
      <c r="I782">
        <f>IF($E$11&lt;=D782, IF(D782&lt;=$A$15,D782-$E$11,$F$11),0)</f>
        <v>300</v>
      </c>
      <c r="J782">
        <f>IF(D782&lt;=$A$15,0,D782-$A$15)</f>
        <v>450</v>
      </c>
      <c r="K782" s="5">
        <f>IF(D782&lt;$E$11,H782,0)</f>
        <v>0</v>
      </c>
      <c r="L782">
        <f>IF(D782&lt;$A$15,$C$11,$C$11*(1-$G$11))</f>
        <v>200</v>
      </c>
      <c r="M782">
        <f>IF(D782&lt;$A$15,0,1)</f>
        <v>1</v>
      </c>
    </row>
    <row r="783" spans="4:13" x14ac:dyDescent="0.2">
      <c r="D783">
        <f t="shared" si="41"/>
        <v>760</v>
      </c>
      <c r="E783" s="1">
        <f t="shared" si="43"/>
        <v>231.61663860161281</v>
      </c>
      <c r="F783" s="1">
        <f t="shared" si="42"/>
        <v>-34.709429552382062</v>
      </c>
      <c r="G783" s="1">
        <f t="shared" si="40"/>
        <v>8.4311395053881072E-16</v>
      </c>
      <c r="H783" s="1">
        <f>G783/$G$21</f>
        <v>5.9122064679730026E-17</v>
      </c>
      <c r="I783">
        <f>IF($E$11&lt;=D783, IF(D783&lt;=$A$15,D783-$E$11,$F$11),0)</f>
        <v>300</v>
      </c>
      <c r="J783">
        <f>IF(D783&lt;=$A$15,0,D783-$A$15)</f>
        <v>451</v>
      </c>
      <c r="K783" s="5">
        <f>IF(D783&lt;$E$11,H783,0)</f>
        <v>0</v>
      </c>
      <c r="L783">
        <f>IF(D783&lt;$A$15,$C$11,$C$11*(1-$G$11))</f>
        <v>200</v>
      </c>
      <c r="M783">
        <f>IF(D783&lt;$A$15,0,1)</f>
        <v>1</v>
      </c>
    </row>
    <row r="784" spans="4:13" x14ac:dyDescent="0.2">
      <c r="D784">
        <f t="shared" si="41"/>
        <v>761</v>
      </c>
      <c r="E784" s="1">
        <f t="shared" si="43"/>
        <v>231.53967756047669</v>
      </c>
      <c r="F784" s="1">
        <f t="shared" si="42"/>
        <v>-34.786390593518178</v>
      </c>
      <c r="G784" s="1">
        <f t="shared" si="40"/>
        <v>7.8066106531372343E-16</v>
      </c>
      <c r="H784" s="1">
        <f>G784/$G$21</f>
        <v>5.4742652481232192E-17</v>
      </c>
      <c r="I784">
        <f>IF($E$11&lt;=D784, IF(D784&lt;=$A$15,D784-$E$11,$F$11),0)</f>
        <v>300</v>
      </c>
      <c r="J784">
        <f>IF(D784&lt;=$A$15,0,D784-$A$15)</f>
        <v>452</v>
      </c>
      <c r="K784" s="5">
        <f>IF(D784&lt;$E$11,H784,0)</f>
        <v>0</v>
      </c>
      <c r="L784">
        <f>IF(D784&lt;$A$15,$C$11,$C$11*(1-$G$11))</f>
        <v>200</v>
      </c>
      <c r="M784">
        <f>IF(D784&lt;$A$15,0,1)</f>
        <v>1</v>
      </c>
    </row>
    <row r="785" spans="4:13" x14ac:dyDescent="0.2">
      <c r="D785">
        <f t="shared" si="41"/>
        <v>762</v>
      </c>
      <c r="E785" s="1">
        <f t="shared" si="43"/>
        <v>231.46271651934057</v>
      </c>
      <c r="F785" s="1">
        <f t="shared" si="42"/>
        <v>-34.863351634654293</v>
      </c>
      <c r="G785" s="1">
        <f t="shared" si="40"/>
        <v>7.2283431973493826E-16</v>
      </c>
      <c r="H785" s="1">
        <f>G785/$G$21</f>
        <v>5.068764118632675E-17</v>
      </c>
      <c r="I785">
        <f>IF($E$11&lt;=D785, IF(D785&lt;=$A$15,D785-$E$11,$F$11),0)</f>
        <v>300</v>
      </c>
      <c r="J785">
        <f>IF(D785&lt;=$A$15,0,D785-$A$15)</f>
        <v>453</v>
      </c>
      <c r="K785" s="5">
        <f>IF(D785&lt;$E$11,H785,0)</f>
        <v>0</v>
      </c>
      <c r="L785">
        <f>IF(D785&lt;$A$15,$C$11,$C$11*(1-$G$11))</f>
        <v>200</v>
      </c>
      <c r="M785">
        <f>IF(D785&lt;$A$15,0,1)</f>
        <v>1</v>
      </c>
    </row>
    <row r="786" spans="4:13" x14ac:dyDescent="0.2">
      <c r="D786">
        <f t="shared" si="41"/>
        <v>763</v>
      </c>
      <c r="E786" s="1">
        <f t="shared" si="43"/>
        <v>231.38575547820446</v>
      </c>
      <c r="F786" s="1">
        <f t="shared" si="42"/>
        <v>-34.940312675790409</v>
      </c>
      <c r="G786" s="1">
        <f t="shared" si="40"/>
        <v>6.6929103679161798E-16</v>
      </c>
      <c r="H786" s="1">
        <f>G786/$G$21</f>
        <v>4.6933001098451285E-17</v>
      </c>
      <c r="I786">
        <f>IF($E$11&lt;=D786, IF(D786&lt;=$A$15,D786-$E$11,$F$11),0)</f>
        <v>300</v>
      </c>
      <c r="J786">
        <f>IF(D786&lt;=$A$15,0,D786-$A$15)</f>
        <v>454</v>
      </c>
      <c r="K786" s="5">
        <f>IF(D786&lt;$E$11,H786,0)</f>
        <v>0</v>
      </c>
      <c r="L786">
        <f>IF(D786&lt;$A$15,$C$11,$C$11*(1-$G$11))</f>
        <v>200</v>
      </c>
      <c r="M786">
        <f>IF(D786&lt;$A$15,0,1)</f>
        <v>1</v>
      </c>
    </row>
    <row r="787" spans="4:13" x14ac:dyDescent="0.2">
      <c r="D787">
        <f t="shared" si="41"/>
        <v>764</v>
      </c>
      <c r="E787" s="1">
        <f t="shared" si="43"/>
        <v>231.30879443706834</v>
      </c>
      <c r="F787" s="1">
        <f t="shared" si="42"/>
        <v>-35.017273716926525</v>
      </c>
      <c r="G787" s="1">
        <f t="shared" si="40"/>
        <v>6.1971392295520967E-16</v>
      </c>
      <c r="H787" s="1">
        <f>G787/$G$21</f>
        <v>4.3456482498566553E-17</v>
      </c>
      <c r="I787">
        <f>IF($E$11&lt;=D787, IF(D787&lt;=$A$15,D787-$E$11,$F$11),0)</f>
        <v>300</v>
      </c>
      <c r="J787">
        <f>IF(D787&lt;=$A$15,0,D787-$A$15)</f>
        <v>455</v>
      </c>
      <c r="K787" s="5">
        <f>IF(D787&lt;$E$11,H787,0)</f>
        <v>0</v>
      </c>
      <c r="L787">
        <f>IF(D787&lt;$A$15,$C$11,$C$11*(1-$G$11))</f>
        <v>200</v>
      </c>
      <c r="M787">
        <f>IF(D787&lt;$A$15,0,1)</f>
        <v>1</v>
      </c>
    </row>
    <row r="788" spans="4:13" x14ac:dyDescent="0.2">
      <c r="D788">
        <f t="shared" si="41"/>
        <v>765</v>
      </c>
      <c r="E788" s="1">
        <f t="shared" si="43"/>
        <v>231.23183339593223</v>
      </c>
      <c r="F788" s="1">
        <f t="shared" si="42"/>
        <v>-35.09423475806264</v>
      </c>
      <c r="G788" s="1">
        <f t="shared" si="40"/>
        <v>5.7380918792149765E-16</v>
      </c>
      <c r="H788" s="1">
        <f>G788/$G$21</f>
        <v>4.0237483794969538E-17</v>
      </c>
      <c r="I788">
        <f>IF($E$11&lt;=D788, IF(D788&lt;=$A$15,D788-$E$11,$F$11),0)</f>
        <v>300</v>
      </c>
      <c r="J788">
        <f>IF(D788&lt;=$A$15,0,D788-$A$15)</f>
        <v>456</v>
      </c>
      <c r="K788" s="5">
        <f>IF(D788&lt;$E$11,H788,0)</f>
        <v>0</v>
      </c>
      <c r="L788">
        <f>IF(D788&lt;$A$15,$C$11,$C$11*(1-$G$11))</f>
        <v>200</v>
      </c>
      <c r="M788">
        <f>IF(D788&lt;$A$15,0,1)</f>
        <v>1</v>
      </c>
    </row>
    <row r="789" spans="4:13" x14ac:dyDescent="0.2">
      <c r="D789">
        <f t="shared" si="41"/>
        <v>766</v>
      </c>
      <c r="E789" s="1">
        <f t="shared" si="43"/>
        <v>231.15487235479611</v>
      </c>
      <c r="F789" s="1">
        <f t="shared" si="42"/>
        <v>-35.171195799198756</v>
      </c>
      <c r="G789" s="1">
        <f t="shared" si="40"/>
        <v>5.3130480363102311E-16</v>
      </c>
      <c r="H789" s="1">
        <f>G789/$G$21</f>
        <v>3.7256929439787086E-17</v>
      </c>
      <c r="I789">
        <f>IF($E$11&lt;=D789, IF(D789&lt;=$A$15,D789-$E$11,$F$11),0)</f>
        <v>300</v>
      </c>
      <c r="J789">
        <f>IF(D789&lt;=$A$15,0,D789-$A$15)</f>
        <v>457</v>
      </c>
      <c r="K789" s="5">
        <f>IF(D789&lt;$E$11,H789,0)</f>
        <v>0</v>
      </c>
      <c r="L789">
        <f>IF(D789&lt;$A$15,$C$11,$C$11*(1-$G$11))</f>
        <v>200</v>
      </c>
      <c r="M789">
        <f>IF(D789&lt;$A$15,0,1)</f>
        <v>1</v>
      </c>
    </row>
    <row r="790" spans="4:13" x14ac:dyDescent="0.2">
      <c r="D790">
        <f t="shared" si="41"/>
        <v>767</v>
      </c>
      <c r="E790" s="1">
        <f t="shared" si="43"/>
        <v>231.07791131366</v>
      </c>
      <c r="F790" s="1">
        <f t="shared" si="42"/>
        <v>-35.248156840334872</v>
      </c>
      <c r="G790" s="1">
        <f t="shared" si="40"/>
        <v>4.919488922509535E-16</v>
      </c>
      <c r="H790" s="1">
        <f>G790/$G$21</f>
        <v>3.4497156888692179E-17</v>
      </c>
      <c r="I790">
        <f>IF($E$11&lt;=D790, IF(D790&lt;=$A$15,D790-$E$11,$F$11),0)</f>
        <v>300</v>
      </c>
      <c r="J790">
        <f>IF(D790&lt;=$A$15,0,D790-$A$15)</f>
        <v>458</v>
      </c>
      <c r="K790" s="5">
        <f>IF(D790&lt;$E$11,H790,0)</f>
        <v>0</v>
      </c>
      <c r="L790">
        <f>IF(D790&lt;$A$15,$C$11,$C$11*(1-$G$11))</f>
        <v>200</v>
      </c>
      <c r="M790">
        <f>IF(D790&lt;$A$15,0,1)</f>
        <v>1</v>
      </c>
    </row>
    <row r="791" spans="4:13" x14ac:dyDescent="0.2">
      <c r="D791">
        <f t="shared" si="41"/>
        <v>768</v>
      </c>
      <c r="E791" s="1">
        <f t="shared" si="43"/>
        <v>231.00095027252388</v>
      </c>
      <c r="F791" s="1">
        <f t="shared" si="42"/>
        <v>-35.325117881470987</v>
      </c>
      <c r="G791" s="1">
        <f t="shared" si="40"/>
        <v>4.5550823356570346E-16</v>
      </c>
      <c r="H791" s="1">
        <f>G791/$G$21</f>
        <v>3.1941811933974645E-17</v>
      </c>
      <c r="I791">
        <f>IF($E$11&lt;=D791, IF(D791&lt;=$A$15,D791-$E$11,$F$11),0)</f>
        <v>300</v>
      </c>
      <c r="J791">
        <f>IF(D791&lt;=$A$15,0,D791-$A$15)</f>
        <v>459</v>
      </c>
      <c r="K791" s="5">
        <f>IF(D791&lt;$E$11,H791,0)</f>
        <v>0</v>
      </c>
      <c r="L791">
        <f>IF(D791&lt;$A$15,$C$11,$C$11*(1-$G$11))</f>
        <v>200</v>
      </c>
      <c r="M791">
        <f>IF(D791&lt;$A$15,0,1)</f>
        <v>1</v>
      </c>
    </row>
    <row r="792" spans="4:13" x14ac:dyDescent="0.2">
      <c r="D792">
        <f t="shared" si="41"/>
        <v>769</v>
      </c>
      <c r="E792" s="1">
        <f t="shared" si="43"/>
        <v>230.92398923138776</v>
      </c>
      <c r="F792" s="1">
        <f t="shared" si="42"/>
        <v>-35.402078922607103</v>
      </c>
      <c r="G792" s="1">
        <f t="shared" ref="G792:G855" si="44">EXP(F792)</f>
        <v>4.2176688293121224E-16</v>
      </c>
      <c r="H792" s="1">
        <f>G792/$G$21</f>
        <v>2.9575751790717638E-17</v>
      </c>
      <c r="I792">
        <f>IF($E$11&lt;=D792, IF(D792&lt;=$A$15,D792-$E$11,$F$11),0)</f>
        <v>300</v>
      </c>
      <c r="J792">
        <f>IF(D792&lt;=$A$15,0,D792-$A$15)</f>
        <v>460</v>
      </c>
      <c r="K792" s="5">
        <f>IF(D792&lt;$E$11,H792,0)</f>
        <v>0</v>
      </c>
      <c r="L792">
        <f>IF(D792&lt;$A$15,$C$11,$C$11*(1-$G$11))</f>
        <v>200</v>
      </c>
      <c r="M792">
        <f>IF(D792&lt;$A$15,0,1)</f>
        <v>1</v>
      </c>
    </row>
    <row r="793" spans="4:13" x14ac:dyDescent="0.2">
      <c r="D793">
        <f t="shared" ref="D793:D856" si="45">1+D792</f>
        <v>770</v>
      </c>
      <c r="E793" s="1">
        <f t="shared" si="43"/>
        <v>230.84702819025165</v>
      </c>
      <c r="F793" s="1">
        <f t="shared" ref="F793:F856" si="46">E793-$E$21</f>
        <v>-35.479039963743219</v>
      </c>
      <c r="G793" s="1">
        <f t="shared" si="44"/>
        <v>3.9052489160297925E-16</v>
      </c>
      <c r="H793" s="1">
        <f>G793/$G$21</f>
        <v>2.7384955361775937E-17</v>
      </c>
      <c r="I793">
        <f>IF($E$11&lt;=D793, IF(D793&lt;=$A$15,D793-$E$11,$F$11),0)</f>
        <v>300</v>
      </c>
      <c r="J793">
        <f>IF(D793&lt;=$A$15,0,D793-$A$15)</f>
        <v>461</v>
      </c>
      <c r="K793" s="5">
        <f>IF(D793&lt;$E$11,H793,0)</f>
        <v>0</v>
      </c>
      <c r="L793">
        <f>IF(D793&lt;$A$15,$C$11,$C$11*(1-$G$11))</f>
        <v>200</v>
      </c>
      <c r="M793">
        <f>IF(D793&lt;$A$15,0,1)</f>
        <v>1</v>
      </c>
    </row>
    <row r="794" spans="4:13" x14ac:dyDescent="0.2">
      <c r="D794">
        <f t="shared" si="45"/>
        <v>771</v>
      </c>
      <c r="E794" s="1">
        <f t="shared" si="43"/>
        <v>230.77006714911553</v>
      </c>
      <c r="F794" s="1">
        <f t="shared" si="46"/>
        <v>-35.556001004879334</v>
      </c>
      <c r="G794" s="1">
        <f t="shared" si="44"/>
        <v>3.6159712185461497E-16</v>
      </c>
      <c r="H794" s="1">
        <f>G794/$G$21</f>
        <v>2.5356440149792854E-17</v>
      </c>
      <c r="I794">
        <f>IF($E$11&lt;=D794, IF(D794&lt;=$A$15,D794-$E$11,$F$11),0)</f>
        <v>300</v>
      </c>
      <c r="J794">
        <f>IF(D794&lt;=$A$15,0,D794-$A$15)</f>
        <v>462</v>
      </c>
      <c r="K794" s="5">
        <f>IF(D794&lt;$E$11,H794,0)</f>
        <v>0</v>
      </c>
      <c r="L794">
        <f>IF(D794&lt;$A$15,$C$11,$C$11*(1-$G$11))</f>
        <v>200</v>
      </c>
      <c r="M794">
        <f>IF(D794&lt;$A$15,0,1)</f>
        <v>1</v>
      </c>
    </row>
    <row r="795" spans="4:13" x14ac:dyDescent="0.2">
      <c r="D795">
        <f t="shared" si="45"/>
        <v>772</v>
      </c>
      <c r="E795" s="1">
        <f t="shared" si="43"/>
        <v>230.69310610797942</v>
      </c>
      <c r="F795" s="1">
        <f t="shared" si="46"/>
        <v>-35.63296204601545</v>
      </c>
      <c r="G795" s="1">
        <f t="shared" si="44"/>
        <v>3.3481214986538845E-16</v>
      </c>
      <c r="H795" s="1">
        <f>G795/$G$21</f>
        <v>2.3478185323882568E-17</v>
      </c>
      <c r="I795">
        <f>IF($E$11&lt;=D795, IF(D795&lt;=$A$15,D795-$E$11,$F$11),0)</f>
        <v>300</v>
      </c>
      <c r="J795">
        <f>IF(D795&lt;=$A$15,0,D795-$A$15)</f>
        <v>463</v>
      </c>
      <c r="K795" s="5">
        <f>IF(D795&lt;$E$11,H795,0)</f>
        <v>0</v>
      </c>
      <c r="L795">
        <f>IF(D795&lt;$A$15,$C$11,$C$11*(1-$G$11))</f>
        <v>200</v>
      </c>
      <c r="M795">
        <f>IF(D795&lt;$A$15,0,1)</f>
        <v>1</v>
      </c>
    </row>
    <row r="796" spans="4:13" x14ac:dyDescent="0.2">
      <c r="D796">
        <f t="shared" si="45"/>
        <v>773</v>
      </c>
      <c r="E796" s="1">
        <f t="shared" si="43"/>
        <v>230.6161450668433</v>
      </c>
      <c r="F796" s="1">
        <f t="shared" si="46"/>
        <v>-35.709923087151566</v>
      </c>
      <c r="G796" s="1">
        <f t="shared" si="44"/>
        <v>3.1001124987536363E-16</v>
      </c>
      <c r="H796" s="1">
        <f>G796/$G$21</f>
        <v>2.173906048507673E-17</v>
      </c>
      <c r="I796">
        <f>IF($E$11&lt;=D796, IF(D796&lt;=$A$15,D796-$E$11,$F$11),0)</f>
        <v>300</v>
      </c>
      <c r="J796">
        <f>IF(D796&lt;=$A$15,0,D796-$A$15)</f>
        <v>464</v>
      </c>
      <c r="K796" s="5">
        <f>IF(D796&lt;$E$11,H796,0)</f>
        <v>0</v>
      </c>
      <c r="L796">
        <f>IF(D796&lt;$A$15,$C$11,$C$11*(1-$G$11))</f>
        <v>200</v>
      </c>
      <c r="M796">
        <f>IF(D796&lt;$A$15,0,1)</f>
        <v>1</v>
      </c>
    </row>
    <row r="797" spans="4:13" x14ac:dyDescent="0.2">
      <c r="D797">
        <f t="shared" si="45"/>
        <v>774</v>
      </c>
      <c r="E797" s="1">
        <f t="shared" si="43"/>
        <v>230.53918402570719</v>
      </c>
      <c r="F797" s="1">
        <f t="shared" si="46"/>
        <v>-35.786884128287682</v>
      </c>
      <c r="G797" s="1">
        <f t="shared" si="44"/>
        <v>2.8704745358830325E-16</v>
      </c>
      <c r="H797" s="1">
        <f>G797/$G$21</f>
        <v>2.0128759708404631E-17</v>
      </c>
      <c r="I797">
        <f>IF($E$11&lt;=D797, IF(D797&lt;=$A$15,D797-$E$11,$F$11),0)</f>
        <v>300</v>
      </c>
      <c r="J797">
        <f>IF(D797&lt;=$A$15,0,D797-$A$15)</f>
        <v>465</v>
      </c>
      <c r="K797" s="5">
        <f>IF(D797&lt;$E$11,H797,0)</f>
        <v>0</v>
      </c>
      <c r="L797">
        <f>IF(D797&lt;$A$15,$C$11,$C$11*(1-$G$11))</f>
        <v>200</v>
      </c>
      <c r="M797">
        <f>IF(D797&lt;$A$15,0,1)</f>
        <v>1</v>
      </c>
    </row>
    <row r="798" spans="4:13" x14ac:dyDescent="0.2">
      <c r="D798">
        <f t="shared" si="45"/>
        <v>775</v>
      </c>
      <c r="E798" s="1">
        <f t="shared" si="43"/>
        <v>230.46222298457107</v>
      </c>
      <c r="F798" s="1">
        <f t="shared" si="46"/>
        <v>-35.863845169423797</v>
      </c>
      <c r="G798" s="1">
        <f t="shared" si="44"/>
        <v>2.6578467924843229E-16</v>
      </c>
      <c r="H798" s="1">
        <f>G798/$G$21</f>
        <v>1.8637740470745263E-17</v>
      </c>
      <c r="I798">
        <f>IF($E$11&lt;=D798, IF(D798&lt;=$A$15,D798-$E$11,$F$11),0)</f>
        <v>300</v>
      </c>
      <c r="J798">
        <f>IF(D798&lt;=$A$15,0,D798-$A$15)</f>
        <v>466</v>
      </c>
      <c r="K798" s="5">
        <f>IF(D798&lt;$E$11,H798,0)</f>
        <v>0</v>
      </c>
      <c r="L798">
        <f>IF(D798&lt;$A$15,$C$11,$C$11*(1-$G$11))</f>
        <v>200</v>
      </c>
      <c r="M798">
        <f>IF(D798&lt;$A$15,0,1)</f>
        <v>1</v>
      </c>
    </row>
    <row r="799" spans="4:13" x14ac:dyDescent="0.2">
      <c r="D799">
        <f t="shared" si="45"/>
        <v>776</v>
      </c>
      <c r="E799" s="1">
        <f t="shared" si="43"/>
        <v>230.38526194343495</v>
      </c>
      <c r="F799" s="1">
        <f t="shared" si="46"/>
        <v>-35.940806210559913</v>
      </c>
      <c r="G799" s="1">
        <f t="shared" si="44"/>
        <v>2.4609692523003303E-16</v>
      </c>
      <c r="H799" s="1">
        <f>G799/$G$21</f>
        <v>1.7257167102542131E-17</v>
      </c>
      <c r="I799">
        <f>IF($E$11&lt;=D799, IF(D799&lt;=$A$15,D799-$E$11,$F$11),0)</f>
        <v>300</v>
      </c>
      <c r="J799">
        <f>IF(D799&lt;=$A$15,0,D799-$A$15)</f>
        <v>467</v>
      </c>
      <c r="K799" s="5">
        <f>IF(D799&lt;$E$11,H799,0)</f>
        <v>0</v>
      </c>
      <c r="L799">
        <f>IF(D799&lt;$A$15,$C$11,$C$11*(1-$G$11))</f>
        <v>200</v>
      </c>
      <c r="M799">
        <f>IF(D799&lt;$A$15,0,1)</f>
        <v>1</v>
      </c>
    </row>
    <row r="800" spans="4:13" x14ac:dyDescent="0.2">
      <c r="D800">
        <f t="shared" si="45"/>
        <v>777</v>
      </c>
      <c r="E800" s="1">
        <f t="shared" si="43"/>
        <v>230.30830090229884</v>
      </c>
      <c r="F800" s="1">
        <f t="shared" si="46"/>
        <v>-36.017767251696029</v>
      </c>
      <c r="G800" s="1">
        <f t="shared" si="44"/>
        <v>2.2786752336114457E-16</v>
      </c>
      <c r="H800" s="1">
        <f>G800/$G$21</f>
        <v>1.5978858428279953E-17</v>
      </c>
      <c r="I800">
        <f>IF($E$11&lt;=D800, IF(D800&lt;=$A$15,D800-$E$11,$F$11),0)</f>
        <v>300</v>
      </c>
      <c r="J800">
        <f>IF(D800&lt;=$A$15,0,D800-$A$15)</f>
        <v>468</v>
      </c>
      <c r="K800" s="5">
        <f>IF(D800&lt;$E$11,H800,0)</f>
        <v>0</v>
      </c>
      <c r="L800">
        <f>IF(D800&lt;$A$15,$C$11,$C$11*(1-$G$11))</f>
        <v>200</v>
      </c>
      <c r="M800">
        <f>IF(D800&lt;$A$15,0,1)</f>
        <v>1</v>
      </c>
    </row>
    <row r="801" spans="4:13" x14ac:dyDescent="0.2">
      <c r="D801">
        <f t="shared" si="45"/>
        <v>778</v>
      </c>
      <c r="E801" s="1">
        <f t="shared" si="43"/>
        <v>230.23133986116272</v>
      </c>
      <c r="F801" s="1">
        <f t="shared" si="46"/>
        <v>-36.094728292832144</v>
      </c>
      <c r="G801" s="1">
        <f t="shared" si="44"/>
        <v>2.1098844755661801E-16</v>
      </c>
      <c r="H801" s="1">
        <f>G801/$G$21</f>
        <v>1.4795239285444586E-17</v>
      </c>
      <c r="I801">
        <f>IF($E$11&lt;=D801, IF(D801&lt;=$A$15,D801-$E$11,$F$11),0)</f>
        <v>300</v>
      </c>
      <c r="J801">
        <f>IF(D801&lt;=$A$15,0,D801-$A$15)</f>
        <v>469</v>
      </c>
      <c r="K801" s="5">
        <f>IF(D801&lt;$E$11,H801,0)</f>
        <v>0</v>
      </c>
      <c r="L801">
        <f>IF(D801&lt;$A$15,$C$11,$C$11*(1-$G$11))</f>
        <v>200</v>
      </c>
      <c r="M801">
        <f>IF(D801&lt;$A$15,0,1)</f>
        <v>1</v>
      </c>
    </row>
    <row r="802" spans="4:13" x14ac:dyDescent="0.2">
      <c r="D802">
        <f t="shared" si="45"/>
        <v>779</v>
      </c>
      <c r="E802" s="1">
        <f t="shared" si="43"/>
        <v>230.15437882002661</v>
      </c>
      <c r="F802" s="1">
        <f t="shared" si="46"/>
        <v>-36.17168933396826</v>
      </c>
      <c r="G802" s="1">
        <f t="shared" si="44"/>
        <v>1.9535967366353768E-16</v>
      </c>
      <c r="H802" s="1">
        <f>G802/$G$21</f>
        <v>1.3699295634671088E-17</v>
      </c>
      <c r="I802">
        <f>IF($E$11&lt;=D802, IF(D802&lt;=$A$15,D802-$E$11,$F$11),0)</f>
        <v>300</v>
      </c>
      <c r="J802">
        <f>IF(D802&lt;=$A$15,0,D802-$A$15)</f>
        <v>470</v>
      </c>
      <c r="K802" s="5">
        <f>IF(D802&lt;$E$11,H802,0)</f>
        <v>0</v>
      </c>
      <c r="L802">
        <f>IF(D802&lt;$A$15,$C$11,$C$11*(1-$G$11))</f>
        <v>200</v>
      </c>
      <c r="M802">
        <f>IF(D802&lt;$A$15,0,1)</f>
        <v>1</v>
      </c>
    </row>
    <row r="803" spans="4:13" x14ac:dyDescent="0.2">
      <c r="D803">
        <f t="shared" si="45"/>
        <v>780</v>
      </c>
      <c r="E803" s="1">
        <f t="shared" si="43"/>
        <v>230.07741777889049</v>
      </c>
      <c r="F803" s="1">
        <f t="shared" si="46"/>
        <v>-36.248650375104376</v>
      </c>
      <c r="G803" s="1">
        <f t="shared" si="44"/>
        <v>1.8088858672550013E-16</v>
      </c>
      <c r="H803" s="1">
        <f>G803/$G$21</f>
        <v>1.2684532995065983E-17</v>
      </c>
      <c r="I803">
        <f>IF($E$11&lt;=D803, IF(D803&lt;=$A$15,D803-$E$11,$F$11),0)</f>
        <v>300</v>
      </c>
      <c r="J803">
        <f>IF(D803&lt;=$A$15,0,D803-$A$15)</f>
        <v>471</v>
      </c>
      <c r="K803" s="5">
        <f>IF(D803&lt;$E$11,H803,0)</f>
        <v>0</v>
      </c>
      <c r="L803">
        <f>IF(D803&lt;$A$15,$C$11,$C$11*(1-$G$11))</f>
        <v>200</v>
      </c>
      <c r="M803">
        <f>IF(D803&lt;$A$15,0,1)</f>
        <v>1</v>
      </c>
    </row>
    <row r="804" spans="4:13" x14ac:dyDescent="0.2">
      <c r="D804">
        <f t="shared" si="45"/>
        <v>781</v>
      </c>
      <c r="E804" s="1">
        <f t="shared" si="43"/>
        <v>230.00045673775438</v>
      </c>
      <c r="F804" s="1">
        <f t="shared" si="46"/>
        <v>-36.325611416240491</v>
      </c>
      <c r="G804" s="1">
        <f t="shared" si="44"/>
        <v>1.6748943215324299E-16</v>
      </c>
      <c r="H804" s="1">
        <f>G804/$G$21</f>
        <v>1.1744937958394577E-17</v>
      </c>
      <c r="I804">
        <f>IF($E$11&lt;=D804, IF(D804&lt;=$A$15,D804-$E$11,$F$11),0)</f>
        <v>300</v>
      </c>
      <c r="J804">
        <f>IF(D804&lt;=$A$15,0,D804-$A$15)</f>
        <v>472</v>
      </c>
      <c r="K804" s="5">
        <f>IF(D804&lt;$E$11,H804,0)</f>
        <v>0</v>
      </c>
      <c r="L804">
        <f>IF(D804&lt;$A$15,$C$11,$C$11*(1-$G$11))</f>
        <v>200</v>
      </c>
      <c r="M804">
        <f>IF(D804&lt;$A$15,0,1)</f>
        <v>1</v>
      </c>
    </row>
    <row r="805" spans="4:13" x14ac:dyDescent="0.2">
      <c r="D805">
        <f t="shared" si="45"/>
        <v>782</v>
      </c>
      <c r="E805" s="1">
        <f t="shared" si="43"/>
        <v>229.92349569661826</v>
      </c>
      <c r="F805" s="1">
        <f t="shared" si="46"/>
        <v>-36.402572457376607</v>
      </c>
      <c r="G805" s="1">
        <f t="shared" si="44"/>
        <v>1.5508280754930101E-16</v>
      </c>
      <c r="H805" s="1">
        <f>G805/$G$21</f>
        <v>1.087494255406919E-17</v>
      </c>
      <c r="I805">
        <f>IF($E$11&lt;=D805, IF(D805&lt;=$A$15,D805-$E$11,$F$11),0)</f>
        <v>300</v>
      </c>
      <c r="J805">
        <f>IF(D805&lt;=$A$15,0,D805-$A$15)</f>
        <v>473</v>
      </c>
      <c r="K805" s="5">
        <f>IF(D805&lt;$E$11,H805,0)</f>
        <v>0</v>
      </c>
      <c r="L805">
        <f>IF(D805&lt;$A$15,$C$11,$C$11*(1-$G$11))</f>
        <v>200</v>
      </c>
      <c r="M805">
        <f>IF(D805&lt;$A$15,0,1)</f>
        <v>1</v>
      </c>
    </row>
    <row r="806" spans="4:13" x14ac:dyDescent="0.2">
      <c r="D806">
        <f t="shared" si="45"/>
        <v>783</v>
      </c>
      <c r="E806" s="1">
        <f t="shared" si="43"/>
        <v>229.84653465548215</v>
      </c>
      <c r="F806" s="1">
        <f t="shared" si="46"/>
        <v>-36.479533498512723</v>
      </c>
      <c r="G806" s="1">
        <f t="shared" si="44"/>
        <v>1.4359519217528053E-16</v>
      </c>
      <c r="H806" s="1">
        <f>G806/$G$21</f>
        <v>1.0069391253767895E-17</v>
      </c>
      <c r="I806">
        <f>IF($E$11&lt;=D806, IF(D806&lt;=$A$15,D806-$E$11,$F$11),0)</f>
        <v>300</v>
      </c>
      <c r="J806">
        <f>IF(D806&lt;=$A$15,0,D806-$A$15)</f>
        <v>474</v>
      </c>
      <c r="K806" s="5">
        <f>IF(D806&lt;$E$11,H806,0)</f>
        <v>0</v>
      </c>
      <c r="L806">
        <f>IF(D806&lt;$A$15,$C$11,$C$11*(1-$G$11))</f>
        <v>200</v>
      </c>
      <c r="M806">
        <f>IF(D806&lt;$A$15,0,1)</f>
        <v>1</v>
      </c>
    </row>
    <row r="807" spans="4:13" x14ac:dyDescent="0.2">
      <c r="D807">
        <f t="shared" si="45"/>
        <v>784</v>
      </c>
      <c r="E807" s="1">
        <f t="shared" si="43"/>
        <v>229.76957361434603</v>
      </c>
      <c r="F807" s="1">
        <f t="shared" si="46"/>
        <v>-36.556494539648838</v>
      </c>
      <c r="G807" s="1">
        <f t="shared" si="44"/>
        <v>1.3295851127340959E-16</v>
      </c>
      <c r="H807" s="1">
        <f>G807/$G$21</f>
        <v>9.3235104201555775E-18</v>
      </c>
      <c r="I807">
        <f>IF($E$11&lt;=D807, IF(D807&lt;=$A$15,D807-$E$11,$F$11),0)</f>
        <v>300</v>
      </c>
      <c r="J807">
        <f>IF(D807&lt;=$A$15,0,D807-$A$15)</f>
        <v>475</v>
      </c>
      <c r="K807" s="5">
        <f>IF(D807&lt;$E$11,H807,0)</f>
        <v>0</v>
      </c>
      <c r="L807">
        <f>IF(D807&lt;$A$15,$C$11,$C$11*(1-$G$11))</f>
        <v>200</v>
      </c>
      <c r="M807">
        <f>IF(D807&lt;$A$15,0,1)</f>
        <v>1</v>
      </c>
    </row>
    <row r="808" spans="4:13" x14ac:dyDescent="0.2">
      <c r="D808">
        <f t="shared" si="45"/>
        <v>785</v>
      </c>
      <c r="E808" s="1">
        <f t="shared" si="43"/>
        <v>229.69261257320991</v>
      </c>
      <c r="F808" s="1">
        <f t="shared" si="46"/>
        <v>-36.633455580784954</v>
      </c>
      <c r="G808" s="1">
        <f t="shared" si="44"/>
        <v>1.23109732660566E-16</v>
      </c>
      <c r="H808" s="1">
        <f>G808/$G$21</f>
        <v>8.6328800186626805E-18</v>
      </c>
      <c r="I808">
        <f>IF($E$11&lt;=D808, IF(D808&lt;=$A$15,D808-$E$11,$F$11),0)</f>
        <v>300</v>
      </c>
      <c r="J808">
        <f>IF(D808&lt;=$A$15,0,D808-$A$15)</f>
        <v>476</v>
      </c>
      <c r="K808" s="5">
        <f>IF(D808&lt;$E$11,H808,0)</f>
        <v>0</v>
      </c>
      <c r="L808">
        <f>IF(D808&lt;$A$15,$C$11,$C$11*(1-$G$11))</f>
        <v>200</v>
      </c>
      <c r="M808">
        <f>IF(D808&lt;$A$15,0,1)</f>
        <v>1</v>
      </c>
    </row>
    <row r="809" spans="4:13" x14ac:dyDescent="0.2">
      <c r="D809">
        <f t="shared" si="45"/>
        <v>786</v>
      </c>
      <c r="E809" s="1">
        <f t="shared" si="43"/>
        <v>229.6156515320738</v>
      </c>
      <c r="F809" s="1">
        <f t="shared" si="46"/>
        <v>-36.71041662192107</v>
      </c>
      <c r="G809" s="1">
        <f t="shared" si="44"/>
        <v>1.1399049320422921E-16</v>
      </c>
      <c r="H809" s="1">
        <f>G809/$G$21</f>
        <v>7.9934074246877679E-18</v>
      </c>
      <c r="I809">
        <f>IF($E$11&lt;=D809, IF(D809&lt;=$A$15,D809-$E$11,$F$11),0)</f>
        <v>300</v>
      </c>
      <c r="J809">
        <f>IF(D809&lt;=$A$15,0,D809-$A$15)</f>
        <v>477</v>
      </c>
      <c r="K809" s="5">
        <f>IF(D809&lt;$E$11,H809,0)</f>
        <v>0</v>
      </c>
      <c r="L809">
        <f>IF(D809&lt;$A$15,$C$11,$C$11*(1-$G$11))</f>
        <v>200</v>
      </c>
      <c r="M809">
        <f>IF(D809&lt;$A$15,0,1)</f>
        <v>1</v>
      </c>
    </row>
    <row r="810" spans="4:13" x14ac:dyDescent="0.2">
      <c r="D810">
        <f t="shared" si="45"/>
        <v>787</v>
      </c>
      <c r="E810" s="1">
        <f t="shared" si="43"/>
        <v>229.53869049093768</v>
      </c>
      <c r="F810" s="1">
        <f t="shared" si="46"/>
        <v>-36.787377663057185</v>
      </c>
      <c r="G810" s="1">
        <f t="shared" si="44"/>
        <v>1.0554675296688023E-16</v>
      </c>
      <c r="H810" s="1">
        <f>G810/$G$21</f>
        <v>7.4013031710072865E-18</v>
      </c>
      <c r="I810">
        <f>IF($E$11&lt;=D810, IF(D810&lt;=$A$15,D810-$E$11,$F$11),0)</f>
        <v>300</v>
      </c>
      <c r="J810">
        <f>IF(D810&lt;=$A$15,0,D810-$A$15)</f>
        <v>478</v>
      </c>
      <c r="K810" s="5">
        <f>IF(D810&lt;$E$11,H810,0)</f>
        <v>0</v>
      </c>
      <c r="L810">
        <f>IF(D810&lt;$A$15,$C$11,$C$11*(1-$G$11))</f>
        <v>200</v>
      </c>
      <c r="M810">
        <f>IF(D810&lt;$A$15,0,1)</f>
        <v>1</v>
      </c>
    </row>
    <row r="811" spans="4:13" x14ac:dyDescent="0.2">
      <c r="D811">
        <f t="shared" si="45"/>
        <v>788</v>
      </c>
      <c r="E811" s="1">
        <f t="shared" si="43"/>
        <v>229.46172944980157</v>
      </c>
      <c r="F811" s="1">
        <f t="shared" si="46"/>
        <v>-36.864338704193301</v>
      </c>
      <c r="G811" s="1">
        <f t="shared" si="44"/>
        <v>9.7728474969334786E-17</v>
      </c>
      <c r="H811" s="1">
        <f>G811/$G$21</f>
        <v>6.8530584916735003E-18</v>
      </c>
      <c r="I811">
        <f>IF($E$11&lt;=D811, IF(D811&lt;=$A$15,D811-$E$11,$F$11),0)</f>
        <v>300</v>
      </c>
      <c r="J811">
        <f>IF(D811&lt;=$A$15,0,D811-$A$15)</f>
        <v>479</v>
      </c>
      <c r="K811" s="5">
        <f>IF(D811&lt;$E$11,H811,0)</f>
        <v>0</v>
      </c>
      <c r="L811">
        <f>IF(D811&lt;$A$15,$C$11,$C$11*(1-$G$11))</f>
        <v>200</v>
      </c>
      <c r="M811">
        <f>IF(D811&lt;$A$15,0,1)</f>
        <v>1</v>
      </c>
    </row>
    <row r="812" spans="4:13" x14ac:dyDescent="0.2">
      <c r="D812">
        <f t="shared" si="45"/>
        <v>789</v>
      </c>
      <c r="E812" s="1">
        <f t="shared" si="43"/>
        <v>229.38476840866545</v>
      </c>
      <c r="F812" s="1">
        <f t="shared" si="46"/>
        <v>-36.941299745329417</v>
      </c>
      <c r="G812" s="1">
        <f t="shared" si="44"/>
        <v>9.048932867531112E-17</v>
      </c>
      <c r="H812" s="1">
        <f>G812/$G$21</f>
        <v>6.3454245293273946E-18</v>
      </c>
      <c r="I812">
        <f>IF($E$11&lt;=D812, IF(D812&lt;=$A$15,D812-$E$11,$F$11),0)</f>
        <v>300</v>
      </c>
      <c r="J812">
        <f>IF(D812&lt;=$A$15,0,D812-$A$15)</f>
        <v>480</v>
      </c>
      <c r="K812" s="5">
        <f>IF(D812&lt;$E$11,H812,0)</f>
        <v>0</v>
      </c>
      <c r="L812">
        <f>IF(D812&lt;$A$15,$C$11,$C$11*(1-$G$11))</f>
        <v>200</v>
      </c>
      <c r="M812">
        <f>IF(D812&lt;$A$15,0,1)</f>
        <v>1</v>
      </c>
    </row>
    <row r="813" spans="4:13" x14ac:dyDescent="0.2">
      <c r="D813">
        <f t="shared" si="45"/>
        <v>790</v>
      </c>
      <c r="E813" s="1">
        <f t="shared" si="43"/>
        <v>229.30780736752934</v>
      </c>
      <c r="F813" s="1">
        <f t="shared" si="46"/>
        <v>-37.018260786465532</v>
      </c>
      <c r="G813" s="1">
        <f t="shared" si="44"/>
        <v>8.3786415440103952E-17</v>
      </c>
      <c r="H813" s="1">
        <f>G813/$G$21</f>
        <v>5.8753930827106252E-18</v>
      </c>
      <c r="I813">
        <f>IF($E$11&lt;=D813, IF(D813&lt;=$A$15,D813-$E$11,$F$11),0)</f>
        <v>300</v>
      </c>
      <c r="J813">
        <f>IF(D813&lt;=$A$15,0,D813-$A$15)</f>
        <v>481</v>
      </c>
      <c r="K813" s="5">
        <f>IF(D813&lt;$E$11,H813,0)</f>
        <v>0</v>
      </c>
      <c r="L813">
        <f>IF(D813&lt;$A$15,$C$11,$C$11*(1-$G$11))</f>
        <v>200</v>
      </c>
      <c r="M813">
        <f>IF(D813&lt;$A$15,0,1)</f>
        <v>1</v>
      </c>
    </row>
    <row r="814" spans="4:13" x14ac:dyDescent="0.2">
      <c r="D814">
        <f t="shared" si="45"/>
        <v>791</v>
      </c>
      <c r="E814" s="1">
        <f t="shared" si="43"/>
        <v>229.23084632639322</v>
      </c>
      <c r="F814" s="1">
        <f t="shared" si="46"/>
        <v>-37.095221827601648</v>
      </c>
      <c r="G814" s="1">
        <f t="shared" si="44"/>
        <v>7.7580014296393529E-17</v>
      </c>
      <c r="H814" s="1">
        <f>G814/$G$21</f>
        <v>5.4401787802876848E-18</v>
      </c>
      <c r="I814">
        <f>IF($E$11&lt;=D814, IF(D814&lt;=$A$15,D814-$E$11,$F$11),0)</f>
        <v>300</v>
      </c>
      <c r="J814">
        <f>IF(D814&lt;=$A$15,0,D814-$A$15)</f>
        <v>482</v>
      </c>
      <c r="K814" s="5">
        <f>IF(D814&lt;$E$11,H814,0)</f>
        <v>0</v>
      </c>
      <c r="L814">
        <f>IF(D814&lt;$A$15,$C$11,$C$11*(1-$G$11))</f>
        <v>200</v>
      </c>
      <c r="M814">
        <f>IF(D814&lt;$A$15,0,1)</f>
        <v>1</v>
      </c>
    </row>
    <row r="815" spans="4:13" x14ac:dyDescent="0.2">
      <c r="D815">
        <f t="shared" si="45"/>
        <v>792</v>
      </c>
      <c r="E815" s="1">
        <f t="shared" si="43"/>
        <v>229.1538852852571</v>
      </c>
      <c r="F815" s="1">
        <f t="shared" si="46"/>
        <v>-37.172182868737764</v>
      </c>
      <c r="G815" s="1">
        <f t="shared" si="44"/>
        <v>7.1833346570735661E-17</v>
      </c>
      <c r="H815" s="1">
        <f>G815/$G$21</f>
        <v>5.0372025743405122E-18</v>
      </c>
      <c r="I815">
        <f>IF($E$11&lt;=D815, IF(D815&lt;=$A$15,D815-$E$11,$F$11),0)</f>
        <v>300</v>
      </c>
      <c r="J815">
        <f>IF(D815&lt;=$A$15,0,D815-$A$15)</f>
        <v>483</v>
      </c>
      <c r="K815" s="5">
        <f>IF(D815&lt;$E$11,H815,0)</f>
        <v>0</v>
      </c>
      <c r="L815">
        <f>IF(D815&lt;$A$15,$C$11,$C$11*(1-$G$11))</f>
        <v>200</v>
      </c>
      <c r="M815">
        <f>IF(D815&lt;$A$15,0,1)</f>
        <v>1</v>
      </c>
    </row>
    <row r="816" spans="4:13" x14ac:dyDescent="0.2">
      <c r="D816">
        <f t="shared" si="45"/>
        <v>793</v>
      </c>
      <c r="E816" s="1">
        <f t="shared" si="43"/>
        <v>229.07692424412099</v>
      </c>
      <c r="F816" s="1">
        <f t="shared" si="46"/>
        <v>-37.249143909873879</v>
      </c>
      <c r="G816" s="1">
        <f t="shared" si="44"/>
        <v>6.6512357935867186E-17</v>
      </c>
      <c r="H816" s="1">
        <f>G816/$G$21</f>
        <v>4.6640764577227551E-18</v>
      </c>
      <c r="I816">
        <f>IF($E$11&lt;=D816, IF(D816&lt;=$A$15,D816-$E$11,$F$11),0)</f>
        <v>300</v>
      </c>
      <c r="J816">
        <f>IF(D816&lt;=$A$15,0,D816-$A$15)</f>
        <v>484</v>
      </c>
      <c r="K816" s="5">
        <f>IF(D816&lt;$E$11,H816,0)</f>
        <v>0</v>
      </c>
      <c r="L816">
        <f>IF(D816&lt;$A$15,$C$11,$C$11*(1-$G$11))</f>
        <v>200</v>
      </c>
      <c r="M816">
        <f>IF(D816&lt;$A$15,0,1)</f>
        <v>1</v>
      </c>
    </row>
    <row r="817" spans="4:13" x14ac:dyDescent="0.2">
      <c r="D817">
        <f t="shared" si="45"/>
        <v>794</v>
      </c>
      <c r="E817" s="1">
        <f t="shared" si="43"/>
        <v>228.99996320298487</v>
      </c>
      <c r="F817" s="1">
        <f t="shared" si="46"/>
        <v>-37.326104951009995</v>
      </c>
      <c r="G817" s="1">
        <f t="shared" si="44"/>
        <v>6.1585516607285211E-17</v>
      </c>
      <c r="H817" s="1">
        <f>G817/$G$21</f>
        <v>4.3185893127063097E-18</v>
      </c>
      <c r="I817">
        <f>IF($E$11&lt;=D817, IF(D817&lt;=$A$15,D817-$E$11,$F$11),0)</f>
        <v>300</v>
      </c>
      <c r="J817">
        <f>IF(D817&lt;=$A$15,0,D817-$A$15)</f>
        <v>485</v>
      </c>
      <c r="K817" s="5">
        <f>IF(D817&lt;$E$11,H817,0)</f>
        <v>0</v>
      </c>
      <c r="L817">
        <f>IF(D817&lt;$A$15,$C$11,$C$11*(1-$G$11))</f>
        <v>200</v>
      </c>
      <c r="M817">
        <f>IF(D817&lt;$A$15,0,1)</f>
        <v>1</v>
      </c>
    </row>
    <row r="818" spans="4:13" x14ac:dyDescent="0.2">
      <c r="D818">
        <f t="shared" si="45"/>
        <v>795</v>
      </c>
      <c r="E818" s="1">
        <f t="shared" si="43"/>
        <v>228.92300216184876</v>
      </c>
      <c r="F818" s="1">
        <f t="shared" si="46"/>
        <v>-37.403065992146111</v>
      </c>
      <c r="G818" s="1">
        <f t="shared" si="44"/>
        <v>5.7023626488227772E-17</v>
      </c>
      <c r="H818" s="1">
        <f>G818/$G$21</f>
        <v>3.9986938080614489E-18</v>
      </c>
      <c r="I818">
        <f>IF($E$11&lt;=D818, IF(D818&lt;=$A$15,D818-$E$11,$F$11),0)</f>
        <v>300</v>
      </c>
      <c r="J818">
        <f>IF(D818&lt;=$A$15,0,D818-$A$15)</f>
        <v>486</v>
      </c>
      <c r="K818" s="5">
        <f>IF(D818&lt;$E$11,H818,0)</f>
        <v>0</v>
      </c>
      <c r="L818">
        <f>IF(D818&lt;$A$15,$C$11,$C$11*(1-$G$11))</f>
        <v>200</v>
      </c>
      <c r="M818">
        <f>IF(D818&lt;$A$15,0,1)</f>
        <v>1</v>
      </c>
    </row>
    <row r="819" spans="4:13" x14ac:dyDescent="0.2">
      <c r="D819">
        <f t="shared" si="45"/>
        <v>796</v>
      </c>
      <c r="E819" s="1">
        <f t="shared" si="43"/>
        <v>228.84604112071264</v>
      </c>
      <c r="F819" s="1">
        <f t="shared" si="46"/>
        <v>-37.480027033282227</v>
      </c>
      <c r="G819" s="1">
        <f t="shared" si="44"/>
        <v>5.279965415576712E-17</v>
      </c>
      <c r="H819" s="1">
        <f>G819/$G$21</f>
        <v>3.7024942667236103E-18</v>
      </c>
      <c r="I819">
        <f>IF($E$11&lt;=D819, IF(D819&lt;=$A$15,D819-$E$11,$F$11),0)</f>
        <v>300</v>
      </c>
      <c r="J819">
        <f>IF(D819&lt;=$A$15,0,D819-$A$15)</f>
        <v>487</v>
      </c>
      <c r="K819" s="5">
        <f>IF(D819&lt;$E$11,H819,0)</f>
        <v>0</v>
      </c>
      <c r="L819">
        <f>IF(D819&lt;$A$15,$C$11,$C$11*(1-$G$11))</f>
        <v>200</v>
      </c>
      <c r="M819">
        <f>IF(D819&lt;$A$15,0,1)</f>
        <v>1</v>
      </c>
    </row>
    <row r="820" spans="4:13" x14ac:dyDescent="0.2">
      <c r="D820">
        <f t="shared" si="45"/>
        <v>797</v>
      </c>
      <c r="E820" s="1">
        <f t="shared" si="43"/>
        <v>228.76908007957653</v>
      </c>
      <c r="F820" s="1">
        <f t="shared" si="46"/>
        <v>-37.556988074418342</v>
      </c>
      <c r="G820" s="1">
        <f t="shared" si="44"/>
        <v>4.8888568662747956E-17</v>
      </c>
      <c r="H820" s="1">
        <f>G820/$G$21</f>
        <v>3.4282354321515345E-18</v>
      </c>
      <c r="I820">
        <f>IF($E$11&lt;=D820, IF(D820&lt;=$A$15,D820-$E$11,$F$11),0)</f>
        <v>300</v>
      </c>
      <c r="J820">
        <f>IF(D820&lt;=$A$15,0,D820-$A$15)</f>
        <v>488</v>
      </c>
      <c r="K820" s="5">
        <f>IF(D820&lt;$E$11,H820,0)</f>
        <v>0</v>
      </c>
      <c r="L820">
        <f>IF(D820&lt;$A$15,$C$11,$C$11*(1-$G$11))</f>
        <v>200</v>
      </c>
      <c r="M820">
        <f>IF(D820&lt;$A$15,0,1)</f>
        <v>1</v>
      </c>
    </row>
    <row r="821" spans="4:13" x14ac:dyDescent="0.2">
      <c r="D821">
        <f t="shared" si="45"/>
        <v>798</v>
      </c>
      <c r="E821" s="1">
        <f t="shared" si="43"/>
        <v>228.69211903844041</v>
      </c>
      <c r="F821" s="1">
        <f t="shared" si="46"/>
        <v>-37.633949115554458</v>
      </c>
      <c r="G821" s="1">
        <f t="shared" si="44"/>
        <v>4.526719320624868E-17</v>
      </c>
      <c r="H821" s="1">
        <f>G821/$G$21</f>
        <v>3.1742920668070163E-18</v>
      </c>
      <c r="I821">
        <f>IF($E$11&lt;=D821, IF(D821&lt;=$A$15,D821-$E$11,$F$11),0)</f>
        <v>300</v>
      </c>
      <c r="J821">
        <f>IF(D821&lt;=$A$15,0,D821-$A$15)</f>
        <v>489</v>
      </c>
      <c r="K821" s="5">
        <f>IF(D821&lt;$E$11,H821,0)</f>
        <v>0</v>
      </c>
      <c r="L821">
        <f>IF(D821&lt;$A$15,$C$11,$C$11*(1-$G$11))</f>
        <v>200</v>
      </c>
      <c r="M821">
        <f>IF(D821&lt;$A$15,0,1)</f>
        <v>1</v>
      </c>
    </row>
    <row r="822" spans="4:13" x14ac:dyDescent="0.2">
      <c r="D822">
        <f t="shared" si="45"/>
        <v>799</v>
      </c>
      <c r="E822" s="1">
        <f t="shared" si="43"/>
        <v>228.61515799730429</v>
      </c>
      <c r="F822" s="1">
        <f t="shared" si="46"/>
        <v>-37.710910156690574</v>
      </c>
      <c r="G822" s="1">
        <f t="shared" si="44"/>
        <v>4.191406778356412E-17</v>
      </c>
      <c r="H822" s="1">
        <f>G822/$G$21</f>
        <v>2.9391593211176448E-18</v>
      </c>
      <c r="I822">
        <f>IF($E$11&lt;=D822, IF(D822&lt;=$A$15,D822-$E$11,$F$11),0)</f>
        <v>300</v>
      </c>
      <c r="J822">
        <f>IF(D822&lt;=$A$15,0,D822-$A$15)</f>
        <v>490</v>
      </c>
      <c r="K822" s="5">
        <f>IF(D822&lt;$E$11,H822,0)</f>
        <v>0</v>
      </c>
      <c r="L822">
        <f>IF(D822&lt;$A$15,$C$11,$C$11*(1-$G$11))</f>
        <v>200</v>
      </c>
      <c r="M822">
        <f>IF(D822&lt;$A$15,0,1)</f>
        <v>1</v>
      </c>
    </row>
    <row r="823" spans="4:13" x14ac:dyDescent="0.2">
      <c r="D823">
        <f t="shared" si="45"/>
        <v>800</v>
      </c>
      <c r="E823" s="1">
        <f t="shared" si="43"/>
        <v>228.53819695616818</v>
      </c>
      <c r="F823" s="1">
        <f t="shared" si="46"/>
        <v>-37.787871197826689</v>
      </c>
      <c r="G823" s="1">
        <f t="shared" si="44"/>
        <v>3.880932202181912E-17</v>
      </c>
      <c r="H823" s="1">
        <f>G823/$G$21</f>
        <v>2.7214438158497055E-18</v>
      </c>
      <c r="I823">
        <f>IF($E$11&lt;=D823, IF(D823&lt;=$A$15,D823-$E$11,$F$11),0)</f>
        <v>300</v>
      </c>
      <c r="J823">
        <f>IF(D823&lt;=$A$15,0,D823-$A$15)</f>
        <v>491</v>
      </c>
      <c r="K823" s="5">
        <f>IF(D823&lt;$E$11,H823,0)</f>
        <v>0</v>
      </c>
      <c r="L823">
        <f>IF(D823&lt;$A$15,$C$11,$C$11*(1-$G$11))</f>
        <v>200</v>
      </c>
      <c r="M823">
        <f>IF(D823&lt;$A$15,0,1)</f>
        <v>1</v>
      </c>
    </row>
    <row r="824" spans="4:13" x14ac:dyDescent="0.2">
      <c r="D824">
        <f t="shared" si="45"/>
        <v>801</v>
      </c>
      <c r="E824" s="1">
        <f t="shared" si="43"/>
        <v>228.46123591503206</v>
      </c>
      <c r="F824" s="1">
        <f t="shared" si="46"/>
        <v>-37.864832238962805</v>
      </c>
      <c r="G824" s="1">
        <f t="shared" si="44"/>
        <v>3.593455742761075E-17</v>
      </c>
      <c r="H824" s="1">
        <f>G824/$G$21</f>
        <v>2.5198553850460554E-18</v>
      </c>
      <c r="I824">
        <f>IF($E$11&lt;=D824, IF(D824&lt;=$A$15,D824-$E$11,$F$11),0)</f>
        <v>300</v>
      </c>
      <c r="J824">
        <f>IF(D824&lt;=$A$15,0,D824-$A$15)</f>
        <v>492</v>
      </c>
      <c r="K824" s="5">
        <f>IF(D824&lt;$E$11,H824,0)</f>
        <v>0</v>
      </c>
      <c r="L824">
        <f>IF(D824&lt;$A$15,$C$11,$C$11*(1-$G$11))</f>
        <v>200</v>
      </c>
      <c r="M824">
        <f>IF(D824&lt;$A$15,0,1)</f>
        <v>1</v>
      </c>
    </row>
    <row r="825" spans="4:13" x14ac:dyDescent="0.2">
      <c r="D825">
        <f t="shared" si="45"/>
        <v>802</v>
      </c>
      <c r="E825" s="1">
        <f t="shared" si="43"/>
        <v>228.38427487389595</v>
      </c>
      <c r="F825" s="1">
        <f t="shared" si="46"/>
        <v>-37.941793280098921</v>
      </c>
      <c r="G825" s="1">
        <f t="shared" si="44"/>
        <v>3.3272738358899264E-17</v>
      </c>
      <c r="H825" s="1">
        <f>G825/$G$21</f>
        <v>2.3331994305982292E-18</v>
      </c>
      <c r="I825">
        <f>IF($E$11&lt;=D825, IF(D825&lt;=$A$15,D825-$E$11,$F$11),0)</f>
        <v>300</v>
      </c>
      <c r="J825">
        <f>IF(D825&lt;=$A$15,0,D825-$A$15)</f>
        <v>493</v>
      </c>
      <c r="K825" s="5">
        <f>IF(D825&lt;$E$11,H825,0)</f>
        <v>0</v>
      </c>
      <c r="L825">
        <f>IF(D825&lt;$A$15,$C$11,$C$11*(1-$G$11))</f>
        <v>200</v>
      </c>
      <c r="M825">
        <f>IF(D825&lt;$A$15,0,1)</f>
        <v>1</v>
      </c>
    </row>
    <row r="826" spans="4:13" x14ac:dyDescent="0.2">
      <c r="D826">
        <f t="shared" si="45"/>
        <v>803</v>
      </c>
      <c r="E826" s="1">
        <f t="shared" si="43"/>
        <v>228.30731383275983</v>
      </c>
      <c r="F826" s="1">
        <f t="shared" si="46"/>
        <v>-38.018754321235036</v>
      </c>
      <c r="G826" s="1">
        <f t="shared" si="44"/>
        <v>3.0808091073055264E-17</v>
      </c>
      <c r="H826" s="1">
        <f>G826/$G$21</f>
        <v>2.1603698431465358E-18</v>
      </c>
      <c r="I826">
        <f>IF($E$11&lt;=D826, IF(D826&lt;=$A$15,D826-$E$11,$F$11),0)</f>
        <v>300</v>
      </c>
      <c r="J826">
        <f>IF(D826&lt;=$A$15,0,D826-$A$15)</f>
        <v>494</v>
      </c>
      <c r="K826" s="5">
        <f>IF(D826&lt;$E$11,H826,0)</f>
        <v>0</v>
      </c>
      <c r="L826">
        <f>IF(D826&lt;$A$15,$C$11,$C$11*(1-$G$11))</f>
        <v>200</v>
      </c>
      <c r="M826">
        <f>IF(D826&lt;$A$15,0,1)</f>
        <v>1</v>
      </c>
    </row>
    <row r="827" spans="4:13" x14ac:dyDescent="0.2">
      <c r="D827">
        <f t="shared" si="45"/>
        <v>804</v>
      </c>
      <c r="E827" s="1">
        <f t="shared" si="43"/>
        <v>228.23035279162372</v>
      </c>
      <c r="F827" s="1">
        <f t="shared" si="46"/>
        <v>-38.095715362371152</v>
      </c>
      <c r="G827" s="1">
        <f t="shared" si="44"/>
        <v>2.8526010252829312E-17</v>
      </c>
      <c r="H827" s="1">
        <f>G827/$G$21</f>
        <v>2.0003424473579291E-18</v>
      </c>
      <c r="I827">
        <f>IF($E$11&lt;=D827, IF(D827&lt;=$A$15,D827-$E$11,$F$11),0)</f>
        <v>300</v>
      </c>
      <c r="J827">
        <f>IF(D827&lt;=$A$15,0,D827-$A$15)</f>
        <v>495</v>
      </c>
      <c r="K827" s="5">
        <f>IF(D827&lt;$E$11,H827,0)</f>
        <v>0</v>
      </c>
      <c r="L827">
        <f>IF(D827&lt;$A$15,$C$11,$C$11*(1-$G$11))</f>
        <v>200</v>
      </c>
      <c r="M827">
        <f>IF(D827&lt;$A$15,0,1)</f>
        <v>1</v>
      </c>
    </row>
    <row r="828" spans="4:13" x14ac:dyDescent="0.2">
      <c r="D828">
        <f t="shared" si="45"/>
        <v>805</v>
      </c>
      <c r="E828" s="1">
        <f t="shared" si="43"/>
        <v>228.1533917504876</v>
      </c>
      <c r="F828" s="1">
        <f t="shared" si="46"/>
        <v>-38.172676403507268</v>
      </c>
      <c r="G828" s="1">
        <f t="shared" si="44"/>
        <v>2.6412972456323768E-17</v>
      </c>
      <c r="H828" s="1">
        <f>G828/$G$21</f>
        <v>1.8521689327388463E-18</v>
      </c>
      <c r="I828">
        <f>IF($E$11&lt;=D828, IF(D828&lt;=$A$15,D828-$E$11,$F$11),0)</f>
        <v>300</v>
      </c>
      <c r="J828">
        <f>IF(D828&lt;=$A$15,0,D828-$A$15)</f>
        <v>496</v>
      </c>
      <c r="K828" s="5">
        <f>IF(D828&lt;$E$11,H828,0)</f>
        <v>0</v>
      </c>
      <c r="L828">
        <f>IF(D828&lt;$A$15,$C$11,$C$11*(1-$G$11))</f>
        <v>200</v>
      </c>
      <c r="M828">
        <f>IF(D828&lt;$A$15,0,1)</f>
        <v>1</v>
      </c>
    </row>
    <row r="829" spans="4:13" x14ac:dyDescent="0.2">
      <c r="D829">
        <f t="shared" si="45"/>
        <v>806</v>
      </c>
      <c r="E829" s="1">
        <f t="shared" si="43"/>
        <v>228.07643070935148</v>
      </c>
      <c r="F829" s="1">
        <f t="shared" si="46"/>
        <v>-38.249637444643383</v>
      </c>
      <c r="G829" s="1">
        <f t="shared" si="44"/>
        <v>2.4456455978077872E-17</v>
      </c>
      <c r="H829" s="1">
        <f>G829/$G$21</f>
        <v>1.7149712340174719E-18</v>
      </c>
      <c r="I829">
        <f>IF($E$11&lt;=D829, IF(D829&lt;=$A$15,D829-$E$11,$F$11),0)</f>
        <v>300</v>
      </c>
      <c r="J829">
        <f>IF(D829&lt;=$A$15,0,D829-$A$15)</f>
        <v>497</v>
      </c>
      <c r="K829" s="5">
        <f>IF(D829&lt;$E$11,H829,0)</f>
        <v>0</v>
      </c>
      <c r="L829">
        <f>IF(D829&lt;$A$15,$C$11,$C$11*(1-$G$11))</f>
        <v>200</v>
      </c>
      <c r="M829">
        <f>IF(D829&lt;$A$15,0,1)</f>
        <v>1</v>
      </c>
    </row>
    <row r="830" spans="4:13" x14ac:dyDescent="0.2">
      <c r="D830">
        <f t="shared" si="45"/>
        <v>807</v>
      </c>
      <c r="E830" s="1">
        <f t="shared" si="43"/>
        <v>227.99946966821537</v>
      </c>
      <c r="F830" s="1">
        <f t="shared" si="46"/>
        <v>-38.326598485779499</v>
      </c>
      <c r="G830" s="1">
        <f t="shared" si="44"/>
        <v>2.2644866646368686E-17</v>
      </c>
      <c r="H830" s="1">
        <f>G830/$G$21</f>
        <v>1.5879363277939756E-18</v>
      </c>
      <c r="I830">
        <f>IF($E$11&lt;=D830, IF(D830&lt;=$A$15,D830-$E$11,$F$11),0)</f>
        <v>300</v>
      </c>
      <c r="J830">
        <f>IF(D830&lt;=$A$15,0,D830-$A$15)</f>
        <v>498</v>
      </c>
      <c r="K830" s="5">
        <f>IF(D830&lt;$E$11,H830,0)</f>
        <v>0</v>
      </c>
      <c r="L830">
        <f>IF(D830&lt;$A$15,$C$11,$C$11*(1-$G$11))</f>
        <v>200</v>
      </c>
      <c r="M830">
        <f>IF(D830&lt;$A$15,0,1)</f>
        <v>1</v>
      </c>
    </row>
    <row r="831" spans="4:13" x14ac:dyDescent="0.2">
      <c r="D831">
        <f t="shared" si="45"/>
        <v>808</v>
      </c>
      <c r="E831" s="1">
        <f t="shared" si="43"/>
        <v>227.92250862707925</v>
      </c>
      <c r="F831" s="1">
        <f t="shared" si="46"/>
        <v>-38.403559526915615</v>
      </c>
      <c r="G831" s="1">
        <f t="shared" si="44"/>
        <v>2.0967469117008308E-17</v>
      </c>
      <c r="H831" s="1">
        <f>G831/$G$21</f>
        <v>1.4703114146240702E-18</v>
      </c>
      <c r="I831">
        <f>IF($E$11&lt;=D831, IF(D831&lt;=$A$15,D831-$E$11,$F$11),0)</f>
        <v>300</v>
      </c>
      <c r="J831">
        <f>IF(D831&lt;=$A$15,0,D831-$A$15)</f>
        <v>499</v>
      </c>
      <c r="K831" s="5">
        <f>IF(D831&lt;$E$11,H831,0)</f>
        <v>0</v>
      </c>
      <c r="L831">
        <f>IF(D831&lt;$A$15,$C$11,$C$11*(1-$G$11))</f>
        <v>200</v>
      </c>
      <c r="M831">
        <f>IF(D831&lt;$A$15,0,1)</f>
        <v>1</v>
      </c>
    </row>
    <row r="832" spans="4:13" x14ac:dyDescent="0.2">
      <c r="D832">
        <f t="shared" si="45"/>
        <v>809</v>
      </c>
      <c r="E832" s="1">
        <f t="shared" si="43"/>
        <v>227.84554758594314</v>
      </c>
      <c r="F832" s="1">
        <f t="shared" si="46"/>
        <v>-38.48052056805173</v>
      </c>
      <c r="G832" s="1">
        <f t="shared" si="44"/>
        <v>1.9414323256489421E-17</v>
      </c>
      <c r="H832" s="1">
        <f>G832/$G$21</f>
        <v>1.3613994579852674E-18</v>
      </c>
      <c r="I832">
        <f>IF($E$11&lt;=D832, IF(D832&lt;=$A$15,D832-$E$11,$F$11),0)</f>
        <v>300</v>
      </c>
      <c r="J832">
        <f>IF(D832&lt;=$A$15,0,D832-$A$15)</f>
        <v>500</v>
      </c>
      <c r="K832" s="5">
        <f>IF(D832&lt;$E$11,H832,0)</f>
        <v>0</v>
      </c>
      <c r="L832">
        <f>IF(D832&lt;$A$15,$C$11,$C$11*(1-$G$11))</f>
        <v>200</v>
      </c>
      <c r="M832">
        <f>IF(D832&lt;$A$15,0,1)</f>
        <v>1</v>
      </c>
    </row>
    <row r="833" spans="4:13" x14ac:dyDescent="0.2">
      <c r="D833">
        <f t="shared" si="45"/>
        <v>810</v>
      </c>
      <c r="E833" s="1">
        <f t="shared" si="43"/>
        <v>227.76858654480702</v>
      </c>
      <c r="F833" s="1">
        <f t="shared" si="46"/>
        <v>-38.557481609187846</v>
      </c>
      <c r="G833" s="1">
        <f t="shared" si="44"/>
        <v>1.797622523749043E-17</v>
      </c>
      <c r="H833" s="1">
        <f>G833/$G$21</f>
        <v>1.2605550536900782E-18</v>
      </c>
      <c r="I833">
        <f>IF($E$11&lt;=D833, IF(D833&lt;=$A$15,D833-$E$11,$F$11),0)</f>
        <v>300</v>
      </c>
      <c r="J833">
        <f>IF(D833&lt;=$A$15,0,D833-$A$15)</f>
        <v>501</v>
      </c>
      <c r="K833" s="5">
        <f>IF(D833&lt;$E$11,H833,0)</f>
        <v>0</v>
      </c>
      <c r="L833">
        <f>IF(D833&lt;$A$15,$C$11,$C$11*(1-$G$11))</f>
        <v>200</v>
      </c>
      <c r="M833">
        <f>IF(D833&lt;$A$15,0,1)</f>
        <v>1</v>
      </c>
    </row>
    <row r="834" spans="4:13" x14ac:dyDescent="0.2">
      <c r="D834">
        <f t="shared" si="45"/>
        <v>811</v>
      </c>
      <c r="E834" s="1">
        <f t="shared" si="43"/>
        <v>227.69162550367091</v>
      </c>
      <c r="F834" s="1">
        <f t="shared" si="46"/>
        <v>-38.634442650323962</v>
      </c>
      <c r="G834" s="1">
        <f t="shared" si="44"/>
        <v>1.6644652997676535E-17</v>
      </c>
      <c r="H834" s="1">
        <f>G834/$G$21</f>
        <v>1.1671806052686057E-18</v>
      </c>
      <c r="I834">
        <f>IF($E$11&lt;=D834, IF(D834&lt;=$A$15,D834-$E$11,$F$11),0)</f>
        <v>300</v>
      </c>
      <c r="J834">
        <f>IF(D834&lt;=$A$15,0,D834-$A$15)</f>
        <v>502</v>
      </c>
      <c r="K834" s="5">
        <f>IF(D834&lt;$E$11,H834,0)</f>
        <v>0</v>
      </c>
      <c r="L834">
        <f>IF(D834&lt;$A$15,$C$11,$C$11*(1-$G$11))</f>
        <v>200</v>
      </c>
      <c r="M834">
        <f>IF(D834&lt;$A$15,0,1)</f>
        <v>1</v>
      </c>
    </row>
    <row r="835" spans="4:13" x14ac:dyDescent="0.2">
      <c r="D835">
        <f t="shared" si="45"/>
        <v>812</v>
      </c>
      <c r="E835" s="1">
        <f t="shared" si="43"/>
        <v>227.61466446253479</v>
      </c>
      <c r="F835" s="1">
        <f t="shared" si="46"/>
        <v>-38.711403691460077</v>
      </c>
      <c r="G835" s="1">
        <f t="shared" si="44"/>
        <v>1.5411715738589579E-17</v>
      </c>
      <c r="H835" s="1">
        <f>G835/$G$21</f>
        <v>1.08072278265613E-18</v>
      </c>
      <c r="I835">
        <f>IF($E$11&lt;=D835, IF(D835&lt;=$A$15,D835-$E$11,$F$11),0)</f>
        <v>300</v>
      </c>
      <c r="J835">
        <f>IF(D835&lt;=$A$15,0,D835-$A$15)</f>
        <v>503</v>
      </c>
      <c r="K835" s="5">
        <f>IF(D835&lt;$E$11,H835,0)</f>
        <v>0</v>
      </c>
      <c r="L835">
        <f>IF(D835&lt;$A$15,$C$11,$C$11*(1-$G$11))</f>
        <v>200</v>
      </c>
      <c r="M835">
        <f>IF(D835&lt;$A$15,0,1)</f>
        <v>1</v>
      </c>
    </row>
    <row r="836" spans="4:13" x14ac:dyDescent="0.2">
      <c r="D836">
        <f t="shared" si="45"/>
        <v>813</v>
      </c>
      <c r="E836" s="1">
        <f t="shared" ref="E836:F899" si="47">IF($G$11=1,IF(D836&lt;=$A$15, E835+LN($C$11)-LN(60/$D$11)-LN(MIN(D836,$E$11)), E835-LN(60/$D$11)-LN(MIN(D836,$E$11))), IF(D836&lt;=$A$15, E835+LN($C$11)-LN(60/$D$11)-LN(MIN(D836,$E$11)), E835+LN($C$11)+LN(1-$G$11)-LN(60/$D$11)-LN(MIN(D836,$E$11))))</f>
        <v>227.53770342139867</v>
      </c>
      <c r="F836" s="1">
        <f t="shared" si="46"/>
        <v>-38.788364732596193</v>
      </c>
      <c r="G836" s="1">
        <f t="shared" si="44"/>
        <v>1.4270107165360903E-17</v>
      </c>
      <c r="H836" s="1">
        <f>G836/$G$21</f>
        <v>1.0006692432001332E-18</v>
      </c>
      <c r="I836">
        <f>IF($E$11&lt;=D836, IF(D836&lt;=$A$15,D836-$E$11,$F$11),0)</f>
        <v>300</v>
      </c>
      <c r="J836">
        <f>IF(D836&lt;=$A$15,0,D836-$A$15)</f>
        <v>504</v>
      </c>
      <c r="K836" s="5">
        <f>IF(D836&lt;$E$11,H836,0)</f>
        <v>0</v>
      </c>
      <c r="L836">
        <f>IF(D836&lt;$A$15,$C$11,$C$11*(1-$G$11))</f>
        <v>200</v>
      </c>
      <c r="M836">
        <f>IF(D836&lt;$A$15,0,1)</f>
        <v>1</v>
      </c>
    </row>
    <row r="837" spans="4:13" x14ac:dyDescent="0.2">
      <c r="D837">
        <f t="shared" si="45"/>
        <v>814</v>
      </c>
      <c r="E837" s="1">
        <f t="shared" si="47"/>
        <v>227.46074238026256</v>
      </c>
      <c r="F837" s="1">
        <f t="shared" si="46"/>
        <v>-38.865325773732309</v>
      </c>
      <c r="G837" s="1">
        <f t="shared" si="44"/>
        <v>1.3213062190149151E-17</v>
      </c>
      <c r="H837" s="1">
        <f>G837/$G$21</f>
        <v>9.2654559555569055E-19</v>
      </c>
      <c r="I837">
        <f>IF($E$11&lt;=D837, IF(D837&lt;=$A$15,D837-$E$11,$F$11),0)</f>
        <v>300</v>
      </c>
      <c r="J837">
        <f>IF(D837&lt;=$A$15,0,D837-$A$15)</f>
        <v>505</v>
      </c>
      <c r="K837" s="5">
        <f>IF(D837&lt;$E$11,H837,0)</f>
        <v>0</v>
      </c>
      <c r="L837">
        <f>IF(D837&lt;$A$15,$C$11,$C$11*(1-$G$11))</f>
        <v>200</v>
      </c>
      <c r="M837">
        <f>IF(D837&lt;$A$15,0,1)</f>
        <v>1</v>
      </c>
    </row>
    <row r="838" spans="4:13" x14ac:dyDescent="0.2">
      <c r="D838">
        <f t="shared" si="45"/>
        <v>815</v>
      </c>
      <c r="E838" s="1">
        <f t="shared" si="47"/>
        <v>227.38378133912644</v>
      </c>
      <c r="F838" s="1">
        <f t="shared" si="46"/>
        <v>-38.942286814868424</v>
      </c>
      <c r="G838" s="1">
        <f t="shared" si="44"/>
        <v>1.2234316842730849E-17</v>
      </c>
      <c r="H838" s="1">
        <f>G838/$G$21</f>
        <v>8.57912588477502E-19</v>
      </c>
      <c r="I838">
        <f>IF($E$11&lt;=D838, IF(D838&lt;=$A$15,D838-$E$11,$F$11),0)</f>
        <v>300</v>
      </c>
      <c r="J838">
        <f>IF(D838&lt;=$A$15,0,D838-$A$15)</f>
        <v>506</v>
      </c>
      <c r="K838" s="5">
        <f>IF(D838&lt;$E$11,H838,0)</f>
        <v>0</v>
      </c>
      <c r="L838">
        <f>IF(D838&lt;$A$15,$C$11,$C$11*(1-$G$11))</f>
        <v>200</v>
      </c>
      <c r="M838">
        <f>IF(D838&lt;$A$15,0,1)</f>
        <v>1</v>
      </c>
    </row>
    <row r="839" spans="4:13" x14ac:dyDescent="0.2">
      <c r="D839">
        <f t="shared" si="45"/>
        <v>816</v>
      </c>
      <c r="E839" s="1">
        <f t="shared" si="47"/>
        <v>227.30682029799033</v>
      </c>
      <c r="F839" s="1">
        <f t="shared" si="46"/>
        <v>-39.01924785600454</v>
      </c>
      <c r="G839" s="1">
        <f t="shared" si="44"/>
        <v>1.1328071150676856E-17</v>
      </c>
      <c r="H839" s="1">
        <f>G839/$G$21</f>
        <v>7.9436350784954897E-19</v>
      </c>
      <c r="I839">
        <f>IF($E$11&lt;=D839, IF(D839&lt;=$A$15,D839-$E$11,$F$11),0)</f>
        <v>300</v>
      </c>
      <c r="J839">
        <f>IF(D839&lt;=$A$15,0,D839-$A$15)</f>
        <v>507</v>
      </c>
      <c r="K839" s="5">
        <f>IF(D839&lt;$E$11,H839,0)</f>
        <v>0</v>
      </c>
      <c r="L839">
        <f>IF(D839&lt;$A$15,$C$11,$C$11*(1-$G$11))</f>
        <v>200</v>
      </c>
      <c r="M839">
        <f>IF(D839&lt;$A$15,0,1)</f>
        <v>1</v>
      </c>
    </row>
    <row r="840" spans="4:13" x14ac:dyDescent="0.2">
      <c r="D840">
        <f t="shared" si="45"/>
        <v>817</v>
      </c>
      <c r="E840" s="1">
        <f t="shared" si="47"/>
        <v>227.22985925685421</v>
      </c>
      <c r="F840" s="1">
        <f t="shared" si="46"/>
        <v>-39.096208897140656</v>
      </c>
      <c r="G840" s="1">
        <f t="shared" si="44"/>
        <v>1.0488954769145369E-17</v>
      </c>
      <c r="H840" s="1">
        <f>G840/$G$21</f>
        <v>7.3552176652736948E-19</v>
      </c>
      <c r="I840">
        <f>IF($E$11&lt;=D840, IF(D840&lt;=$A$15,D840-$E$11,$F$11),0)</f>
        <v>300</v>
      </c>
      <c r="J840">
        <f>IF(D840&lt;=$A$15,0,D840-$A$15)</f>
        <v>508</v>
      </c>
      <c r="K840" s="5">
        <f>IF(D840&lt;$E$11,H840,0)</f>
        <v>0</v>
      </c>
      <c r="L840">
        <f>IF(D840&lt;$A$15,$C$11,$C$11*(1-$G$11))</f>
        <v>200</v>
      </c>
      <c r="M840">
        <f>IF(D840&lt;$A$15,0,1)</f>
        <v>1</v>
      </c>
    </row>
    <row r="841" spans="4:13" x14ac:dyDescent="0.2">
      <c r="D841">
        <f t="shared" si="45"/>
        <v>818</v>
      </c>
      <c r="E841" s="1">
        <f t="shared" si="47"/>
        <v>227.1528982157181</v>
      </c>
      <c r="F841" s="1">
        <f t="shared" si="46"/>
        <v>-39.173169938276772</v>
      </c>
      <c r="G841" s="1">
        <f t="shared" si="44"/>
        <v>9.7119951566162053E-18</v>
      </c>
      <c r="H841" s="1">
        <f>G841/$G$21</f>
        <v>6.8103867271053586E-19</v>
      </c>
      <c r="I841">
        <f>IF($E$11&lt;=D841, IF(D841&lt;=$A$15,D841-$E$11,$F$11),0)</f>
        <v>300</v>
      </c>
      <c r="J841">
        <f>IF(D841&lt;=$A$15,0,D841-$A$15)</f>
        <v>509</v>
      </c>
      <c r="K841" s="5">
        <f>IF(D841&lt;$E$11,H841,0)</f>
        <v>0</v>
      </c>
      <c r="L841">
        <f>IF(D841&lt;$A$15,$C$11,$C$11*(1-$G$11))</f>
        <v>200</v>
      </c>
      <c r="M841">
        <f>IF(D841&lt;$A$15,0,1)</f>
        <v>1</v>
      </c>
    </row>
    <row r="842" spans="4:13" x14ac:dyDescent="0.2">
      <c r="D842">
        <f t="shared" si="45"/>
        <v>819</v>
      </c>
      <c r="E842" s="1">
        <f t="shared" si="47"/>
        <v>227.07593717458198</v>
      </c>
      <c r="F842" s="1">
        <f t="shared" si="46"/>
        <v>-39.250130979412887</v>
      </c>
      <c r="G842" s="1">
        <f t="shared" si="44"/>
        <v>8.9925881079780811E-18</v>
      </c>
      <c r="H842" s="1">
        <f>G842/$G$21</f>
        <v>6.3059136362087453E-19</v>
      </c>
      <c r="I842">
        <f>IF($E$11&lt;=D842, IF(D842&lt;=$A$15,D842-$E$11,$F$11),0)</f>
        <v>300</v>
      </c>
      <c r="J842">
        <f>IF(D842&lt;=$A$15,0,D842-$A$15)</f>
        <v>510</v>
      </c>
      <c r="K842" s="5">
        <f>IF(D842&lt;$E$11,H842,0)</f>
        <v>0</v>
      </c>
      <c r="L842">
        <f>IF(D842&lt;$A$15,$C$11,$C$11*(1-$G$11))</f>
        <v>200</v>
      </c>
      <c r="M842">
        <f>IF(D842&lt;$A$15,0,1)</f>
        <v>1</v>
      </c>
    </row>
    <row r="843" spans="4:13" x14ac:dyDescent="0.2">
      <c r="D843">
        <f t="shared" si="45"/>
        <v>820</v>
      </c>
      <c r="E843" s="1">
        <f t="shared" si="47"/>
        <v>226.99897613344586</v>
      </c>
      <c r="F843" s="1">
        <f t="shared" si="46"/>
        <v>-39.327092020549003</v>
      </c>
      <c r="G843" s="1">
        <f t="shared" si="44"/>
        <v>8.3264704703501815E-18</v>
      </c>
      <c r="H843" s="1">
        <f>G843/$G$21</f>
        <v>5.8388089224155794E-19</v>
      </c>
      <c r="I843">
        <f>IF($E$11&lt;=D843, IF(D843&lt;=$A$15,D843-$E$11,$F$11),0)</f>
        <v>300</v>
      </c>
      <c r="J843">
        <f>IF(D843&lt;=$A$15,0,D843-$A$15)</f>
        <v>511</v>
      </c>
      <c r="K843" s="5">
        <f>IF(D843&lt;$E$11,H843,0)</f>
        <v>0</v>
      </c>
      <c r="L843">
        <f>IF(D843&lt;$A$15,$C$11,$C$11*(1-$G$11))</f>
        <v>200</v>
      </c>
      <c r="M843">
        <f>IF(D843&lt;$A$15,0,1)</f>
        <v>1</v>
      </c>
    </row>
    <row r="844" spans="4:13" x14ac:dyDescent="0.2">
      <c r="D844">
        <f t="shared" si="45"/>
        <v>821</v>
      </c>
      <c r="E844" s="1">
        <f t="shared" si="47"/>
        <v>226.92201509230975</v>
      </c>
      <c r="F844" s="1">
        <f t="shared" si="46"/>
        <v>-39.404053061685119</v>
      </c>
      <c r="G844" s="1">
        <f t="shared" si="44"/>
        <v>7.7096948799539693E-18</v>
      </c>
      <c r="H844" s="1">
        <f>G844/$G$21</f>
        <v>5.4063045577922712E-19</v>
      </c>
      <c r="I844">
        <f>IF($E$11&lt;=D844, IF(D844&lt;=$A$15,D844-$E$11,$F$11),0)</f>
        <v>300</v>
      </c>
      <c r="J844">
        <f>IF(D844&lt;=$A$15,0,D844-$A$15)</f>
        <v>512</v>
      </c>
      <c r="K844" s="5">
        <f>IF(D844&lt;$E$11,H844,0)</f>
        <v>0</v>
      </c>
      <c r="L844">
        <f>IF(D844&lt;$A$15,$C$11,$C$11*(1-$G$11))</f>
        <v>200</v>
      </c>
      <c r="M844">
        <f>IF(D844&lt;$A$15,0,1)</f>
        <v>1</v>
      </c>
    </row>
    <row r="845" spans="4:13" x14ac:dyDescent="0.2">
      <c r="D845">
        <f t="shared" si="45"/>
        <v>822</v>
      </c>
      <c r="E845" s="1">
        <f t="shared" si="47"/>
        <v>226.84505405117363</v>
      </c>
      <c r="F845" s="1">
        <f t="shared" si="46"/>
        <v>-39.481014102821234</v>
      </c>
      <c r="G845" s="1">
        <f t="shared" si="44"/>
        <v>7.1386063703278385E-18</v>
      </c>
      <c r="H845" s="1">
        <f>G845/$G$21</f>
        <v>5.0058375535114252E-19</v>
      </c>
      <c r="I845">
        <f>IF($E$11&lt;=D845, IF(D845&lt;=$A$15,D845-$E$11,$F$11),0)</f>
        <v>300</v>
      </c>
      <c r="J845">
        <f>IF(D845&lt;=$A$15,0,D845-$A$15)</f>
        <v>513</v>
      </c>
      <c r="K845" s="5">
        <f>IF(D845&lt;$E$11,H845,0)</f>
        <v>0</v>
      </c>
      <c r="L845">
        <f>IF(D845&lt;$A$15,$C$11,$C$11*(1-$G$11))</f>
        <v>200</v>
      </c>
      <c r="M845">
        <f>IF(D845&lt;$A$15,0,1)</f>
        <v>1</v>
      </c>
    </row>
    <row r="846" spans="4:13" x14ac:dyDescent="0.2">
      <c r="D846">
        <f t="shared" si="45"/>
        <v>823</v>
      </c>
      <c r="E846" s="1">
        <f t="shared" si="47"/>
        <v>226.76809301003752</v>
      </c>
      <c r="F846" s="1">
        <f t="shared" si="46"/>
        <v>-39.55797514395735</v>
      </c>
      <c r="G846" s="1">
        <f t="shared" si="44"/>
        <v>6.6098207132666014E-18</v>
      </c>
      <c r="H846" s="1">
        <f>G846/$G$21</f>
        <v>4.6350347717698964E-19</v>
      </c>
      <c r="I846">
        <f>IF($E$11&lt;=D846, IF(D846&lt;=$A$15,D846-$E$11,$F$11),0)</f>
        <v>300</v>
      </c>
      <c r="J846">
        <f>IF(D846&lt;=$A$15,0,D846-$A$15)</f>
        <v>514</v>
      </c>
      <c r="K846" s="5">
        <f>IF(D846&lt;$E$11,H846,0)</f>
        <v>0</v>
      </c>
      <c r="L846">
        <f>IF(D846&lt;$A$15,$C$11,$C$11*(1-$G$11))</f>
        <v>200</v>
      </c>
      <c r="M846">
        <f>IF(D846&lt;$A$15,0,1)</f>
        <v>1</v>
      </c>
    </row>
    <row r="847" spans="4:13" x14ac:dyDescent="0.2">
      <c r="D847">
        <f t="shared" si="45"/>
        <v>824</v>
      </c>
      <c r="E847" s="1">
        <f t="shared" si="47"/>
        <v>226.6911319689014</v>
      </c>
      <c r="F847" s="1">
        <f t="shared" si="46"/>
        <v>-39.634936185093466</v>
      </c>
      <c r="G847" s="1">
        <f t="shared" si="44"/>
        <v>6.1202043641358191E-18</v>
      </c>
      <c r="H847" s="1">
        <f>G847/$G$21</f>
        <v>4.2916988627499586E-19</v>
      </c>
      <c r="I847">
        <f>IF($E$11&lt;=D847, IF(D847&lt;=$A$15,D847-$E$11,$F$11),0)</f>
        <v>300</v>
      </c>
      <c r="J847">
        <f>IF(D847&lt;=$A$15,0,D847-$A$15)</f>
        <v>515</v>
      </c>
      <c r="K847" s="5">
        <f>IF(D847&lt;$E$11,H847,0)</f>
        <v>0</v>
      </c>
      <c r="L847">
        <f>IF(D847&lt;$A$15,$C$11,$C$11*(1-$G$11))</f>
        <v>200</v>
      </c>
      <c r="M847">
        <f>IF(D847&lt;$A$15,0,1)</f>
        <v>1</v>
      </c>
    </row>
    <row r="848" spans="4:13" x14ac:dyDescent="0.2">
      <c r="D848">
        <f t="shared" si="45"/>
        <v>825</v>
      </c>
      <c r="E848" s="1">
        <f t="shared" si="47"/>
        <v>226.61417092776529</v>
      </c>
      <c r="F848" s="1">
        <f t="shared" si="46"/>
        <v>-39.711897226229581</v>
      </c>
      <c r="G848" s="1">
        <f t="shared" si="44"/>
        <v>5.666855892718423E-18</v>
      </c>
      <c r="H848" s="1">
        <f>G848/$G$21</f>
        <v>3.9737952432870494E-19</v>
      </c>
      <c r="I848">
        <f>IF($E$11&lt;=D848, IF(D848&lt;=$A$15,D848-$E$11,$F$11),0)</f>
        <v>300</v>
      </c>
      <c r="J848">
        <f>IF(D848&lt;=$A$15,0,D848-$A$15)</f>
        <v>516</v>
      </c>
      <c r="K848" s="5">
        <f>IF(D848&lt;$E$11,H848,0)</f>
        <v>0</v>
      </c>
      <c r="L848">
        <f>IF(D848&lt;$A$15,$C$11,$C$11*(1-$G$11))</f>
        <v>200</v>
      </c>
      <c r="M848">
        <f>IF(D848&lt;$A$15,0,1)</f>
        <v>1</v>
      </c>
    </row>
    <row r="849" spans="4:13" x14ac:dyDescent="0.2">
      <c r="D849">
        <f t="shared" si="45"/>
        <v>826</v>
      </c>
      <c r="E849" s="1">
        <f t="shared" si="47"/>
        <v>226.53720988662917</v>
      </c>
      <c r="F849" s="1">
        <f t="shared" si="46"/>
        <v>-39.788858267365697</v>
      </c>
      <c r="G849" s="1">
        <f t="shared" si="44"/>
        <v>5.2470887895541615E-18</v>
      </c>
      <c r="H849" s="1">
        <f>G849/$G$21</f>
        <v>3.6794400400806473E-19</v>
      </c>
      <c r="I849">
        <f>IF($E$11&lt;=D849, IF(D849&lt;=$A$15,D849-$E$11,$F$11),0)</f>
        <v>300</v>
      </c>
      <c r="J849">
        <f>IF(D849&lt;=$A$15,0,D849-$A$15)</f>
        <v>517</v>
      </c>
      <c r="K849" s="5">
        <f>IF(D849&lt;$E$11,H849,0)</f>
        <v>0</v>
      </c>
      <c r="L849">
        <f>IF(D849&lt;$A$15,$C$11,$C$11*(1-$G$11))</f>
        <v>200</v>
      </c>
      <c r="M849">
        <f>IF(D849&lt;$A$15,0,1)</f>
        <v>1</v>
      </c>
    </row>
    <row r="850" spans="4:13" x14ac:dyDescent="0.2">
      <c r="D850">
        <f t="shared" si="45"/>
        <v>827</v>
      </c>
      <c r="E850" s="1">
        <f t="shared" si="47"/>
        <v>226.46024884549306</v>
      </c>
      <c r="F850" s="1">
        <f t="shared" si="46"/>
        <v>-39.865819308501813</v>
      </c>
      <c r="G850" s="1">
        <f t="shared" si="44"/>
        <v>4.8584155458835442E-18</v>
      </c>
      <c r="H850" s="1">
        <f>G850/$G$21</f>
        <v>3.4068889260006422E-19</v>
      </c>
      <c r="I850">
        <f>IF($E$11&lt;=D850, IF(D850&lt;=$A$15,D850-$E$11,$F$11),0)</f>
        <v>300</v>
      </c>
      <c r="J850">
        <f>IF(D850&lt;=$A$15,0,D850-$A$15)</f>
        <v>518</v>
      </c>
      <c r="K850" s="5">
        <f>IF(D850&lt;$E$11,H850,0)</f>
        <v>0</v>
      </c>
      <c r="L850">
        <f>IF(D850&lt;$A$15,$C$11,$C$11*(1-$G$11))</f>
        <v>200</v>
      </c>
      <c r="M850">
        <f>IF(D850&lt;$A$15,0,1)</f>
        <v>1</v>
      </c>
    </row>
    <row r="851" spans="4:13" x14ac:dyDescent="0.2">
      <c r="D851">
        <f t="shared" si="45"/>
        <v>828</v>
      </c>
      <c r="E851" s="1">
        <f t="shared" si="47"/>
        <v>226.38328780435694</v>
      </c>
      <c r="F851" s="1">
        <f t="shared" si="46"/>
        <v>-39.942780349637928</v>
      </c>
      <c r="G851" s="1">
        <f t="shared" si="44"/>
        <v>4.4985329128551903E-18</v>
      </c>
      <c r="H851" s="1">
        <f>G851/$G$21</f>
        <v>3.1545267833339681E-19</v>
      </c>
      <c r="I851">
        <f>IF($E$11&lt;=D851, IF(D851&lt;=$A$15,D851-$E$11,$F$11),0)</f>
        <v>300</v>
      </c>
      <c r="J851">
        <f>IF(D851&lt;=$A$15,0,D851-$A$15)</f>
        <v>519</v>
      </c>
      <c r="K851" s="5">
        <f>IF(D851&lt;$E$11,H851,0)</f>
        <v>0</v>
      </c>
      <c r="L851">
        <f>IF(D851&lt;$A$15,$C$11,$C$11*(1-$G$11))</f>
        <v>200</v>
      </c>
      <c r="M851">
        <f>IF(D851&lt;$A$15,0,1)</f>
        <v>1</v>
      </c>
    </row>
    <row r="852" spans="4:13" x14ac:dyDescent="0.2">
      <c r="D852">
        <f t="shared" si="45"/>
        <v>829</v>
      </c>
      <c r="E852" s="1">
        <f t="shared" si="47"/>
        <v>226.30632676322082</v>
      </c>
      <c r="F852" s="1">
        <f t="shared" si="46"/>
        <v>-40.019741390774044</v>
      </c>
      <c r="G852" s="1">
        <f t="shared" si="44"/>
        <v>4.1653082526437478E-18</v>
      </c>
      <c r="H852" s="1">
        <f>G852/$G$21</f>
        <v>2.9208581327166742E-19</v>
      </c>
      <c r="I852">
        <f>IF($E$11&lt;=D852, IF(D852&lt;=$A$15,D852-$E$11,$F$11),0)</f>
        <v>300</v>
      </c>
      <c r="J852">
        <f>IF(D852&lt;=$A$15,0,D852-$A$15)</f>
        <v>520</v>
      </c>
      <c r="K852" s="5">
        <f>IF(D852&lt;$E$11,H852,0)</f>
        <v>0</v>
      </c>
      <c r="L852">
        <f>IF(D852&lt;$A$15,$C$11,$C$11*(1-$G$11))</f>
        <v>200</v>
      </c>
      <c r="M852">
        <f>IF(D852&lt;$A$15,0,1)</f>
        <v>1</v>
      </c>
    </row>
    <row r="853" spans="4:13" x14ac:dyDescent="0.2">
      <c r="D853">
        <f t="shared" si="45"/>
        <v>830</v>
      </c>
      <c r="E853" s="1">
        <f t="shared" si="47"/>
        <v>226.22936572208471</v>
      </c>
      <c r="F853" s="1">
        <f t="shared" si="46"/>
        <v>-40.09670243191016</v>
      </c>
      <c r="G853" s="1">
        <f t="shared" si="44"/>
        <v>3.8567669005961112E-18</v>
      </c>
      <c r="H853" s="1">
        <f>G853/$G$21</f>
        <v>2.7044982710339916E-19</v>
      </c>
      <c r="I853">
        <f>IF($E$11&lt;=D853, IF(D853&lt;=$A$15,D853-$E$11,$F$11),0)</f>
        <v>300</v>
      </c>
      <c r="J853">
        <f>IF(D853&lt;=$A$15,0,D853-$A$15)</f>
        <v>521</v>
      </c>
      <c r="K853" s="5">
        <f>IF(D853&lt;$E$11,H853,0)</f>
        <v>0</v>
      </c>
      <c r="L853">
        <f>IF(D853&lt;$A$15,$C$11,$C$11*(1-$G$11))</f>
        <v>200</v>
      </c>
      <c r="M853">
        <f>IF(D853&lt;$A$15,0,1)</f>
        <v>1</v>
      </c>
    </row>
    <row r="854" spans="4:13" x14ac:dyDescent="0.2">
      <c r="D854">
        <f t="shared" si="45"/>
        <v>831</v>
      </c>
      <c r="E854" s="1">
        <f t="shared" si="47"/>
        <v>226.15240468094859</v>
      </c>
      <c r="F854" s="1">
        <f t="shared" si="46"/>
        <v>-40.173663473046275</v>
      </c>
      <c r="G854" s="1">
        <f t="shared" si="44"/>
        <v>3.5710804635149633E-18</v>
      </c>
      <c r="H854" s="1">
        <f>G854/$G$21</f>
        <v>2.5041650657722464E-19</v>
      </c>
      <c r="I854">
        <f>IF($E$11&lt;=D854, IF(D854&lt;=$A$15,D854-$E$11,$F$11),0)</f>
        <v>300</v>
      </c>
      <c r="J854">
        <f>IF(D854&lt;=$A$15,0,D854-$A$15)</f>
        <v>522</v>
      </c>
      <c r="K854" s="5">
        <f>IF(D854&lt;$E$11,H854,0)</f>
        <v>0</v>
      </c>
      <c r="L854">
        <f>IF(D854&lt;$A$15,$C$11,$C$11*(1-$G$11))</f>
        <v>200</v>
      </c>
      <c r="M854">
        <f>IF(D854&lt;$A$15,0,1)</f>
        <v>1</v>
      </c>
    </row>
    <row r="855" spans="4:13" x14ac:dyDescent="0.2">
      <c r="D855">
        <f t="shared" si="45"/>
        <v>832</v>
      </c>
      <c r="E855" s="1">
        <f t="shared" si="47"/>
        <v>226.07544363981248</v>
      </c>
      <c r="F855" s="1">
        <f t="shared" si="46"/>
        <v>-40.250624514182391</v>
      </c>
      <c r="G855" s="1">
        <f t="shared" si="44"/>
        <v>3.3065559847361186E-18</v>
      </c>
      <c r="H855" s="1">
        <f>G855/$G$21</f>
        <v>2.3186713571965535E-19</v>
      </c>
      <c r="I855">
        <f>IF($E$11&lt;=D855, IF(D855&lt;=$A$15,D855-$E$11,$F$11),0)</f>
        <v>300</v>
      </c>
      <c r="J855">
        <f>IF(D855&lt;=$A$15,0,D855-$A$15)</f>
        <v>523</v>
      </c>
      <c r="K855" s="5">
        <f>IF(D855&lt;$E$11,H855,0)</f>
        <v>0</v>
      </c>
      <c r="L855">
        <f>IF(D855&lt;$A$15,$C$11,$C$11*(1-$G$11))</f>
        <v>200</v>
      </c>
      <c r="M855">
        <f>IF(D855&lt;$A$15,0,1)</f>
        <v>1</v>
      </c>
    </row>
    <row r="856" spans="4:13" x14ac:dyDescent="0.2">
      <c r="D856">
        <f t="shared" si="45"/>
        <v>833</v>
      </c>
      <c r="E856" s="1">
        <f t="shared" si="47"/>
        <v>225.99848259867636</v>
      </c>
      <c r="F856" s="1">
        <f t="shared" si="46"/>
        <v>-40.327585555318507</v>
      </c>
      <c r="G856" s="1">
        <f t="shared" ref="G856:G919" si="48">EXP(F856)</f>
        <v>3.0616259117927413E-18</v>
      </c>
      <c r="H856" s="1">
        <f>G856/$G$21</f>
        <v>2.1469179233301695E-19</v>
      </c>
      <c r="I856">
        <f>IF($E$11&lt;=D856, IF(D856&lt;=$A$15,D856-$E$11,$F$11),0)</f>
        <v>300</v>
      </c>
      <c r="J856">
        <f>IF(D856&lt;=$A$15,0,D856-$A$15)</f>
        <v>524</v>
      </c>
      <c r="K856" s="5">
        <f>IF(D856&lt;$E$11,H856,0)</f>
        <v>0</v>
      </c>
      <c r="L856">
        <f>IF(D856&lt;$A$15,$C$11,$C$11*(1-$G$11))</f>
        <v>200</v>
      </c>
      <c r="M856">
        <f>IF(D856&lt;$A$15,0,1)</f>
        <v>1</v>
      </c>
    </row>
    <row r="857" spans="4:13" x14ac:dyDescent="0.2">
      <c r="D857">
        <f t="shared" ref="D857:D920" si="49">1+D856</f>
        <v>834</v>
      </c>
      <c r="E857" s="1">
        <f t="shared" si="47"/>
        <v>225.92152155754025</v>
      </c>
      <c r="F857" s="1">
        <f t="shared" ref="F857:F920" si="50">E857-$E$21</f>
        <v>-40.404546596454622</v>
      </c>
      <c r="G857" s="1">
        <f t="shared" si="48"/>
        <v>2.8348388072155369E-18</v>
      </c>
      <c r="H857" s="1">
        <f>G857/$G$21</f>
        <v>1.9878869660464783E-19</v>
      </c>
      <c r="I857">
        <f>IF($E$11&lt;=D857, IF(D857&lt;=$A$15,D857-$E$11,$F$11),0)</f>
        <v>300</v>
      </c>
      <c r="J857">
        <f>IF(D857&lt;=$A$15,0,D857-$A$15)</f>
        <v>525</v>
      </c>
      <c r="K857" s="5">
        <f>IF(D857&lt;$E$11,H857,0)</f>
        <v>0</v>
      </c>
      <c r="L857">
        <f>IF(D857&lt;$A$15,$C$11,$C$11*(1-$G$11))</f>
        <v>200</v>
      </c>
      <c r="M857">
        <f>IF(D857&lt;$A$15,0,1)</f>
        <v>1</v>
      </c>
    </row>
    <row r="858" spans="4:13" x14ac:dyDescent="0.2">
      <c r="D858">
        <f t="shared" si="49"/>
        <v>835</v>
      </c>
      <c r="E858" s="1">
        <f t="shared" si="47"/>
        <v>225.84456051640413</v>
      </c>
      <c r="F858" s="1">
        <f t="shared" si="50"/>
        <v>-40.481507637590738</v>
      </c>
      <c r="G858" s="1">
        <f t="shared" si="48"/>
        <v>2.6248507474218269E-18</v>
      </c>
      <c r="H858" s="1">
        <f>G858/$G$21</f>
        <v>1.8406360796726885E-19</v>
      </c>
      <c r="I858">
        <f>IF($E$11&lt;=D858, IF(D858&lt;=$A$15,D858-$E$11,$F$11),0)</f>
        <v>300</v>
      </c>
      <c r="J858">
        <f>IF(D858&lt;=$A$15,0,D858-$A$15)</f>
        <v>526</v>
      </c>
      <c r="K858" s="5">
        <f>IF(D858&lt;$E$11,H858,0)</f>
        <v>0</v>
      </c>
      <c r="L858">
        <f>IF(D858&lt;$A$15,$C$11,$C$11*(1-$G$11))</f>
        <v>200</v>
      </c>
      <c r="M858">
        <f>IF(D858&lt;$A$15,0,1)</f>
        <v>1</v>
      </c>
    </row>
    <row r="859" spans="4:13" x14ac:dyDescent="0.2">
      <c r="D859">
        <f t="shared" si="49"/>
        <v>836</v>
      </c>
      <c r="E859" s="1">
        <f t="shared" si="47"/>
        <v>225.76759947526801</v>
      </c>
      <c r="F859" s="1">
        <f t="shared" si="50"/>
        <v>-40.558468678726854</v>
      </c>
      <c r="G859" s="1">
        <f t="shared" si="48"/>
        <v>2.4304173587239444E-18</v>
      </c>
      <c r="H859" s="1">
        <f>G859/$G$21</f>
        <v>1.7042926663636218E-19</v>
      </c>
      <c r="I859">
        <f>IF($E$11&lt;=D859, IF(D859&lt;=$A$15,D859-$E$11,$F$11),0)</f>
        <v>300</v>
      </c>
      <c r="J859">
        <f>IF(D859&lt;=$A$15,0,D859-$A$15)</f>
        <v>527</v>
      </c>
      <c r="K859" s="5">
        <f>IF(D859&lt;$E$11,H859,0)</f>
        <v>0</v>
      </c>
      <c r="L859">
        <f>IF(D859&lt;$A$15,$C$11,$C$11*(1-$G$11))</f>
        <v>200</v>
      </c>
      <c r="M859">
        <f>IF(D859&lt;$A$15,0,1)</f>
        <v>1</v>
      </c>
    </row>
    <row r="860" spans="4:13" x14ac:dyDescent="0.2">
      <c r="D860">
        <f t="shared" si="49"/>
        <v>837</v>
      </c>
      <c r="E860" s="1">
        <f t="shared" si="47"/>
        <v>225.6906384341319</v>
      </c>
      <c r="F860" s="1">
        <f t="shared" si="50"/>
        <v>-40.635429719862969</v>
      </c>
      <c r="G860" s="1">
        <f t="shared" si="48"/>
        <v>2.2503864432629397E-18</v>
      </c>
      <c r="H860" s="1">
        <f>G860/$G$21</f>
        <v>1.5780487651515217E-19</v>
      </c>
      <c r="I860">
        <f>IF($E$11&lt;=D860, IF(D860&lt;=$A$15,D860-$E$11,$F$11),0)</f>
        <v>300</v>
      </c>
      <c r="J860">
        <f>IF(D860&lt;=$A$15,0,D860-$A$15)</f>
        <v>528</v>
      </c>
      <c r="K860" s="5">
        <f>IF(D860&lt;$E$11,H860,0)</f>
        <v>0</v>
      </c>
      <c r="L860">
        <f>IF(D860&lt;$A$15,$C$11,$C$11*(1-$G$11))</f>
        <v>200</v>
      </c>
      <c r="M860">
        <f>IF(D860&lt;$A$15,0,1)</f>
        <v>1</v>
      </c>
    </row>
    <row r="861" spans="4:13" x14ac:dyDescent="0.2">
      <c r="D861">
        <f t="shared" si="49"/>
        <v>838</v>
      </c>
      <c r="E861" s="1">
        <f t="shared" si="47"/>
        <v>225.61367739299578</v>
      </c>
      <c r="F861" s="1">
        <f t="shared" si="50"/>
        <v>-40.712390760999085</v>
      </c>
      <c r="G861" s="1">
        <f t="shared" si="48"/>
        <v>2.083691151169415E-18</v>
      </c>
      <c r="H861" s="1">
        <f>G861/$G$21</f>
        <v>1.4611562640292052E-19</v>
      </c>
      <c r="I861">
        <f>IF($E$11&lt;=D861, IF(D861&lt;=$A$15,D861-$E$11,$F$11),0)</f>
        <v>300</v>
      </c>
      <c r="J861">
        <f>IF(D861&lt;=$A$15,0,D861-$A$15)</f>
        <v>529</v>
      </c>
      <c r="K861" s="5">
        <f>IF(D861&lt;$E$11,H861,0)</f>
        <v>0</v>
      </c>
      <c r="L861">
        <f>IF(D861&lt;$A$15,$C$11,$C$11*(1-$G$11))</f>
        <v>200</v>
      </c>
      <c r="M861">
        <f>IF(D861&lt;$A$15,0,1)</f>
        <v>1</v>
      </c>
    </row>
    <row r="862" spans="4:13" x14ac:dyDescent="0.2">
      <c r="D862">
        <f t="shared" si="49"/>
        <v>839</v>
      </c>
      <c r="E862" s="1">
        <f t="shared" si="47"/>
        <v>225.53671635185967</v>
      </c>
      <c r="F862" s="1">
        <f t="shared" si="50"/>
        <v>-40.789351802135201</v>
      </c>
      <c r="G862" s="1">
        <f t="shared" si="48"/>
        <v>1.9293436584902237E-18</v>
      </c>
      <c r="H862" s="1">
        <f>G862/$G$21</f>
        <v>1.3529224666937258E-19</v>
      </c>
      <c r="I862">
        <f>IF($E$11&lt;=D862, IF(D862&lt;=$A$15,D862-$E$11,$F$11),0)</f>
        <v>300</v>
      </c>
      <c r="J862">
        <f>IF(D862&lt;=$A$15,0,D862-$A$15)</f>
        <v>530</v>
      </c>
      <c r="K862" s="5">
        <f>IF(D862&lt;$E$11,H862,0)</f>
        <v>0</v>
      </c>
      <c r="L862">
        <f>IF(D862&lt;$A$15,$C$11,$C$11*(1-$G$11))</f>
        <v>200</v>
      </c>
      <c r="M862">
        <f>IF(D862&lt;$A$15,0,1)</f>
        <v>1</v>
      </c>
    </row>
    <row r="863" spans="4:13" x14ac:dyDescent="0.2">
      <c r="D863">
        <f t="shared" si="49"/>
        <v>840</v>
      </c>
      <c r="E863" s="1">
        <f t="shared" si="47"/>
        <v>225.45975531072355</v>
      </c>
      <c r="F863" s="1">
        <f t="shared" si="50"/>
        <v>-40.866312843271317</v>
      </c>
      <c r="G863" s="1">
        <f t="shared" si="48"/>
        <v>1.7864293134168964E-18</v>
      </c>
      <c r="H863" s="1">
        <f>G863/$G$21</f>
        <v>1.2527059876793914E-19</v>
      </c>
      <c r="I863">
        <f>IF($E$11&lt;=D863, IF(D863&lt;=$A$15,D863-$E$11,$F$11),0)</f>
        <v>300</v>
      </c>
      <c r="J863">
        <f>IF(D863&lt;=$A$15,0,D863-$A$15)</f>
        <v>531</v>
      </c>
      <c r="K863" s="5">
        <f>IF(D863&lt;$E$11,H863,0)</f>
        <v>0</v>
      </c>
      <c r="L863">
        <f>IF(D863&lt;$A$15,$C$11,$C$11*(1-$G$11))</f>
        <v>200</v>
      </c>
      <c r="M863">
        <f>IF(D863&lt;$A$15,0,1)</f>
        <v>1</v>
      </c>
    </row>
    <row r="864" spans="4:13" x14ac:dyDescent="0.2">
      <c r="D864">
        <f t="shared" si="49"/>
        <v>841</v>
      </c>
      <c r="E864" s="1">
        <f t="shared" si="47"/>
        <v>225.38279426958744</v>
      </c>
      <c r="F864" s="1">
        <f t="shared" si="50"/>
        <v>-40.943273884407432</v>
      </c>
      <c r="G864" s="1">
        <f t="shared" si="48"/>
        <v>1.6541012161267768E-18</v>
      </c>
      <c r="H864" s="1">
        <f>G864/$G$21</f>
        <v>1.1599129515550067E-19</v>
      </c>
      <c r="I864">
        <f>IF($E$11&lt;=D864, IF(D864&lt;=$A$15,D864-$E$11,$F$11),0)</f>
        <v>300</v>
      </c>
      <c r="J864">
        <f>IF(D864&lt;=$A$15,0,D864-$A$15)</f>
        <v>532</v>
      </c>
      <c r="K864" s="5">
        <f>IF(D864&lt;$E$11,H864,0)</f>
        <v>0</v>
      </c>
      <c r="L864">
        <f>IF(D864&lt;$A$15,$C$11,$C$11*(1-$G$11))</f>
        <v>200</v>
      </c>
      <c r="M864">
        <f>IF(D864&lt;$A$15,0,1)</f>
        <v>1</v>
      </c>
    </row>
    <row r="865" spans="4:13" x14ac:dyDescent="0.2">
      <c r="D865">
        <f t="shared" si="49"/>
        <v>842</v>
      </c>
      <c r="E865" s="1">
        <f t="shared" si="47"/>
        <v>225.30583322845132</v>
      </c>
      <c r="F865" s="1">
        <f t="shared" si="50"/>
        <v>-41.020234925543548</v>
      </c>
      <c r="G865" s="1">
        <f t="shared" si="48"/>
        <v>1.5315752001174052E-18</v>
      </c>
      <c r="H865" s="1">
        <f>G865/$G$21</f>
        <v>1.0739934736620569E-19</v>
      </c>
      <c r="I865">
        <f>IF($E$11&lt;=D865, IF(D865&lt;=$A$15,D865-$E$11,$F$11),0)</f>
        <v>300</v>
      </c>
      <c r="J865">
        <f>IF(D865&lt;=$A$15,0,D865-$A$15)</f>
        <v>533</v>
      </c>
      <c r="K865" s="5">
        <f>IF(D865&lt;$E$11,H865,0)</f>
        <v>0</v>
      </c>
      <c r="L865">
        <f>IF(D865&lt;$A$15,$C$11,$C$11*(1-$G$11))</f>
        <v>200</v>
      </c>
      <c r="M865">
        <f>IF(D865&lt;$A$15,0,1)</f>
        <v>1</v>
      </c>
    </row>
    <row r="866" spans="4:13" x14ac:dyDescent="0.2">
      <c r="D866">
        <f t="shared" si="49"/>
        <v>843</v>
      </c>
      <c r="E866" s="1">
        <f t="shared" si="47"/>
        <v>225.2288721873152</v>
      </c>
      <c r="F866" s="1">
        <f t="shared" si="50"/>
        <v>-41.097195966679664</v>
      </c>
      <c r="G866" s="1">
        <f t="shared" si="48"/>
        <v>1.4181251852939117E-18</v>
      </c>
      <c r="H866" s="1">
        <f>G866/$G$21</f>
        <v>9.944384015389541E-20</v>
      </c>
      <c r="I866">
        <f>IF($E$11&lt;=D866, IF(D866&lt;=$A$15,D866-$E$11,$F$11),0)</f>
        <v>300</v>
      </c>
      <c r="J866">
        <f>IF(D866&lt;=$A$15,0,D866-$A$15)</f>
        <v>534</v>
      </c>
      <c r="K866" s="5">
        <f>IF(D866&lt;$E$11,H866,0)</f>
        <v>0</v>
      </c>
      <c r="L866">
        <f>IF(D866&lt;$A$15,$C$11,$C$11*(1-$G$11))</f>
        <v>200</v>
      </c>
      <c r="M866">
        <f>IF(D866&lt;$A$15,0,1)</f>
        <v>1</v>
      </c>
    </row>
    <row r="867" spans="4:13" x14ac:dyDescent="0.2">
      <c r="D867">
        <f t="shared" si="49"/>
        <v>844</v>
      </c>
      <c r="E867" s="1">
        <f t="shared" si="47"/>
        <v>225.15191114617909</v>
      </c>
      <c r="F867" s="1">
        <f t="shared" si="50"/>
        <v>-41.174157007815779</v>
      </c>
      <c r="G867" s="1">
        <f t="shared" si="48"/>
        <v>1.3130788752721571E-18</v>
      </c>
      <c r="H867" s="1">
        <f>G867/$G$21</f>
        <v>9.2077629772126554E-20</v>
      </c>
      <c r="I867">
        <f>IF($E$11&lt;=D867, IF(D867&lt;=$A$15,D867-$E$11,$F$11),0)</f>
        <v>300</v>
      </c>
      <c r="J867">
        <f>IF(D867&lt;=$A$15,0,D867-$A$15)</f>
        <v>535</v>
      </c>
      <c r="K867" s="5">
        <f>IF(D867&lt;$E$11,H867,0)</f>
        <v>0</v>
      </c>
      <c r="L867">
        <f>IF(D867&lt;$A$15,$C$11,$C$11*(1-$G$11))</f>
        <v>200</v>
      </c>
      <c r="M867">
        <f>IF(D867&lt;$A$15,0,1)</f>
        <v>1</v>
      </c>
    </row>
    <row r="868" spans="4:13" x14ac:dyDescent="0.2">
      <c r="D868">
        <f t="shared" si="49"/>
        <v>845</v>
      </c>
      <c r="E868" s="1">
        <f t="shared" si="47"/>
        <v>225.07495010504297</v>
      </c>
      <c r="F868" s="1">
        <f t="shared" si="50"/>
        <v>-41.251118048951895</v>
      </c>
      <c r="G868" s="1">
        <f t="shared" si="48"/>
        <v>1.2158137734001607E-18</v>
      </c>
      <c r="H868" s="1">
        <f>G868/$G$21</f>
        <v>8.5257064603821951E-20</v>
      </c>
      <c r="I868">
        <f>IF($E$11&lt;=D868, IF(D868&lt;=$A$15,D868-$E$11,$F$11),0)</f>
        <v>300</v>
      </c>
      <c r="J868">
        <f>IF(D868&lt;=$A$15,0,D868-$A$15)</f>
        <v>536</v>
      </c>
      <c r="K868" s="5">
        <f>IF(D868&lt;$E$11,H868,0)</f>
        <v>0</v>
      </c>
      <c r="L868">
        <f>IF(D868&lt;$A$15,$C$11,$C$11*(1-$G$11))</f>
        <v>200</v>
      </c>
      <c r="M868">
        <f>IF(D868&lt;$A$15,0,1)</f>
        <v>1</v>
      </c>
    </row>
    <row r="869" spans="4:13" x14ac:dyDescent="0.2">
      <c r="D869">
        <f t="shared" si="49"/>
        <v>846</v>
      </c>
      <c r="E869" s="1">
        <f t="shared" si="47"/>
        <v>224.99798906390686</v>
      </c>
      <c r="F869" s="1">
        <f t="shared" si="50"/>
        <v>-41.328079090088011</v>
      </c>
      <c r="G869" s="1">
        <f t="shared" si="48"/>
        <v>1.125753493889052E-18</v>
      </c>
      <c r="H869" s="1">
        <f>G869/$G$21</f>
        <v>7.8941726485021322E-20</v>
      </c>
      <c r="I869">
        <f>IF($E$11&lt;=D869, IF(D869&lt;=$A$15,D869-$E$11,$F$11),0)</f>
        <v>300</v>
      </c>
      <c r="J869">
        <f>IF(D869&lt;=$A$15,0,D869-$A$15)</f>
        <v>537</v>
      </c>
      <c r="K869" s="5">
        <f>IF(D869&lt;$E$11,H869,0)</f>
        <v>0</v>
      </c>
      <c r="L869">
        <f>IF(D869&lt;$A$15,$C$11,$C$11*(1-$G$11))</f>
        <v>200</v>
      </c>
      <c r="M869">
        <f>IF(D869&lt;$A$15,0,1)</f>
        <v>1</v>
      </c>
    </row>
    <row r="870" spans="4:13" x14ac:dyDescent="0.2">
      <c r="D870">
        <f t="shared" si="49"/>
        <v>847</v>
      </c>
      <c r="E870" s="1">
        <f t="shared" si="47"/>
        <v>224.92102802277074</v>
      </c>
      <c r="F870" s="1">
        <f t="shared" si="50"/>
        <v>-41.405040131224126</v>
      </c>
      <c r="G870" s="1">
        <f t="shared" si="48"/>
        <v>1.0423643461935798E-18</v>
      </c>
      <c r="H870" s="1">
        <f>G870/$G$21</f>
        <v>7.3094191189835487E-20</v>
      </c>
      <c r="I870">
        <f>IF($E$11&lt;=D870, IF(D870&lt;=$A$15,D870-$E$11,$F$11),0)</f>
        <v>300</v>
      </c>
      <c r="J870">
        <f>IF(D870&lt;=$A$15,0,D870-$A$15)</f>
        <v>538</v>
      </c>
      <c r="K870" s="5">
        <f>IF(D870&lt;$E$11,H870,0)</f>
        <v>0</v>
      </c>
      <c r="L870">
        <f>IF(D870&lt;$A$15,$C$11,$C$11*(1-$G$11))</f>
        <v>200</v>
      </c>
      <c r="M870">
        <f>IF(D870&lt;$A$15,0,1)</f>
        <v>1</v>
      </c>
    </row>
    <row r="871" spans="4:13" x14ac:dyDescent="0.2">
      <c r="D871">
        <f t="shared" si="49"/>
        <v>848</v>
      </c>
      <c r="E871" s="1">
        <f t="shared" si="47"/>
        <v>224.84406698163463</v>
      </c>
      <c r="F871" s="1">
        <f t="shared" si="50"/>
        <v>-41.482001172360242</v>
      </c>
      <c r="G871" s="1">
        <f t="shared" si="48"/>
        <v>9.65152172401475E-19</v>
      </c>
      <c r="H871" s="1">
        <f>G871/$G$21</f>
        <v>6.7679806657255934E-20</v>
      </c>
      <c r="I871">
        <f>IF($E$11&lt;=D871, IF(D871&lt;=$A$15,D871-$E$11,$F$11),0)</f>
        <v>300</v>
      </c>
      <c r="J871">
        <f>IF(D871&lt;=$A$15,0,D871-$A$15)</f>
        <v>539</v>
      </c>
      <c r="K871" s="5">
        <f>IF(D871&lt;$E$11,H871,0)</f>
        <v>0</v>
      </c>
      <c r="L871">
        <f>IF(D871&lt;$A$15,$C$11,$C$11*(1-$G$11))</f>
        <v>200</v>
      </c>
      <c r="M871">
        <f>IF(D871&lt;$A$15,0,1)</f>
        <v>1</v>
      </c>
    </row>
    <row r="872" spans="4:13" x14ac:dyDescent="0.2">
      <c r="D872">
        <f t="shared" si="49"/>
        <v>849</v>
      </c>
      <c r="E872" s="1">
        <f t="shared" si="47"/>
        <v>224.76710594049851</v>
      </c>
      <c r="F872" s="1">
        <f t="shared" si="50"/>
        <v>-41.558962213496358</v>
      </c>
      <c r="G872" s="1">
        <f t="shared" si="48"/>
        <v>8.9365941889026586E-19</v>
      </c>
      <c r="H872" s="1">
        <f>G872/$G$21</f>
        <v>6.2666487645608131E-20</v>
      </c>
      <c r="I872">
        <f>IF($E$11&lt;=D872, IF(D872&lt;=$A$15,D872-$E$11,$F$11),0)</f>
        <v>300</v>
      </c>
      <c r="J872">
        <f>IF(D872&lt;=$A$15,0,D872-$A$15)</f>
        <v>540</v>
      </c>
      <c r="K872" s="5">
        <f>IF(D872&lt;$E$11,H872,0)</f>
        <v>0</v>
      </c>
      <c r="L872">
        <f>IF(D872&lt;$A$15,$C$11,$C$11*(1-$G$11))</f>
        <v>200</v>
      </c>
      <c r="M872">
        <f>IF(D872&lt;$A$15,0,1)</f>
        <v>1</v>
      </c>
    </row>
    <row r="873" spans="4:13" x14ac:dyDescent="0.2">
      <c r="D873">
        <f t="shared" si="49"/>
        <v>850</v>
      </c>
      <c r="E873" s="1">
        <f t="shared" si="47"/>
        <v>224.69014489936239</v>
      </c>
      <c r="F873" s="1">
        <f t="shared" si="50"/>
        <v>-41.635923254632473</v>
      </c>
      <c r="G873" s="1">
        <f t="shared" si="48"/>
        <v>8.274624248984048E-19</v>
      </c>
      <c r="H873" s="1">
        <f>G873/$G$21</f>
        <v>5.8024525597786048E-20</v>
      </c>
      <c r="I873">
        <f>IF($E$11&lt;=D873, IF(D873&lt;=$A$15,D873-$E$11,$F$11),0)</f>
        <v>300</v>
      </c>
      <c r="J873">
        <f>IF(D873&lt;=$A$15,0,D873-$A$15)</f>
        <v>541</v>
      </c>
      <c r="K873" s="5">
        <f>IF(D873&lt;$E$11,H873,0)</f>
        <v>0</v>
      </c>
      <c r="L873">
        <f>IF(D873&lt;$A$15,$C$11,$C$11*(1-$G$11))</f>
        <v>200</v>
      </c>
      <c r="M873">
        <f>IF(D873&lt;$A$15,0,1)</f>
        <v>1</v>
      </c>
    </row>
    <row r="874" spans="4:13" x14ac:dyDescent="0.2">
      <c r="D874">
        <f t="shared" si="49"/>
        <v>851</v>
      </c>
      <c r="E874" s="1">
        <f t="shared" si="47"/>
        <v>224.61318385822628</v>
      </c>
      <c r="F874" s="1">
        <f t="shared" si="50"/>
        <v>-41.712884295768589</v>
      </c>
      <c r="G874" s="1">
        <f t="shared" si="48"/>
        <v>7.6616891194297711E-19</v>
      </c>
      <c r="H874" s="1">
        <f>G874/$G$21</f>
        <v>5.3726412590543315E-20</v>
      </c>
      <c r="I874">
        <f>IF($E$11&lt;=D874, IF(D874&lt;=$A$15,D874-$E$11,$F$11),0)</f>
        <v>300</v>
      </c>
      <c r="J874">
        <f>IF(D874&lt;=$A$15,0,D874-$A$15)</f>
        <v>542</v>
      </c>
      <c r="K874" s="5">
        <f>IF(D874&lt;$E$11,H874,0)</f>
        <v>0</v>
      </c>
      <c r="L874">
        <f>IF(D874&lt;$A$15,$C$11,$C$11*(1-$G$11))</f>
        <v>200</v>
      </c>
      <c r="M874">
        <f>IF(D874&lt;$A$15,0,1)</f>
        <v>1</v>
      </c>
    </row>
    <row r="875" spans="4:13" x14ac:dyDescent="0.2">
      <c r="D875">
        <f t="shared" si="49"/>
        <v>852</v>
      </c>
      <c r="E875" s="1">
        <f t="shared" si="47"/>
        <v>224.53622281709016</v>
      </c>
      <c r="F875" s="1">
        <f t="shared" si="50"/>
        <v>-41.789845336904705</v>
      </c>
      <c r="G875" s="1">
        <f t="shared" si="48"/>
        <v>7.0941565920646922E-19</v>
      </c>
      <c r="H875" s="1">
        <f>G875/$G$21</f>
        <v>4.9746678324577769E-20</v>
      </c>
      <c r="I875">
        <f>IF($E$11&lt;=D875, IF(D875&lt;=$A$15,D875-$E$11,$F$11),0)</f>
        <v>300</v>
      </c>
      <c r="J875">
        <f>IF(D875&lt;=$A$15,0,D875-$A$15)</f>
        <v>543</v>
      </c>
      <c r="K875" s="5">
        <f>IF(D875&lt;$E$11,H875,0)</f>
        <v>0</v>
      </c>
      <c r="L875">
        <f>IF(D875&lt;$A$15,$C$11,$C$11*(1-$G$11))</f>
        <v>200</v>
      </c>
      <c r="M875">
        <f>IF(D875&lt;$A$15,0,1)</f>
        <v>1</v>
      </c>
    </row>
    <row r="876" spans="4:13" x14ac:dyDescent="0.2">
      <c r="D876">
        <f t="shared" si="49"/>
        <v>853</v>
      </c>
      <c r="E876" s="1">
        <f t="shared" si="47"/>
        <v>224.45926177595405</v>
      </c>
      <c r="F876" s="1">
        <f t="shared" si="50"/>
        <v>-41.86680637804082</v>
      </c>
      <c r="G876" s="1">
        <f t="shared" si="48"/>
        <v>6.5686635111710946E-19</v>
      </c>
      <c r="H876" s="1">
        <f>G876/$G$21</f>
        <v>4.6061739189424443E-20</v>
      </c>
      <c r="I876">
        <f>IF($E$11&lt;=D876, IF(D876&lt;=$A$15,D876-$E$11,$F$11),0)</f>
        <v>300</v>
      </c>
      <c r="J876">
        <f>IF(D876&lt;=$A$15,0,D876-$A$15)</f>
        <v>544</v>
      </c>
      <c r="K876" s="5">
        <f>IF(D876&lt;$E$11,H876,0)</f>
        <v>0</v>
      </c>
      <c r="L876">
        <f>IF(D876&lt;$A$15,$C$11,$C$11*(1-$G$11))</f>
        <v>200</v>
      </c>
      <c r="M876">
        <f>IF(D876&lt;$A$15,0,1)</f>
        <v>1</v>
      </c>
    </row>
    <row r="877" spans="4:13" x14ac:dyDescent="0.2">
      <c r="D877">
        <f t="shared" si="49"/>
        <v>854</v>
      </c>
      <c r="E877" s="1">
        <f t="shared" si="47"/>
        <v>224.38230073481793</v>
      </c>
      <c r="F877" s="1">
        <f t="shared" si="50"/>
        <v>-41.943767419176936</v>
      </c>
      <c r="G877" s="1">
        <f t="shared" si="48"/>
        <v>6.0820958436770165E-19</v>
      </c>
      <c r="H877" s="1">
        <f>G877/$G$21</f>
        <v>4.2649758508726876E-20</v>
      </c>
      <c r="I877">
        <f>IF($E$11&lt;=D877, IF(D877&lt;=$A$15,D877-$E$11,$F$11),0)</f>
        <v>300</v>
      </c>
      <c r="J877">
        <f>IF(D877&lt;=$A$15,0,D877-$A$15)</f>
        <v>545</v>
      </c>
      <c r="K877" s="5">
        <f>IF(D877&lt;$E$11,H877,0)</f>
        <v>0</v>
      </c>
      <c r="L877">
        <f>IF(D877&lt;$A$15,$C$11,$C$11*(1-$G$11))</f>
        <v>200</v>
      </c>
      <c r="M877">
        <f>IF(D877&lt;$A$15,0,1)</f>
        <v>1</v>
      </c>
    </row>
    <row r="878" spans="4:13" x14ac:dyDescent="0.2">
      <c r="D878">
        <f t="shared" si="49"/>
        <v>855</v>
      </c>
      <c r="E878" s="1">
        <f t="shared" si="47"/>
        <v>224.30533969368182</v>
      </c>
      <c r="F878" s="1">
        <f t="shared" si="50"/>
        <v>-42.020728460313052</v>
      </c>
      <c r="G878" s="1">
        <f t="shared" si="48"/>
        <v>5.6315702256269379E-19</v>
      </c>
      <c r="H878" s="1">
        <f>G878/$G$21</f>
        <v>3.9490517137710566E-20</v>
      </c>
      <c r="I878">
        <f>IF($E$11&lt;=D878, IF(D878&lt;=$A$15,D878-$E$11,$F$11),0)</f>
        <v>300</v>
      </c>
      <c r="J878">
        <f>IF(D878&lt;=$A$15,0,D878-$A$15)</f>
        <v>546</v>
      </c>
      <c r="K878" s="5">
        <f>IF(D878&lt;$E$11,H878,0)</f>
        <v>0</v>
      </c>
      <c r="L878">
        <f>IF(D878&lt;$A$15,$C$11,$C$11*(1-$G$11))</f>
        <v>200</v>
      </c>
      <c r="M878">
        <f>IF(D878&lt;$A$15,0,1)</f>
        <v>1</v>
      </c>
    </row>
    <row r="879" spans="4:13" x14ac:dyDescent="0.2">
      <c r="D879">
        <f t="shared" si="49"/>
        <v>856</v>
      </c>
      <c r="E879" s="1">
        <f t="shared" si="47"/>
        <v>224.2283786525457</v>
      </c>
      <c r="F879" s="1">
        <f t="shared" si="50"/>
        <v>-42.097689501449167</v>
      </c>
      <c r="G879" s="1">
        <f t="shared" si="48"/>
        <v>5.2144168755805643E-19</v>
      </c>
      <c r="H879" s="1">
        <f>G879/$G$21</f>
        <v>3.6565293646028766E-20</v>
      </c>
      <c r="I879">
        <f>IF($E$11&lt;=D879, IF(D879&lt;=$A$15,D879-$E$11,$F$11),0)</f>
        <v>300</v>
      </c>
      <c r="J879">
        <f>IF(D879&lt;=$A$15,0,D879-$A$15)</f>
        <v>547</v>
      </c>
      <c r="K879" s="5">
        <f>IF(D879&lt;$E$11,H879,0)</f>
        <v>0</v>
      </c>
      <c r="L879">
        <f>IF(D879&lt;$A$15,$C$11,$C$11*(1-$G$11))</f>
        <v>200</v>
      </c>
      <c r="M879">
        <f>IF(D879&lt;$A$15,0,1)</f>
        <v>1</v>
      </c>
    </row>
    <row r="880" spans="4:13" x14ac:dyDescent="0.2">
      <c r="D880">
        <f t="shared" si="49"/>
        <v>857</v>
      </c>
      <c r="E880" s="1">
        <f t="shared" si="47"/>
        <v>224.15141761140958</v>
      </c>
      <c r="F880" s="1">
        <f t="shared" si="50"/>
        <v>-42.174650542585283</v>
      </c>
      <c r="G880" s="1">
        <f t="shared" si="48"/>
        <v>4.8281637736857686E-19</v>
      </c>
      <c r="H880" s="1">
        <f>G880/$G$21</f>
        <v>3.3856753375952989E-20</v>
      </c>
      <c r="I880">
        <f>IF($E$11&lt;=D880, IF(D880&lt;=$A$15,D880-$E$11,$F$11),0)</f>
        <v>300</v>
      </c>
      <c r="J880">
        <f>IF(D880&lt;=$A$15,0,D880-$A$15)</f>
        <v>548</v>
      </c>
      <c r="K880" s="5">
        <f>IF(D880&lt;$E$11,H880,0)</f>
        <v>0</v>
      </c>
      <c r="L880">
        <f>IF(D880&lt;$A$15,$C$11,$C$11*(1-$G$11))</f>
        <v>200</v>
      </c>
      <c r="M880">
        <f>IF(D880&lt;$A$15,0,1)</f>
        <v>1</v>
      </c>
    </row>
    <row r="881" spans="4:13" x14ac:dyDescent="0.2">
      <c r="D881">
        <f t="shared" si="49"/>
        <v>858</v>
      </c>
      <c r="E881" s="1">
        <f t="shared" si="47"/>
        <v>224.07445657027347</v>
      </c>
      <c r="F881" s="1">
        <f t="shared" si="50"/>
        <v>-42.251611583721399</v>
      </c>
      <c r="G881" s="1">
        <f t="shared" si="48"/>
        <v>4.4705220126720644E-19</v>
      </c>
      <c r="H881" s="1">
        <f>G881/$G$21</f>
        <v>3.1348845718475384E-20</v>
      </c>
      <c r="I881">
        <f>IF($E$11&lt;=D881, IF(D881&lt;=$A$15,D881-$E$11,$F$11),0)</f>
        <v>300</v>
      </c>
      <c r="J881">
        <f>IF(D881&lt;=$A$15,0,D881-$A$15)</f>
        <v>549</v>
      </c>
      <c r="K881" s="5">
        <f>IF(D881&lt;$E$11,H881,0)</f>
        <v>0</v>
      </c>
      <c r="L881">
        <f>IF(D881&lt;$A$15,$C$11,$C$11*(1-$G$11))</f>
        <v>200</v>
      </c>
      <c r="M881">
        <f>IF(D881&lt;$A$15,0,1)</f>
        <v>1</v>
      </c>
    </row>
    <row r="882" spans="4:13" x14ac:dyDescent="0.2">
      <c r="D882">
        <f t="shared" si="49"/>
        <v>859</v>
      </c>
      <c r="E882" s="1">
        <f t="shared" si="47"/>
        <v>223.99749552913735</v>
      </c>
      <c r="F882" s="1">
        <f t="shared" si="50"/>
        <v>-42.328572624857514</v>
      </c>
      <c r="G882" s="1">
        <f t="shared" si="48"/>
        <v>4.1393722339556677E-19</v>
      </c>
      <c r="H882" s="1">
        <f>G882/$G$21</f>
        <v>2.9026708998588688E-20</v>
      </c>
      <c r="I882">
        <f>IF($E$11&lt;=D882, IF(D882&lt;=$A$15,D882-$E$11,$F$11),0)</f>
        <v>300</v>
      </c>
      <c r="J882">
        <f>IF(D882&lt;=$A$15,0,D882-$A$15)</f>
        <v>550</v>
      </c>
      <c r="K882" s="5">
        <f>IF(D882&lt;$E$11,H882,0)</f>
        <v>0</v>
      </c>
      <c r="L882">
        <f>IF(D882&lt;$A$15,$C$11,$C$11*(1-$G$11))</f>
        <v>200</v>
      </c>
      <c r="M882">
        <f>IF(D882&lt;$A$15,0,1)</f>
        <v>1</v>
      </c>
    </row>
    <row r="883" spans="4:13" x14ac:dyDescent="0.2">
      <c r="D883">
        <f t="shared" si="49"/>
        <v>860</v>
      </c>
      <c r="E883" s="1">
        <f t="shared" si="47"/>
        <v>223.92053448800124</v>
      </c>
      <c r="F883" s="1">
        <f t="shared" si="50"/>
        <v>-42.40553366599363</v>
      </c>
      <c r="G883" s="1">
        <f t="shared" si="48"/>
        <v>3.8327520684775186E-19</v>
      </c>
      <c r="H883" s="1">
        <f>G883/$G$21</f>
        <v>2.6876582406100979E-20</v>
      </c>
      <c r="I883">
        <f>IF($E$11&lt;=D883, IF(D883&lt;=$A$15,D883-$E$11,$F$11),0)</f>
        <v>300</v>
      </c>
      <c r="J883">
        <f>IF(D883&lt;=$A$15,0,D883-$A$15)</f>
        <v>551</v>
      </c>
      <c r="K883" s="5">
        <f>IF(D883&lt;$E$11,H883,0)</f>
        <v>0</v>
      </c>
      <c r="L883">
        <f>IF(D883&lt;$A$15,$C$11,$C$11*(1-$G$11))</f>
        <v>200</v>
      </c>
      <c r="M883">
        <f>IF(D883&lt;$A$15,0,1)</f>
        <v>1</v>
      </c>
    </row>
    <row r="884" spans="4:13" x14ac:dyDescent="0.2">
      <c r="D884">
        <f t="shared" si="49"/>
        <v>861</v>
      </c>
      <c r="E884" s="1">
        <f t="shared" si="47"/>
        <v>223.84357344686512</v>
      </c>
      <c r="F884" s="1">
        <f t="shared" si="50"/>
        <v>-42.482494707129746</v>
      </c>
      <c r="G884" s="1">
        <f t="shared" si="48"/>
        <v>3.5488445078495991E-19</v>
      </c>
      <c r="H884" s="1">
        <f>G884/$G$21</f>
        <v>2.4885724450093812E-20</v>
      </c>
      <c r="I884">
        <f>IF($E$11&lt;=D884, IF(D884&lt;=$A$15,D884-$E$11,$F$11),0)</f>
        <v>300</v>
      </c>
      <c r="J884">
        <f>IF(D884&lt;=$A$15,0,D884-$A$15)</f>
        <v>552</v>
      </c>
      <c r="K884" s="5">
        <f>IF(D884&lt;$E$11,H884,0)</f>
        <v>0</v>
      </c>
      <c r="L884">
        <f>IF(D884&lt;$A$15,$C$11,$C$11*(1-$G$11))</f>
        <v>200</v>
      </c>
      <c r="M884">
        <f>IF(D884&lt;$A$15,0,1)</f>
        <v>1</v>
      </c>
    </row>
    <row r="885" spans="4:13" x14ac:dyDescent="0.2">
      <c r="D885">
        <f t="shared" si="49"/>
        <v>862</v>
      </c>
      <c r="E885" s="1">
        <f t="shared" si="47"/>
        <v>223.76661240572901</v>
      </c>
      <c r="F885" s="1">
        <f t="shared" si="50"/>
        <v>-42.559455748265862</v>
      </c>
      <c r="G885" s="1">
        <f t="shared" si="48"/>
        <v>3.2859671368978185E-19</v>
      </c>
      <c r="H885" s="1">
        <f>G885/$G$21</f>
        <v>2.3042337453790858E-20</v>
      </c>
      <c r="I885">
        <f>IF($E$11&lt;=D885, IF(D885&lt;=$A$15,D885-$E$11,$F$11),0)</f>
        <v>300</v>
      </c>
      <c r="J885">
        <f>IF(D885&lt;=$A$15,0,D885-$A$15)</f>
        <v>553</v>
      </c>
      <c r="K885" s="5">
        <f>IF(D885&lt;$E$11,H885,0)</f>
        <v>0</v>
      </c>
      <c r="L885">
        <f>IF(D885&lt;$A$15,$C$11,$C$11*(1-$G$11))</f>
        <v>200</v>
      </c>
      <c r="M885">
        <f>IF(D885&lt;$A$15,0,1)</f>
        <v>1</v>
      </c>
    </row>
    <row r="886" spans="4:13" x14ac:dyDescent="0.2">
      <c r="D886">
        <f t="shared" si="49"/>
        <v>863</v>
      </c>
      <c r="E886" s="1">
        <f t="shared" si="47"/>
        <v>223.68965136459289</v>
      </c>
      <c r="F886" s="1">
        <f t="shared" si="50"/>
        <v>-42.636416789401977</v>
      </c>
      <c r="G886" s="1">
        <f t="shared" si="48"/>
        <v>3.0425621637943151E-19</v>
      </c>
      <c r="H886" s="1">
        <f>G886/$G$21</f>
        <v>2.1335497642399216E-20</v>
      </c>
      <c r="I886">
        <f>IF($E$11&lt;=D886, IF(D886&lt;=$A$15,D886-$E$11,$F$11),0)</f>
        <v>300</v>
      </c>
      <c r="J886">
        <f>IF(D886&lt;=$A$15,0,D886-$A$15)</f>
        <v>554</v>
      </c>
      <c r="K886" s="5">
        <f>IF(D886&lt;$E$11,H886,0)</f>
        <v>0</v>
      </c>
      <c r="L886">
        <f>IF(D886&lt;$A$15,$C$11,$C$11*(1-$G$11))</f>
        <v>200</v>
      </c>
      <c r="M886">
        <f>IF(D886&lt;$A$15,0,1)</f>
        <v>1</v>
      </c>
    </row>
    <row r="887" spans="4:13" x14ac:dyDescent="0.2">
      <c r="D887">
        <f t="shared" si="49"/>
        <v>864</v>
      </c>
      <c r="E887" s="1">
        <f t="shared" si="47"/>
        <v>223.61269032345677</v>
      </c>
      <c r="F887" s="1">
        <f t="shared" si="50"/>
        <v>-42.713377830538093</v>
      </c>
      <c r="G887" s="1">
        <f t="shared" si="48"/>
        <v>2.8171871886984751E-19</v>
      </c>
      <c r="H887" s="1">
        <f>G887/$G$21</f>
        <v>1.975509040962915E-20</v>
      </c>
      <c r="I887">
        <f>IF($E$11&lt;=D887, IF(D887&lt;=$A$15,D887-$E$11,$F$11),0)</f>
        <v>300</v>
      </c>
      <c r="J887">
        <f>IF(D887&lt;=$A$15,0,D887-$A$15)</f>
        <v>555</v>
      </c>
      <c r="K887" s="5">
        <f>IF(D887&lt;$E$11,H887,0)</f>
        <v>0</v>
      </c>
      <c r="L887">
        <f>IF(D887&lt;$A$15,$C$11,$C$11*(1-$G$11))</f>
        <v>200</v>
      </c>
      <c r="M887">
        <f>IF(D887&lt;$A$15,0,1)</f>
        <v>1</v>
      </c>
    </row>
    <row r="888" spans="4:13" x14ac:dyDescent="0.2">
      <c r="D888">
        <f t="shared" si="49"/>
        <v>865</v>
      </c>
      <c r="E888" s="1">
        <f t="shared" si="47"/>
        <v>223.53572928232066</v>
      </c>
      <c r="F888" s="1">
        <f t="shared" si="50"/>
        <v>-42.790338871674209</v>
      </c>
      <c r="G888" s="1">
        <f t="shared" si="48"/>
        <v>2.6085066562023251E-19</v>
      </c>
      <c r="H888" s="1">
        <f>G888/$G$21</f>
        <v>1.8291750379286484E-20</v>
      </c>
      <c r="I888">
        <f>IF($E$11&lt;=D888, IF(D888&lt;=$A$15,D888-$E$11,$F$11),0)</f>
        <v>300</v>
      </c>
      <c r="J888">
        <f>IF(D888&lt;=$A$15,0,D888-$A$15)</f>
        <v>556</v>
      </c>
      <c r="K888" s="5">
        <f>IF(D888&lt;$E$11,H888,0)</f>
        <v>0</v>
      </c>
      <c r="L888">
        <f>IF(D888&lt;$A$15,$C$11,$C$11*(1-$G$11))</f>
        <v>200</v>
      </c>
      <c r="M888">
        <f>IF(D888&lt;$A$15,0,1)</f>
        <v>1</v>
      </c>
    </row>
    <row r="889" spans="4:13" x14ac:dyDescent="0.2">
      <c r="D889">
        <f t="shared" si="49"/>
        <v>866</v>
      </c>
      <c r="E889" s="1">
        <f t="shared" si="47"/>
        <v>223.45876824118454</v>
      </c>
      <c r="F889" s="1">
        <f t="shared" si="50"/>
        <v>-42.867299912810324</v>
      </c>
      <c r="G889" s="1">
        <f t="shared" si="48"/>
        <v>2.4152839409281093E-19</v>
      </c>
      <c r="H889" s="1">
        <f>G889/$G$21</f>
        <v>1.6936805906746958E-20</v>
      </c>
      <c r="I889">
        <f>IF($E$11&lt;=D889, IF(D889&lt;=$A$15,D889-$E$11,$F$11),0)</f>
        <v>300</v>
      </c>
      <c r="J889">
        <f>IF(D889&lt;=$A$15,0,D889-$A$15)</f>
        <v>557</v>
      </c>
      <c r="K889" s="5">
        <f>IF(D889&lt;$E$11,H889,0)</f>
        <v>0</v>
      </c>
      <c r="L889">
        <f>IF(D889&lt;$A$15,$C$11,$C$11*(1-$G$11))</f>
        <v>200</v>
      </c>
      <c r="M889">
        <f>IF(D889&lt;$A$15,0,1)</f>
        <v>1</v>
      </c>
    </row>
    <row r="890" spans="4:13" x14ac:dyDescent="0.2">
      <c r="D890">
        <f t="shared" si="49"/>
        <v>867</v>
      </c>
      <c r="E890" s="1">
        <f t="shared" si="47"/>
        <v>223.38180720004843</v>
      </c>
      <c r="F890" s="1">
        <f t="shared" si="50"/>
        <v>-42.94426095394644</v>
      </c>
      <c r="G890" s="1">
        <f t="shared" si="48"/>
        <v>2.236374019377907E-19</v>
      </c>
      <c r="H890" s="1">
        <f>G890/$G$21</f>
        <v>1.5682227691432565E-20</v>
      </c>
      <c r="I890">
        <f>IF($E$11&lt;=D890, IF(D890&lt;=$A$15,D890-$E$11,$F$11),0)</f>
        <v>300</v>
      </c>
      <c r="J890">
        <f>IF(D890&lt;=$A$15,0,D890-$A$15)</f>
        <v>558</v>
      </c>
      <c r="K890" s="5">
        <f>IF(D890&lt;$E$11,H890,0)</f>
        <v>0</v>
      </c>
      <c r="L890">
        <f>IF(D890&lt;$A$15,$C$11,$C$11*(1-$G$11))</f>
        <v>200</v>
      </c>
      <c r="M890">
        <f>IF(D890&lt;$A$15,0,1)</f>
        <v>1</v>
      </c>
    </row>
    <row r="891" spans="4:13" x14ac:dyDescent="0.2">
      <c r="D891">
        <f t="shared" si="49"/>
        <v>868</v>
      </c>
      <c r="E891" s="1">
        <f t="shared" si="47"/>
        <v>223.30484615891231</v>
      </c>
      <c r="F891" s="1">
        <f t="shared" si="50"/>
        <v>-43.021221995082556</v>
      </c>
      <c r="G891" s="1">
        <f t="shared" si="48"/>
        <v>2.0707166846091995E-19</v>
      </c>
      <c r="H891" s="1">
        <f>G891/$G$21</f>
        <v>1.4520581195771079E-20</v>
      </c>
      <c r="I891">
        <f>IF($E$11&lt;=D891, IF(D891&lt;=$A$15,D891-$E$11,$F$11),0)</f>
        <v>300</v>
      </c>
      <c r="J891">
        <f>IF(D891&lt;=$A$15,0,D891-$A$15)</f>
        <v>559</v>
      </c>
      <c r="K891" s="5">
        <f>IF(D891&lt;$E$11,H891,0)</f>
        <v>0</v>
      </c>
      <c r="L891">
        <f>IF(D891&lt;$A$15,$C$11,$C$11*(1-$G$11))</f>
        <v>200</v>
      </c>
      <c r="M891">
        <f>IF(D891&lt;$A$15,0,1)</f>
        <v>1</v>
      </c>
    </row>
    <row r="892" spans="4:13" x14ac:dyDescent="0.2">
      <c r="D892">
        <f t="shared" si="49"/>
        <v>869</v>
      </c>
      <c r="E892" s="1">
        <f t="shared" si="47"/>
        <v>223.2278851177762</v>
      </c>
      <c r="F892" s="1">
        <f t="shared" si="50"/>
        <v>-43.098183036218671</v>
      </c>
      <c r="G892" s="1">
        <f t="shared" si="48"/>
        <v>1.9173302635270609E-19</v>
      </c>
      <c r="H892" s="1">
        <f>G892/$G$21</f>
        <v>1.3444982588677094E-20</v>
      </c>
      <c r="I892">
        <f>IF($E$11&lt;=D892, IF(D892&lt;=$A$15,D892-$E$11,$F$11),0)</f>
        <v>300</v>
      </c>
      <c r="J892">
        <f>IF(D892&lt;=$A$15,0,D892-$A$15)</f>
        <v>560</v>
      </c>
      <c r="K892" s="5">
        <f>IF(D892&lt;$E$11,H892,0)</f>
        <v>0</v>
      </c>
      <c r="L892">
        <f>IF(D892&lt;$A$15,$C$11,$C$11*(1-$G$11))</f>
        <v>200</v>
      </c>
      <c r="M892">
        <f>IF(D892&lt;$A$15,0,1)</f>
        <v>1</v>
      </c>
    </row>
    <row r="893" spans="4:13" x14ac:dyDescent="0.2">
      <c r="D893">
        <f t="shared" si="49"/>
        <v>870</v>
      </c>
      <c r="E893" s="1">
        <f t="shared" si="47"/>
        <v>223.15092407664008</v>
      </c>
      <c r="F893" s="1">
        <f t="shared" si="50"/>
        <v>-43.175144077354787</v>
      </c>
      <c r="G893" s="1">
        <f t="shared" si="48"/>
        <v>1.7753057995621157E-19</v>
      </c>
      <c r="H893" s="1">
        <f>G893/$G$21</f>
        <v>1.2449057952478948E-20</v>
      </c>
      <c r="I893">
        <f>IF($E$11&lt;=D893, IF(D893&lt;=$A$15,D893-$E$11,$F$11),0)</f>
        <v>300</v>
      </c>
      <c r="J893">
        <f>IF(D893&lt;=$A$15,0,D893-$A$15)</f>
        <v>561</v>
      </c>
      <c r="K893" s="5">
        <f>IF(D893&lt;$E$11,H893,0)</f>
        <v>0</v>
      </c>
      <c r="L893">
        <f>IF(D893&lt;$A$15,$C$11,$C$11*(1-$G$11))</f>
        <v>200</v>
      </c>
      <c r="M893">
        <f>IF(D893&lt;$A$15,0,1)</f>
        <v>1</v>
      </c>
    </row>
    <row r="894" spans="4:13" x14ac:dyDescent="0.2">
      <c r="D894">
        <f t="shared" si="49"/>
        <v>871</v>
      </c>
      <c r="E894" s="1">
        <f t="shared" si="47"/>
        <v>223.07396303550397</v>
      </c>
      <c r="F894" s="1">
        <f t="shared" si="50"/>
        <v>-43.252105118490903</v>
      </c>
      <c r="G894" s="1">
        <f t="shared" si="48"/>
        <v>1.643801666261239E-19</v>
      </c>
      <c r="H894" s="1">
        <f>G894/$G$21</f>
        <v>1.1526905511554727E-20</v>
      </c>
      <c r="I894">
        <f>IF($E$11&lt;=D894, IF(D894&lt;=$A$15,D894-$E$11,$F$11),0)</f>
        <v>300</v>
      </c>
      <c r="J894">
        <f>IF(D894&lt;=$A$15,0,D894-$A$15)</f>
        <v>562</v>
      </c>
      <c r="K894" s="5">
        <f>IF(D894&lt;$E$11,H894,0)</f>
        <v>0</v>
      </c>
      <c r="L894">
        <f>IF(D894&lt;$A$15,$C$11,$C$11*(1-$G$11))</f>
        <v>200</v>
      </c>
      <c r="M894">
        <f>IF(D894&lt;$A$15,0,1)</f>
        <v>1</v>
      </c>
    </row>
    <row r="895" spans="4:13" x14ac:dyDescent="0.2">
      <c r="D895">
        <f t="shared" si="49"/>
        <v>872</v>
      </c>
      <c r="E895" s="1">
        <f t="shared" si="47"/>
        <v>222.99700199436785</v>
      </c>
      <c r="F895" s="1">
        <f t="shared" si="50"/>
        <v>-43.329066159627018</v>
      </c>
      <c r="G895" s="1">
        <f t="shared" si="48"/>
        <v>1.5220385798715369E-19</v>
      </c>
      <c r="H895" s="1">
        <f>G895/$G$21</f>
        <v>1.0673060658847104E-20</v>
      </c>
      <c r="I895">
        <f>IF($E$11&lt;=D895, IF(D895&lt;=$A$15,D895-$E$11,$F$11),0)</f>
        <v>300</v>
      </c>
      <c r="J895">
        <f>IF(D895&lt;=$A$15,0,D895-$A$15)</f>
        <v>563</v>
      </c>
      <c r="K895" s="5">
        <f>IF(D895&lt;$E$11,H895,0)</f>
        <v>0</v>
      </c>
      <c r="L895">
        <f>IF(D895&lt;$A$15,$C$11,$C$11*(1-$G$11))</f>
        <v>200</v>
      </c>
      <c r="M895">
        <f>IF(D895&lt;$A$15,0,1)</f>
        <v>1</v>
      </c>
    </row>
    <row r="896" spans="4:13" x14ac:dyDescent="0.2">
      <c r="D896">
        <f t="shared" si="49"/>
        <v>873</v>
      </c>
      <c r="E896" s="1">
        <f t="shared" si="47"/>
        <v>222.92004095323173</v>
      </c>
      <c r="F896" s="1">
        <f t="shared" si="50"/>
        <v>-43.406027200763134</v>
      </c>
      <c r="G896" s="1">
        <f t="shared" si="48"/>
        <v>1.4092949813625521E-19</v>
      </c>
      <c r="H896" s="1">
        <f>G896/$G$21</f>
        <v>9.8824635730067041E-21</v>
      </c>
      <c r="I896">
        <f>IF($E$11&lt;=D896, IF(D896&lt;=$A$15,D896-$E$11,$F$11),0)</f>
        <v>300</v>
      </c>
      <c r="J896">
        <f>IF(D896&lt;=$A$15,0,D896-$A$15)</f>
        <v>564</v>
      </c>
      <c r="K896" s="5">
        <f>IF(D896&lt;$E$11,H896,0)</f>
        <v>0</v>
      </c>
      <c r="L896">
        <f>IF(D896&lt;$A$15,$C$11,$C$11*(1-$G$11))</f>
        <v>200</v>
      </c>
      <c r="M896">
        <f>IF(D896&lt;$A$15,0,1)</f>
        <v>1</v>
      </c>
    </row>
    <row r="897" spans="4:13" x14ac:dyDescent="0.2">
      <c r="D897">
        <f t="shared" si="49"/>
        <v>874</v>
      </c>
      <c r="E897" s="1">
        <f t="shared" si="47"/>
        <v>222.84307991209562</v>
      </c>
      <c r="F897" s="1">
        <f t="shared" si="50"/>
        <v>-43.48298824189925</v>
      </c>
      <c r="G897" s="1">
        <f t="shared" si="48"/>
        <v>1.3049027605208979E-19</v>
      </c>
      <c r="H897" s="1">
        <f>G897/$G$21</f>
        <v>9.1504292342655805E-21</v>
      </c>
      <c r="I897">
        <f>IF($E$11&lt;=D897, IF(D897&lt;=$A$15,D897-$E$11,$F$11),0)</f>
        <v>300</v>
      </c>
      <c r="J897">
        <f>IF(D897&lt;=$A$15,0,D897-$A$15)</f>
        <v>565</v>
      </c>
      <c r="K897" s="5">
        <f>IF(D897&lt;$E$11,H897,0)</f>
        <v>0</v>
      </c>
      <c r="L897">
        <f>IF(D897&lt;$A$15,$C$11,$C$11*(1-$G$11))</f>
        <v>200</v>
      </c>
      <c r="M897">
        <f>IF(D897&lt;$A$15,0,1)</f>
        <v>1</v>
      </c>
    </row>
    <row r="898" spans="4:13" x14ac:dyDescent="0.2">
      <c r="D898">
        <f t="shared" si="49"/>
        <v>875</v>
      </c>
      <c r="E898" s="1">
        <f t="shared" si="47"/>
        <v>222.7661188709595</v>
      </c>
      <c r="F898" s="1">
        <f t="shared" si="50"/>
        <v>-43.559949283035365</v>
      </c>
      <c r="G898" s="1">
        <f t="shared" si="48"/>
        <v>1.2082432967786244E-19</v>
      </c>
      <c r="H898" s="1">
        <f>G898/$G$21</f>
        <v>8.4726196613571266E-21</v>
      </c>
      <c r="I898">
        <f>IF($E$11&lt;=D898, IF(D898&lt;=$A$15,D898-$E$11,$F$11),0)</f>
        <v>300</v>
      </c>
      <c r="J898">
        <f>IF(D898&lt;=$A$15,0,D898-$A$15)</f>
        <v>566</v>
      </c>
      <c r="K898" s="5">
        <f>IF(D898&lt;$E$11,H898,0)</f>
        <v>0</v>
      </c>
      <c r="L898">
        <f>IF(D898&lt;$A$15,$C$11,$C$11*(1-$G$11))</f>
        <v>200</v>
      </c>
      <c r="M898">
        <f>IF(D898&lt;$A$15,0,1)</f>
        <v>1</v>
      </c>
    </row>
    <row r="899" spans="4:13" x14ac:dyDescent="0.2">
      <c r="D899">
        <f t="shared" si="49"/>
        <v>876</v>
      </c>
      <c r="E899" s="1">
        <f t="shared" si="47"/>
        <v>222.68915782982339</v>
      </c>
      <c r="F899" s="1">
        <f t="shared" si="50"/>
        <v>-43.636910324171481</v>
      </c>
      <c r="G899" s="1">
        <f t="shared" si="48"/>
        <v>1.1187437933135554E-19</v>
      </c>
      <c r="H899" s="1">
        <f>G899/$G$21</f>
        <v>7.8450182049604024E-21</v>
      </c>
      <c r="I899">
        <f>IF($E$11&lt;=D899, IF(D899&lt;=$A$15,D899-$E$11,$F$11),0)</f>
        <v>300</v>
      </c>
      <c r="J899">
        <f>IF(D899&lt;=$A$15,0,D899-$A$15)</f>
        <v>567</v>
      </c>
      <c r="K899" s="5">
        <f>IF(D899&lt;$E$11,H899,0)</f>
        <v>0</v>
      </c>
      <c r="L899">
        <f>IF(D899&lt;$A$15,$C$11,$C$11*(1-$G$11))</f>
        <v>200</v>
      </c>
      <c r="M899">
        <f>IF(D899&lt;$A$15,0,1)</f>
        <v>1</v>
      </c>
    </row>
    <row r="900" spans="4:13" x14ac:dyDescent="0.2">
      <c r="D900">
        <f t="shared" si="49"/>
        <v>877</v>
      </c>
      <c r="E900" s="1">
        <f t="shared" ref="E900:F963" si="51">IF($G$11=1,IF(D900&lt;=$A$15, E899+LN($C$11)-LN(60/$D$11)-LN(MIN(D900,$E$11)), E899-LN(60/$D$11)-LN(MIN(D900,$E$11))), IF(D900&lt;=$A$15, E899+LN($C$11)-LN(60/$D$11)-LN(MIN(D900,$E$11)), E899+LN($C$11)+LN(1-$G$11)-LN(60/$D$11)-LN(MIN(D900,$E$11))))</f>
        <v>222.61219678868727</v>
      </c>
      <c r="F900" s="1">
        <f t="shared" si="50"/>
        <v>-43.713871365307597</v>
      </c>
      <c r="G900" s="1">
        <f t="shared" si="48"/>
        <v>1.0358738826977495E-19</v>
      </c>
      <c r="H900" s="1">
        <f>G900/$G$21</f>
        <v>7.2639057453337966E-21</v>
      </c>
      <c r="I900">
        <f>IF($E$11&lt;=D900, IF(D900&lt;=$A$15,D900-$E$11,$F$11),0)</f>
        <v>300</v>
      </c>
      <c r="J900">
        <f>IF(D900&lt;=$A$15,0,D900-$A$15)</f>
        <v>568</v>
      </c>
      <c r="K900" s="5">
        <f>IF(D900&lt;$E$11,H900,0)</f>
        <v>0</v>
      </c>
      <c r="L900">
        <f>IF(D900&lt;$A$15,$C$11,$C$11*(1-$G$11))</f>
        <v>200</v>
      </c>
      <c r="M900">
        <f>IF(D900&lt;$A$15,0,1)</f>
        <v>1</v>
      </c>
    </row>
    <row r="901" spans="4:13" x14ac:dyDescent="0.2">
      <c r="D901">
        <f t="shared" si="49"/>
        <v>878</v>
      </c>
      <c r="E901" s="1">
        <f t="shared" si="51"/>
        <v>222.53523574755116</v>
      </c>
      <c r="F901" s="1">
        <f t="shared" si="50"/>
        <v>-43.790832406443712</v>
      </c>
      <c r="G901" s="1">
        <f t="shared" si="48"/>
        <v>9.591424839794099E-20</v>
      </c>
      <c r="H901" s="1">
        <f>G901/$G$21</f>
        <v>6.7258386530869352E-21</v>
      </c>
      <c r="I901">
        <f>IF($E$11&lt;=D901, IF(D901&lt;=$A$15,D901-$E$11,$F$11),0)</f>
        <v>300</v>
      </c>
      <c r="J901">
        <f>IF(D901&lt;=$A$15,0,D901-$A$15)</f>
        <v>569</v>
      </c>
      <c r="K901" s="5">
        <f>IF(D901&lt;$E$11,H901,0)</f>
        <v>0</v>
      </c>
      <c r="L901">
        <f>IF(D901&lt;$A$15,$C$11,$C$11*(1-$G$11))</f>
        <v>200</v>
      </c>
      <c r="M901">
        <f>IF(D901&lt;$A$15,0,1)</f>
        <v>1</v>
      </c>
    </row>
    <row r="902" spans="4:13" x14ac:dyDescent="0.2">
      <c r="D902">
        <f t="shared" si="49"/>
        <v>879</v>
      </c>
      <c r="E902" s="1">
        <f t="shared" si="51"/>
        <v>222.45827470641504</v>
      </c>
      <c r="F902" s="1">
        <f t="shared" si="50"/>
        <v>-43.867793447579828</v>
      </c>
      <c r="G902" s="1">
        <f t="shared" si="48"/>
        <v>8.880948925735389E-20</v>
      </c>
      <c r="H902" s="1">
        <f>G902/$G$21</f>
        <v>6.2276283824879814E-21</v>
      </c>
      <c r="I902">
        <f>IF($E$11&lt;=D902, IF(D902&lt;=$A$15,D902-$E$11,$F$11),0)</f>
        <v>300</v>
      </c>
      <c r="J902">
        <f>IF(D902&lt;=$A$15,0,D902-$A$15)</f>
        <v>570</v>
      </c>
      <c r="K902" s="5">
        <f>IF(D902&lt;$E$11,H902,0)</f>
        <v>0</v>
      </c>
      <c r="L902">
        <f>IF(D902&lt;$A$15,$C$11,$C$11*(1-$G$11))</f>
        <v>200</v>
      </c>
      <c r="M902">
        <f>IF(D902&lt;$A$15,0,1)</f>
        <v>1</v>
      </c>
    </row>
    <row r="903" spans="4:13" x14ac:dyDescent="0.2">
      <c r="D903">
        <f t="shared" si="49"/>
        <v>880</v>
      </c>
      <c r="E903" s="1">
        <f t="shared" si="51"/>
        <v>222.38131366527892</v>
      </c>
      <c r="F903" s="1">
        <f t="shared" si="50"/>
        <v>-43.944754488715944</v>
      </c>
      <c r="G903" s="1">
        <f t="shared" si="48"/>
        <v>8.2231008571625006E-20</v>
      </c>
      <c r="H903" s="1">
        <f>G903/$G$21</f>
        <v>5.7663225763778327E-21</v>
      </c>
      <c r="I903">
        <f>IF($E$11&lt;=D903, IF(D903&lt;=$A$15,D903-$E$11,$F$11),0)</f>
        <v>300</v>
      </c>
      <c r="J903">
        <f>IF(D903&lt;=$A$15,0,D903-$A$15)</f>
        <v>571</v>
      </c>
      <c r="K903" s="5">
        <f>IF(D903&lt;$E$11,H903,0)</f>
        <v>0</v>
      </c>
      <c r="L903">
        <f>IF(D903&lt;$A$15,$C$11,$C$11*(1-$G$11))</f>
        <v>200</v>
      </c>
      <c r="M903">
        <f>IF(D903&lt;$A$15,0,1)</f>
        <v>1</v>
      </c>
    </row>
    <row r="904" spans="4:13" x14ac:dyDescent="0.2">
      <c r="D904">
        <f t="shared" si="49"/>
        <v>881</v>
      </c>
      <c r="E904" s="1">
        <f t="shared" si="51"/>
        <v>222.30435262414281</v>
      </c>
      <c r="F904" s="1">
        <f t="shared" si="50"/>
        <v>-44.021715529852059</v>
      </c>
      <c r="G904" s="1">
        <f t="shared" si="48"/>
        <v>7.61398227515056E-20</v>
      </c>
      <c r="H904" s="1">
        <f>G904/$G$21</f>
        <v>5.3391875707202833E-21</v>
      </c>
      <c r="I904">
        <f>IF($E$11&lt;=D904, IF(D904&lt;=$A$15,D904-$E$11,$F$11),0)</f>
        <v>300</v>
      </c>
      <c r="J904">
        <f>IF(D904&lt;=$A$15,0,D904-$A$15)</f>
        <v>572</v>
      </c>
      <c r="K904" s="5">
        <f>IF(D904&lt;$E$11,H904,0)</f>
        <v>0</v>
      </c>
      <c r="L904">
        <f>IF(D904&lt;$A$15,$C$11,$C$11*(1-$G$11))</f>
        <v>200</v>
      </c>
      <c r="M904">
        <f>IF(D904&lt;$A$15,0,1)</f>
        <v>1</v>
      </c>
    </row>
    <row r="905" spans="4:13" x14ac:dyDescent="0.2">
      <c r="D905">
        <f t="shared" si="49"/>
        <v>882</v>
      </c>
      <c r="E905" s="1">
        <f t="shared" si="51"/>
        <v>222.22739158300669</v>
      </c>
      <c r="F905" s="1">
        <f t="shared" si="50"/>
        <v>-44.098676570988175</v>
      </c>
      <c r="G905" s="1">
        <f t="shared" si="48"/>
        <v>7.0499835881024597E-20</v>
      </c>
      <c r="H905" s="1">
        <f>G905/$G$21</f>
        <v>4.9436921951114365E-21</v>
      </c>
      <c r="I905">
        <f>IF($E$11&lt;=D905, IF(D905&lt;=$A$15,D905-$E$11,$F$11),0)</f>
        <v>300</v>
      </c>
      <c r="J905">
        <f>IF(D905&lt;=$A$15,0,D905-$A$15)</f>
        <v>573</v>
      </c>
      <c r="K905" s="5">
        <f>IF(D905&lt;$E$11,H905,0)</f>
        <v>0</v>
      </c>
      <c r="L905">
        <f>IF(D905&lt;$A$15,$C$11,$C$11*(1-$G$11))</f>
        <v>200</v>
      </c>
      <c r="M905">
        <f>IF(D905&lt;$A$15,0,1)</f>
        <v>1</v>
      </c>
    </row>
    <row r="906" spans="4:13" x14ac:dyDescent="0.2">
      <c r="D906">
        <f t="shared" si="49"/>
        <v>883</v>
      </c>
      <c r="E906" s="1">
        <f t="shared" si="51"/>
        <v>222.15043054187058</v>
      </c>
      <c r="F906" s="1">
        <f t="shared" si="50"/>
        <v>-44.175637612124291</v>
      </c>
      <c r="G906" s="1">
        <f t="shared" si="48"/>
        <v>6.5277625815764336E-20</v>
      </c>
      <c r="H906" s="1">
        <f>G906/$G$21</f>
        <v>4.5774927732513874E-21</v>
      </c>
      <c r="I906">
        <f>IF($E$11&lt;=D906, IF(D906&lt;=$A$15,D906-$E$11,$F$11),0)</f>
        <v>300</v>
      </c>
      <c r="J906">
        <f>IF(D906&lt;=$A$15,0,D906-$A$15)</f>
        <v>574</v>
      </c>
      <c r="K906" s="5">
        <f>IF(D906&lt;$E$11,H906,0)</f>
        <v>0</v>
      </c>
      <c r="L906">
        <f>IF(D906&lt;$A$15,$C$11,$C$11*(1-$G$11))</f>
        <v>200</v>
      </c>
      <c r="M906">
        <f>IF(D906&lt;$A$15,0,1)</f>
        <v>1</v>
      </c>
    </row>
    <row r="907" spans="4:13" x14ac:dyDescent="0.2">
      <c r="D907">
        <f t="shared" si="49"/>
        <v>884</v>
      </c>
      <c r="E907" s="1">
        <f t="shared" si="51"/>
        <v>222.07346950073446</v>
      </c>
      <c r="F907" s="1">
        <f t="shared" si="50"/>
        <v>-44.252598653260407</v>
      </c>
      <c r="G907" s="1">
        <f t="shared" si="48"/>
        <v>6.0442246125708481E-20</v>
      </c>
      <c r="H907" s="1">
        <f>G907/$G$21</f>
        <v>4.2384192344920786E-21</v>
      </c>
      <c r="I907">
        <f>IF($E$11&lt;=D907, IF(D907&lt;=$A$15,D907-$E$11,$F$11),0)</f>
        <v>300</v>
      </c>
      <c r="J907">
        <f>IF(D907&lt;=$A$15,0,D907-$A$15)</f>
        <v>575</v>
      </c>
      <c r="K907" s="5">
        <f>IF(D907&lt;$E$11,H907,0)</f>
        <v>0</v>
      </c>
      <c r="L907">
        <f>IF(D907&lt;$A$15,$C$11,$C$11*(1-$G$11))</f>
        <v>200</v>
      </c>
      <c r="M907">
        <f>IF(D907&lt;$A$15,0,1)</f>
        <v>1</v>
      </c>
    </row>
    <row r="908" spans="4:13" x14ac:dyDescent="0.2">
      <c r="D908">
        <f t="shared" si="49"/>
        <v>885</v>
      </c>
      <c r="E908" s="1">
        <f t="shared" si="51"/>
        <v>221.99650845959835</v>
      </c>
      <c r="F908" s="1">
        <f t="shared" si="50"/>
        <v>-44.329559694396522</v>
      </c>
      <c r="G908" s="1">
        <f t="shared" si="48"/>
        <v>5.5965042708990051E-20</v>
      </c>
      <c r="H908" s="1">
        <f>G908/$G$21</f>
        <v>3.9244622541593824E-21</v>
      </c>
      <c r="I908">
        <f>IF($E$11&lt;=D908, IF(D908&lt;=$A$15,D908-$E$11,$F$11),0)</f>
        <v>300</v>
      </c>
      <c r="J908">
        <f>IF(D908&lt;=$A$15,0,D908-$A$15)</f>
        <v>576</v>
      </c>
      <c r="K908" s="5">
        <f>IF(D908&lt;$E$11,H908,0)</f>
        <v>0</v>
      </c>
      <c r="L908">
        <f>IF(D908&lt;$A$15,$C$11,$C$11*(1-$G$11))</f>
        <v>200</v>
      </c>
      <c r="M908">
        <f>IF(D908&lt;$A$15,0,1)</f>
        <v>1</v>
      </c>
    </row>
    <row r="909" spans="4:13" x14ac:dyDescent="0.2">
      <c r="D909">
        <f t="shared" si="49"/>
        <v>886</v>
      </c>
      <c r="E909" s="1">
        <f t="shared" si="51"/>
        <v>221.91954741846223</v>
      </c>
      <c r="F909" s="1">
        <f t="shared" si="50"/>
        <v>-44.406520735532638</v>
      </c>
      <c r="G909" s="1">
        <f t="shared" si="48"/>
        <v>5.1819483989806255E-20</v>
      </c>
      <c r="H909" s="1">
        <f>G909/$G$21</f>
        <v>3.6337613464439184E-21</v>
      </c>
      <c r="I909">
        <f>IF($E$11&lt;=D909, IF(D909&lt;=$A$15,D909-$E$11,$F$11),0)</f>
        <v>300</v>
      </c>
      <c r="J909">
        <f>IF(D909&lt;=$A$15,0,D909-$A$15)</f>
        <v>577</v>
      </c>
      <c r="K909" s="5">
        <f>IF(D909&lt;$E$11,H909,0)</f>
        <v>0</v>
      </c>
      <c r="L909">
        <f>IF(D909&lt;$A$15,$C$11,$C$11*(1-$G$11))</f>
        <v>200</v>
      </c>
      <c r="M909">
        <f>IF(D909&lt;$A$15,0,1)</f>
        <v>1</v>
      </c>
    </row>
    <row r="910" spans="4:13" x14ac:dyDescent="0.2">
      <c r="D910">
        <f t="shared" si="49"/>
        <v>887</v>
      </c>
      <c r="E910" s="1">
        <f t="shared" si="51"/>
        <v>221.84258637732611</v>
      </c>
      <c r="F910" s="1">
        <f t="shared" si="50"/>
        <v>-44.483481776668754</v>
      </c>
      <c r="G910" s="1">
        <f t="shared" si="48"/>
        <v>4.7981003694265657E-20</v>
      </c>
      <c r="H910" s="1">
        <f>G910/$G$21</f>
        <v>3.364593839299967E-21</v>
      </c>
      <c r="I910">
        <f>IF($E$11&lt;=D910, IF(D910&lt;=$A$15,D910-$E$11,$F$11),0)</f>
        <v>300</v>
      </c>
      <c r="J910">
        <f>IF(D910&lt;=$A$15,0,D910-$A$15)</f>
        <v>578</v>
      </c>
      <c r="K910" s="5">
        <f>IF(D910&lt;$E$11,H910,0)</f>
        <v>0</v>
      </c>
      <c r="L910">
        <f>IF(D910&lt;$A$15,$C$11,$C$11*(1-$G$11))</f>
        <v>200</v>
      </c>
      <c r="M910">
        <f>IF(D910&lt;$A$15,0,1)</f>
        <v>1</v>
      </c>
    </row>
    <row r="911" spans="4:13" x14ac:dyDescent="0.2">
      <c r="D911">
        <f t="shared" si="49"/>
        <v>888</v>
      </c>
      <c r="E911" s="1">
        <f t="shared" si="51"/>
        <v>221.76562533619</v>
      </c>
      <c r="F911" s="1">
        <f t="shared" si="50"/>
        <v>-44.560442817804869</v>
      </c>
      <c r="G911" s="1">
        <f t="shared" si="48"/>
        <v>4.4426855272468763E-20</v>
      </c>
      <c r="H911" s="1">
        <f>G911/$G$21</f>
        <v>3.1153646660185274E-21</v>
      </c>
      <c r="I911">
        <f>IF($E$11&lt;=D911, IF(D911&lt;=$A$15,D911-$E$11,$F$11),0)</f>
        <v>300</v>
      </c>
      <c r="J911">
        <f>IF(D911&lt;=$A$15,0,D911-$A$15)</f>
        <v>579</v>
      </c>
      <c r="K911" s="5">
        <f>IF(D911&lt;$E$11,H911,0)</f>
        <v>0</v>
      </c>
      <c r="L911">
        <f>IF(D911&lt;$A$15,$C$11,$C$11*(1-$G$11))</f>
        <v>200</v>
      </c>
      <c r="M911">
        <f>IF(D911&lt;$A$15,0,1)</f>
        <v>1</v>
      </c>
    </row>
    <row r="912" spans="4:13" x14ac:dyDescent="0.2">
      <c r="D912">
        <f t="shared" si="49"/>
        <v>889</v>
      </c>
      <c r="E912" s="1">
        <f t="shared" si="51"/>
        <v>221.68866429505388</v>
      </c>
      <c r="F912" s="1">
        <f t="shared" si="50"/>
        <v>-44.637403858940985</v>
      </c>
      <c r="G912" s="1">
        <f t="shared" si="48"/>
        <v>4.1135977104138261E-20</v>
      </c>
      <c r="H912" s="1">
        <f>G912/$G$21</f>
        <v>2.884596912980154E-21</v>
      </c>
      <c r="I912">
        <f>IF($E$11&lt;=D912, IF(D912&lt;=$A$15,D912-$E$11,$F$11),0)</f>
        <v>300</v>
      </c>
      <c r="J912">
        <f>IF(D912&lt;=$A$15,0,D912-$A$15)</f>
        <v>580</v>
      </c>
      <c r="K912" s="5">
        <f>IF(D912&lt;$E$11,H912,0)</f>
        <v>0</v>
      </c>
      <c r="L912">
        <f>IF(D912&lt;$A$15,$C$11,$C$11*(1-$G$11))</f>
        <v>200</v>
      </c>
      <c r="M912">
        <f>IF(D912&lt;$A$15,0,1)</f>
        <v>1</v>
      </c>
    </row>
    <row r="913" spans="4:13" x14ac:dyDescent="0.2">
      <c r="D913">
        <f t="shared" si="49"/>
        <v>890</v>
      </c>
      <c r="E913" s="1">
        <f t="shared" si="51"/>
        <v>221.61170325391777</v>
      </c>
      <c r="F913" s="1">
        <f t="shared" si="50"/>
        <v>-44.714364900077101</v>
      </c>
      <c r="G913" s="1">
        <f t="shared" si="48"/>
        <v>3.8088867689017389E-20</v>
      </c>
      <c r="H913" s="1">
        <f>G913/$G$21</f>
        <v>2.6709230675742506E-21</v>
      </c>
      <c r="I913">
        <f>IF($E$11&lt;=D913, IF(D913&lt;=$A$15,D913-$E$11,$F$11),0)</f>
        <v>300</v>
      </c>
      <c r="J913">
        <f>IF(D913&lt;=$A$15,0,D913-$A$15)</f>
        <v>581</v>
      </c>
      <c r="K913" s="5">
        <f>IF(D913&lt;$E$11,H913,0)</f>
        <v>0</v>
      </c>
      <c r="L913">
        <f>IF(D913&lt;$A$15,$C$11,$C$11*(1-$G$11))</f>
        <v>200</v>
      </c>
      <c r="M913">
        <f>IF(D913&lt;$A$15,0,1)</f>
        <v>1</v>
      </c>
    </row>
    <row r="914" spans="4:13" x14ac:dyDescent="0.2">
      <c r="D914">
        <f t="shared" si="49"/>
        <v>891</v>
      </c>
      <c r="E914" s="1">
        <f t="shared" si="51"/>
        <v>221.53474221278165</v>
      </c>
      <c r="F914" s="1">
        <f t="shared" si="50"/>
        <v>-44.791325941213216</v>
      </c>
      <c r="G914" s="1">
        <f t="shared" si="48"/>
        <v>3.5267470082423958E-20</v>
      </c>
      <c r="H914" s="1">
        <f>G914/$G$21</f>
        <v>2.4730769144206338E-21</v>
      </c>
      <c r="I914">
        <f>IF($E$11&lt;=D914, IF(D914&lt;=$A$15,D914-$E$11,$F$11),0)</f>
        <v>300</v>
      </c>
      <c r="J914">
        <f>IF(D914&lt;=$A$15,0,D914-$A$15)</f>
        <v>582</v>
      </c>
      <c r="K914" s="5">
        <f>IF(D914&lt;$E$11,H914,0)</f>
        <v>0</v>
      </c>
      <c r="L914">
        <f>IF(D914&lt;$A$15,$C$11,$C$11*(1-$G$11))</f>
        <v>200</v>
      </c>
      <c r="M914">
        <f>IF(D914&lt;$A$15,0,1)</f>
        <v>1</v>
      </c>
    </row>
    <row r="915" spans="4:13" x14ac:dyDescent="0.2">
      <c r="D915">
        <f t="shared" si="49"/>
        <v>892</v>
      </c>
      <c r="E915" s="1">
        <f t="shared" si="51"/>
        <v>221.45778117164554</v>
      </c>
      <c r="F915" s="1">
        <f t="shared" si="50"/>
        <v>-44.868286982349332</v>
      </c>
      <c r="G915" s="1">
        <f t="shared" si="48"/>
        <v>3.2655064891133703E-20</v>
      </c>
      <c r="H915" s="1">
        <f>G915/$G$21</f>
        <v>2.2898860318709858E-21</v>
      </c>
      <c r="I915">
        <f>IF($E$11&lt;=D915, IF(D915&lt;=$A$15,D915-$E$11,$F$11),0)</f>
        <v>300</v>
      </c>
      <c r="J915">
        <f>IF(D915&lt;=$A$15,0,D915-$A$15)</f>
        <v>583</v>
      </c>
      <c r="K915" s="5">
        <f>IF(D915&lt;$E$11,H915,0)</f>
        <v>0</v>
      </c>
      <c r="L915">
        <f>IF(D915&lt;$A$15,$C$11,$C$11*(1-$G$11))</f>
        <v>200</v>
      </c>
      <c r="M915">
        <f>IF(D915&lt;$A$15,0,1)</f>
        <v>1</v>
      </c>
    </row>
    <row r="916" spans="4:13" x14ac:dyDescent="0.2">
      <c r="D916">
        <f t="shared" si="49"/>
        <v>893</v>
      </c>
      <c r="E916" s="1">
        <f t="shared" si="51"/>
        <v>221.38082013050942</v>
      </c>
      <c r="F916" s="1">
        <f t="shared" si="50"/>
        <v>-44.945248023485448</v>
      </c>
      <c r="G916" s="1">
        <f t="shared" si="48"/>
        <v>3.0236171195494556E-20</v>
      </c>
      <c r="H916" s="1">
        <f>G916/$G$21</f>
        <v>2.120264844325014E-21</v>
      </c>
      <c r="I916">
        <f>IF($E$11&lt;=D916, IF(D916&lt;=$A$15,D916-$E$11,$F$11),0)</f>
        <v>300</v>
      </c>
      <c r="J916">
        <f>IF(D916&lt;=$A$15,0,D916-$A$15)</f>
        <v>584</v>
      </c>
      <c r="K916" s="5">
        <f>IF(D916&lt;$E$11,H916,0)</f>
        <v>0</v>
      </c>
      <c r="L916">
        <f>IF(D916&lt;$A$15,$C$11,$C$11*(1-$G$11))</f>
        <v>200</v>
      </c>
      <c r="M916">
        <f>IF(D916&lt;$A$15,0,1)</f>
        <v>1</v>
      </c>
    </row>
    <row r="917" spans="4:13" x14ac:dyDescent="0.2">
      <c r="D917">
        <f t="shared" si="49"/>
        <v>894</v>
      </c>
      <c r="E917" s="1">
        <f t="shared" si="51"/>
        <v>221.3038590893733</v>
      </c>
      <c r="F917" s="1">
        <f t="shared" si="50"/>
        <v>-45.022209064621563</v>
      </c>
      <c r="G917" s="1">
        <f t="shared" si="48"/>
        <v>2.7996454810643462E-20</v>
      </c>
      <c r="H917" s="1">
        <f>G917/$G$21</f>
        <v>1.9632081891898528E-21</v>
      </c>
      <c r="I917">
        <f>IF($E$11&lt;=D917, IF(D917&lt;=$A$15,D917-$E$11,$F$11),0)</f>
        <v>300</v>
      </c>
      <c r="J917">
        <f>IF(D917&lt;=$A$15,0,D917-$A$15)</f>
        <v>585</v>
      </c>
      <c r="K917" s="5">
        <f>IF(D917&lt;$E$11,H917,0)</f>
        <v>0</v>
      </c>
      <c r="L917">
        <f>IF(D917&lt;$A$15,$C$11,$C$11*(1-$G$11))</f>
        <v>200</v>
      </c>
      <c r="M917">
        <f>IF(D917&lt;$A$15,0,1)</f>
        <v>1</v>
      </c>
    </row>
    <row r="918" spans="4:13" x14ac:dyDescent="0.2">
      <c r="D918">
        <f t="shared" si="49"/>
        <v>895</v>
      </c>
      <c r="E918" s="1">
        <f t="shared" si="51"/>
        <v>221.22689804823719</v>
      </c>
      <c r="F918" s="1">
        <f t="shared" si="50"/>
        <v>-45.099170105757679</v>
      </c>
      <c r="G918" s="1">
        <f t="shared" si="48"/>
        <v>2.5922643343188716E-20</v>
      </c>
      <c r="H918" s="1">
        <f>G918/$G$21</f>
        <v>1.8177853603609977E-21</v>
      </c>
      <c r="I918">
        <f>IF($E$11&lt;=D918, IF(D918&lt;=$A$15,D918-$E$11,$F$11),0)</f>
        <v>300</v>
      </c>
      <c r="J918">
        <f>IF(D918&lt;=$A$15,0,D918-$A$15)</f>
        <v>586</v>
      </c>
      <c r="K918" s="5">
        <f>IF(D918&lt;$E$11,H918,0)</f>
        <v>0</v>
      </c>
      <c r="L918">
        <f>IF(D918&lt;$A$15,$C$11,$C$11*(1-$G$11))</f>
        <v>200</v>
      </c>
      <c r="M918">
        <f>IF(D918&lt;$A$15,0,1)</f>
        <v>1</v>
      </c>
    </row>
    <row r="919" spans="4:13" x14ac:dyDescent="0.2">
      <c r="D919">
        <f t="shared" si="49"/>
        <v>896</v>
      </c>
      <c r="E919" s="1">
        <f t="shared" si="51"/>
        <v>221.14993700710107</v>
      </c>
      <c r="F919" s="1">
        <f t="shared" si="50"/>
        <v>-45.176131146893795</v>
      </c>
      <c r="G919" s="1">
        <f t="shared" si="48"/>
        <v>2.4002447539989855E-20</v>
      </c>
      <c r="H919" s="1">
        <f>G919/$G$21</f>
        <v>1.6831345929268708E-21</v>
      </c>
      <c r="I919">
        <f>IF($E$11&lt;=D919, IF(D919&lt;=$A$15,D919-$E$11,$F$11),0)</f>
        <v>300</v>
      </c>
      <c r="J919">
        <f>IF(D919&lt;=$A$15,0,D919-$A$15)</f>
        <v>587</v>
      </c>
      <c r="K919" s="5">
        <f>IF(D919&lt;$E$11,H919,0)</f>
        <v>0</v>
      </c>
      <c r="L919">
        <f>IF(D919&lt;$A$15,$C$11,$C$11*(1-$G$11))</f>
        <v>200</v>
      </c>
      <c r="M919">
        <f>IF(D919&lt;$A$15,0,1)</f>
        <v>1</v>
      </c>
    </row>
    <row r="920" spans="4:13" x14ac:dyDescent="0.2">
      <c r="D920">
        <f t="shared" si="49"/>
        <v>897</v>
      </c>
      <c r="E920" s="1">
        <f t="shared" si="51"/>
        <v>221.07297596596496</v>
      </c>
      <c r="F920" s="1">
        <f t="shared" si="50"/>
        <v>-45.25309218802991</v>
      </c>
      <c r="G920" s="1">
        <f t="shared" ref="G920:G983" si="52">EXP(F920)</f>
        <v>2.222448846295385E-20</v>
      </c>
      <c r="H920" s="1">
        <f>G920/$G$21</f>
        <v>1.558457956413789E-21</v>
      </c>
      <c r="I920">
        <f>IF($E$11&lt;=D920, IF(D920&lt;=$A$15,D920-$E$11,$F$11),0)</f>
        <v>300</v>
      </c>
      <c r="J920">
        <f>IF(D920&lt;=$A$15,0,D920-$A$15)</f>
        <v>588</v>
      </c>
      <c r="K920" s="5">
        <f>IF(D920&lt;$E$11,H920,0)</f>
        <v>0</v>
      </c>
      <c r="L920">
        <f>IF(D920&lt;$A$15,$C$11,$C$11*(1-$G$11))</f>
        <v>200</v>
      </c>
      <c r="M920">
        <f>IF(D920&lt;$A$15,0,1)</f>
        <v>1</v>
      </c>
    </row>
    <row r="921" spans="4:13" x14ac:dyDescent="0.2">
      <c r="D921">
        <f t="shared" ref="D921:D984" si="53">1+D920</f>
        <v>898</v>
      </c>
      <c r="E921" s="1">
        <f t="shared" si="51"/>
        <v>220.99601492482884</v>
      </c>
      <c r="F921" s="1">
        <f t="shared" ref="F921:F984" si="54">E921-$E$21</f>
        <v>-45.330053229166026</v>
      </c>
      <c r="G921" s="1">
        <f t="shared" si="52"/>
        <v>2.0578230058290863E-20</v>
      </c>
      <c r="H921" s="1">
        <f>G921/$G$21</f>
        <v>1.4430166263090822E-21</v>
      </c>
      <c r="I921">
        <f>IF($E$11&lt;=D921, IF(D921&lt;=$A$15,D921-$E$11,$F$11),0)</f>
        <v>300</v>
      </c>
      <c r="J921">
        <f>IF(D921&lt;=$A$15,0,D921-$A$15)</f>
        <v>589</v>
      </c>
      <c r="K921" s="5">
        <f>IF(D921&lt;$E$11,H921,0)</f>
        <v>0</v>
      </c>
      <c r="L921">
        <f>IF(D921&lt;$A$15,$C$11,$C$11*(1-$G$11))</f>
        <v>200</v>
      </c>
      <c r="M921">
        <f>IF(D921&lt;$A$15,0,1)</f>
        <v>1</v>
      </c>
    </row>
    <row r="922" spans="4:13" x14ac:dyDescent="0.2">
      <c r="D922">
        <f t="shared" si="53"/>
        <v>899</v>
      </c>
      <c r="E922" s="1">
        <f t="shared" si="51"/>
        <v>220.91905388369273</v>
      </c>
      <c r="F922" s="1">
        <f t="shared" si="54"/>
        <v>-45.407014270302142</v>
      </c>
      <c r="G922" s="1">
        <f t="shared" si="52"/>
        <v>1.9053916720639928E-20</v>
      </c>
      <c r="H922" s="1">
        <f>G922/$G$21</f>
        <v>1.3361265058417596E-21</v>
      </c>
      <c r="I922">
        <f>IF($E$11&lt;=D922, IF(D922&lt;=$A$15,D922-$E$11,$F$11),0)</f>
        <v>300</v>
      </c>
      <c r="J922">
        <f>IF(D922&lt;=$A$15,0,D922-$A$15)</f>
        <v>590</v>
      </c>
      <c r="K922" s="5">
        <f>IF(D922&lt;$E$11,H922,0)</f>
        <v>0</v>
      </c>
      <c r="L922">
        <f>IF(D922&lt;$A$15,$C$11,$C$11*(1-$G$11))</f>
        <v>200</v>
      </c>
      <c r="M922">
        <f>IF(D922&lt;$A$15,0,1)</f>
        <v>1</v>
      </c>
    </row>
    <row r="923" spans="4:13" x14ac:dyDescent="0.2">
      <c r="D923">
        <f t="shared" si="53"/>
        <v>900</v>
      </c>
      <c r="E923" s="1">
        <f t="shared" si="51"/>
        <v>220.84209284255661</v>
      </c>
      <c r="F923" s="1">
        <f t="shared" si="54"/>
        <v>-45.483975311438257</v>
      </c>
      <c r="G923" s="1">
        <f t="shared" si="52"/>
        <v>1.7642515482074232E-20</v>
      </c>
      <c r="H923" s="1">
        <f>G923/$G$21</f>
        <v>1.2371541720757191E-21</v>
      </c>
      <c r="I923">
        <f>IF($E$11&lt;=D923, IF(D923&lt;=$A$15,D923-$E$11,$F$11),0)</f>
        <v>300</v>
      </c>
      <c r="J923">
        <f>IF(D923&lt;=$A$15,0,D923-$A$15)</f>
        <v>591</v>
      </c>
      <c r="K923" s="5">
        <f>IF(D923&lt;$E$11,H923,0)</f>
        <v>0</v>
      </c>
      <c r="L923">
        <f>IF(D923&lt;$A$15,$C$11,$C$11*(1-$G$11))</f>
        <v>200</v>
      </c>
      <c r="M923">
        <f>IF(D923&lt;$A$15,0,1)</f>
        <v>1</v>
      </c>
    </row>
    <row r="924" spans="4:13" x14ac:dyDescent="0.2">
      <c r="D924">
        <f t="shared" si="53"/>
        <v>901</v>
      </c>
      <c r="E924" s="1">
        <f t="shared" si="51"/>
        <v>220.76513180142049</v>
      </c>
      <c r="F924" s="1">
        <f t="shared" si="54"/>
        <v>-45.560936352574373</v>
      </c>
      <c r="G924" s="1">
        <f t="shared" si="52"/>
        <v>1.6335662483402272E-20</v>
      </c>
      <c r="H924" s="1">
        <f>G924/$G$21</f>
        <v>1.1455131222923469E-21</v>
      </c>
      <c r="I924">
        <f>IF($E$11&lt;=D924, IF(D924&lt;=$A$15,D924-$E$11,$F$11),0)</f>
        <v>300</v>
      </c>
      <c r="J924">
        <f>IF(D924&lt;=$A$15,0,D924-$A$15)</f>
        <v>592</v>
      </c>
      <c r="K924" s="5">
        <f>IF(D924&lt;$E$11,H924,0)</f>
        <v>0</v>
      </c>
      <c r="L924">
        <f>IF(D924&lt;$A$15,$C$11,$C$11*(1-$G$11))</f>
        <v>200</v>
      </c>
      <c r="M924">
        <f>IF(D924&lt;$A$15,0,1)</f>
        <v>1</v>
      </c>
    </row>
    <row r="925" spans="4:13" x14ac:dyDescent="0.2">
      <c r="D925">
        <f t="shared" si="53"/>
        <v>902</v>
      </c>
      <c r="E925" s="1">
        <f t="shared" si="51"/>
        <v>220.68817076028438</v>
      </c>
      <c r="F925" s="1">
        <f t="shared" si="54"/>
        <v>-45.637897393710489</v>
      </c>
      <c r="G925" s="1">
        <f t="shared" si="52"/>
        <v>1.5125613410557852E-20</v>
      </c>
      <c r="H925" s="1">
        <f>G925/$G$21</f>
        <v>1.0606602984188532E-21</v>
      </c>
      <c r="I925">
        <f>IF($E$11&lt;=D925, IF(D925&lt;=$A$15,D925-$E$11,$F$11),0)</f>
        <v>300</v>
      </c>
      <c r="J925">
        <f>IF(D925&lt;=$A$15,0,D925-$A$15)</f>
        <v>593</v>
      </c>
      <c r="K925" s="5">
        <f>IF(D925&lt;$E$11,H925,0)</f>
        <v>0</v>
      </c>
      <c r="L925">
        <f>IF(D925&lt;$A$15,$C$11,$C$11*(1-$G$11))</f>
        <v>200</v>
      </c>
      <c r="M925">
        <f>IF(D925&lt;$A$15,0,1)</f>
        <v>1</v>
      </c>
    </row>
    <row r="926" spans="4:13" x14ac:dyDescent="0.2">
      <c r="D926">
        <f t="shared" si="53"/>
        <v>903</v>
      </c>
      <c r="E926" s="1">
        <f t="shared" si="51"/>
        <v>220.61120971914826</v>
      </c>
      <c r="F926" s="1">
        <f t="shared" si="54"/>
        <v>-45.714858434846604</v>
      </c>
      <c r="G926" s="1">
        <f t="shared" si="52"/>
        <v>1.4005197602368558E-20</v>
      </c>
      <c r="H926" s="1">
        <f>G926/$G$21</f>
        <v>9.8209286890635791E-22</v>
      </c>
      <c r="I926">
        <f>IF($E$11&lt;=D926, IF(D926&lt;=$A$15,D926-$E$11,$F$11),0)</f>
        <v>300</v>
      </c>
      <c r="J926">
        <f>IF(D926&lt;=$A$15,0,D926-$A$15)</f>
        <v>594</v>
      </c>
      <c r="K926" s="5">
        <f>IF(D926&lt;$E$11,H926,0)</f>
        <v>0</v>
      </c>
      <c r="L926">
        <f>IF(D926&lt;$A$15,$C$11,$C$11*(1-$G$11))</f>
        <v>200</v>
      </c>
      <c r="M926">
        <f>IF(D926&lt;$A$15,0,1)</f>
        <v>1</v>
      </c>
    </row>
    <row r="927" spans="4:13" x14ac:dyDescent="0.2">
      <c r="D927">
        <f t="shared" si="53"/>
        <v>904</v>
      </c>
      <c r="E927" s="1">
        <f t="shared" si="51"/>
        <v>220.53424867801215</v>
      </c>
      <c r="F927" s="1">
        <f t="shared" si="54"/>
        <v>-45.79181947598272</v>
      </c>
      <c r="G927" s="1">
        <f t="shared" si="52"/>
        <v>1.2967775557748828E-20</v>
      </c>
      <c r="H927" s="1">
        <f>G927/$G$21</f>
        <v>9.0934524898737987E-22</v>
      </c>
      <c r="I927">
        <f>IF($E$11&lt;=D927, IF(D927&lt;=$A$15,D927-$E$11,$F$11),0)</f>
        <v>300</v>
      </c>
      <c r="J927">
        <f>IF(D927&lt;=$A$15,0,D927-$A$15)</f>
        <v>595</v>
      </c>
      <c r="K927" s="5">
        <f>IF(D927&lt;$E$11,H927,0)</f>
        <v>0</v>
      </c>
      <c r="L927">
        <f>IF(D927&lt;$A$15,$C$11,$C$11*(1-$G$11))</f>
        <v>200</v>
      </c>
      <c r="M927">
        <f>IF(D927&lt;$A$15,0,1)</f>
        <v>1</v>
      </c>
    </row>
    <row r="928" spans="4:13" x14ac:dyDescent="0.2">
      <c r="D928">
        <f t="shared" si="53"/>
        <v>905</v>
      </c>
      <c r="E928" s="1">
        <f t="shared" si="51"/>
        <v>220.45728763687603</v>
      </c>
      <c r="F928" s="1">
        <f t="shared" si="54"/>
        <v>-45.868780517118836</v>
      </c>
      <c r="G928" s="1">
        <f t="shared" si="52"/>
        <v>1.2007199590508327E-20</v>
      </c>
      <c r="H928" s="1">
        <f>G928/$G$21</f>
        <v>8.4198634165499214E-22</v>
      </c>
      <c r="I928">
        <f>IF($E$11&lt;=D928, IF(D928&lt;=$A$15,D928-$E$11,$F$11),0)</f>
        <v>300</v>
      </c>
      <c r="J928">
        <f>IF(D928&lt;=$A$15,0,D928-$A$15)</f>
        <v>596</v>
      </c>
      <c r="K928" s="5">
        <f>IF(D928&lt;$E$11,H928,0)</f>
        <v>0</v>
      </c>
      <c r="L928">
        <f>IF(D928&lt;$A$15,$C$11,$C$11*(1-$G$11))</f>
        <v>200</v>
      </c>
      <c r="M928">
        <f>IF(D928&lt;$A$15,0,1)</f>
        <v>1</v>
      </c>
    </row>
    <row r="929" spans="4:13" x14ac:dyDescent="0.2">
      <c r="D929">
        <f t="shared" si="53"/>
        <v>906</v>
      </c>
      <c r="E929" s="1">
        <f t="shared" si="51"/>
        <v>220.38032659573992</v>
      </c>
      <c r="F929" s="1">
        <f t="shared" si="54"/>
        <v>-45.945741558254952</v>
      </c>
      <c r="G929" s="1">
        <f t="shared" si="52"/>
        <v>1.1117777398618962E-20</v>
      </c>
      <c r="H929" s="1">
        <f>G929/$G$21</f>
        <v>7.7961698301389146E-22</v>
      </c>
      <c r="I929">
        <f>IF($E$11&lt;=D929, IF(D929&lt;=$A$15,D929-$E$11,$F$11),0)</f>
        <v>300</v>
      </c>
      <c r="J929">
        <f>IF(D929&lt;=$A$15,0,D929-$A$15)</f>
        <v>597</v>
      </c>
      <c r="K929" s="5">
        <f>IF(D929&lt;$E$11,H929,0)</f>
        <v>0</v>
      </c>
      <c r="L929">
        <f>IF(D929&lt;$A$15,$C$11,$C$11*(1-$G$11))</f>
        <v>200</v>
      </c>
      <c r="M929">
        <f>IF(D929&lt;$A$15,0,1)</f>
        <v>1</v>
      </c>
    </row>
    <row r="930" spans="4:13" x14ac:dyDescent="0.2">
      <c r="D930">
        <f t="shared" si="53"/>
        <v>907</v>
      </c>
      <c r="E930" s="1">
        <f t="shared" si="51"/>
        <v>220.3033655546038</v>
      </c>
      <c r="F930" s="1">
        <f t="shared" si="54"/>
        <v>-46.022702599391067</v>
      </c>
      <c r="G930" s="1">
        <f t="shared" si="52"/>
        <v>1.0294238332054724E-20</v>
      </c>
      <c r="H930" s="1">
        <f>G930/$G$21</f>
        <v>7.2186757686472341E-22</v>
      </c>
      <c r="I930">
        <f>IF($E$11&lt;=D930, IF(D930&lt;=$A$15,D930-$E$11,$F$11),0)</f>
        <v>300</v>
      </c>
      <c r="J930">
        <f>IF(D930&lt;=$A$15,0,D930-$A$15)</f>
        <v>598</v>
      </c>
      <c r="K930" s="5">
        <f>IF(D930&lt;$E$11,H930,0)</f>
        <v>0</v>
      </c>
      <c r="L930">
        <f>IF(D930&lt;$A$15,$C$11,$C$11*(1-$G$11))</f>
        <v>200</v>
      </c>
      <c r="M930">
        <f>IF(D930&lt;$A$15,0,1)</f>
        <v>1</v>
      </c>
    </row>
    <row r="931" spans="4:13" x14ac:dyDescent="0.2">
      <c r="D931">
        <f t="shared" si="53"/>
        <v>908</v>
      </c>
      <c r="E931" s="1">
        <f t="shared" si="51"/>
        <v>220.22640451346768</v>
      </c>
      <c r="F931" s="1">
        <f t="shared" si="54"/>
        <v>-46.099663640527183</v>
      </c>
      <c r="G931" s="1">
        <f t="shared" si="52"/>
        <v>9.5317021593100495E-21</v>
      </c>
      <c r="H931" s="1">
        <f>G931/$G$21</f>
        <v>6.6839590450438194E-22</v>
      </c>
      <c r="I931">
        <f>IF($E$11&lt;=D931, IF(D931&lt;=$A$15,D931-$E$11,$F$11),0)</f>
        <v>300</v>
      </c>
      <c r="J931">
        <f>IF(D931&lt;=$A$15,0,D931-$A$15)</f>
        <v>599</v>
      </c>
      <c r="K931" s="5">
        <f>IF(D931&lt;$E$11,H931,0)</f>
        <v>0</v>
      </c>
      <c r="L931">
        <f>IF(D931&lt;$A$15,$C$11,$C$11*(1-$G$11))</f>
        <v>200</v>
      </c>
      <c r="M931">
        <f>IF(D931&lt;$A$15,0,1)</f>
        <v>1</v>
      </c>
    </row>
    <row r="932" spans="4:13" x14ac:dyDescent="0.2">
      <c r="D932">
        <f t="shared" si="53"/>
        <v>909</v>
      </c>
      <c r="E932" s="1">
        <f t="shared" si="51"/>
        <v>220.14944347233157</v>
      </c>
      <c r="F932" s="1">
        <f t="shared" si="54"/>
        <v>-46.176624681663299</v>
      </c>
      <c r="G932" s="1">
        <f t="shared" si="52"/>
        <v>8.8256501475094174E-21</v>
      </c>
      <c r="H932" s="1">
        <f>G932/$G$21</f>
        <v>6.1888509676332446E-22</v>
      </c>
      <c r="I932">
        <f>IF($E$11&lt;=D932, IF(D932&lt;=$A$15,D932-$E$11,$F$11),0)</f>
        <v>300</v>
      </c>
      <c r="J932">
        <f>IF(D932&lt;=$A$15,0,D932-$A$15)</f>
        <v>600</v>
      </c>
      <c r="K932" s="5">
        <f>IF(D932&lt;$E$11,H932,0)</f>
        <v>0</v>
      </c>
      <c r="L932">
        <f>IF(D932&lt;$A$15,$C$11,$C$11*(1-$G$11))</f>
        <v>200</v>
      </c>
      <c r="M932">
        <f>IF(D932&lt;$A$15,0,1)</f>
        <v>1</v>
      </c>
    </row>
    <row r="933" spans="4:13" x14ac:dyDescent="0.2">
      <c r="D933">
        <f t="shared" si="53"/>
        <v>910</v>
      </c>
      <c r="E933" s="1">
        <f t="shared" si="51"/>
        <v>220.07248243119545</v>
      </c>
      <c r="F933" s="1">
        <f t="shared" si="54"/>
        <v>-46.253585722799414</v>
      </c>
      <c r="G933" s="1">
        <f t="shared" si="52"/>
        <v>8.1718982847310444E-21</v>
      </c>
      <c r="H933" s="1">
        <f>G933/$G$21</f>
        <v>5.7304175626234464E-22</v>
      </c>
      <c r="I933">
        <f>IF($E$11&lt;=D933, IF(D933&lt;=$A$15,D933-$E$11,$F$11),0)</f>
        <v>300</v>
      </c>
      <c r="J933">
        <f>IF(D933&lt;=$A$15,0,D933-$A$15)</f>
        <v>601</v>
      </c>
      <c r="K933" s="5">
        <f>IF(D933&lt;$E$11,H933,0)</f>
        <v>0</v>
      </c>
      <c r="L933">
        <f>IF(D933&lt;$A$15,$C$11,$C$11*(1-$G$11))</f>
        <v>200</v>
      </c>
      <c r="M933">
        <f>IF(D933&lt;$A$15,0,1)</f>
        <v>1</v>
      </c>
    </row>
    <row r="934" spans="4:13" x14ac:dyDescent="0.2">
      <c r="D934">
        <f t="shared" si="53"/>
        <v>911</v>
      </c>
      <c r="E934" s="1">
        <f t="shared" si="51"/>
        <v>219.99552139005934</v>
      </c>
      <c r="F934" s="1">
        <f t="shared" si="54"/>
        <v>-46.33054676393553</v>
      </c>
      <c r="G934" s="1">
        <f t="shared" si="52"/>
        <v>7.5665724858621738E-21</v>
      </c>
      <c r="H934" s="1">
        <f>G934/$G$21</f>
        <v>5.3059421876143692E-22</v>
      </c>
      <c r="I934">
        <f>IF($E$11&lt;=D934, IF(D934&lt;=$A$15,D934-$E$11,$F$11),0)</f>
        <v>300</v>
      </c>
      <c r="J934">
        <f>IF(D934&lt;=$A$15,0,D934-$A$15)</f>
        <v>602</v>
      </c>
      <c r="K934" s="5">
        <f>IF(D934&lt;$E$11,H934,0)</f>
        <v>0</v>
      </c>
      <c r="L934">
        <f>IF(D934&lt;$A$15,$C$11,$C$11*(1-$G$11))</f>
        <v>200</v>
      </c>
      <c r="M934">
        <f>IF(D934&lt;$A$15,0,1)</f>
        <v>1</v>
      </c>
    </row>
    <row r="935" spans="4:13" x14ac:dyDescent="0.2">
      <c r="D935">
        <f t="shared" si="53"/>
        <v>912</v>
      </c>
      <c r="E935" s="1">
        <f t="shared" si="51"/>
        <v>219.91856034892322</v>
      </c>
      <c r="F935" s="1">
        <f t="shared" si="54"/>
        <v>-46.407507805071646</v>
      </c>
      <c r="G935" s="1">
        <f t="shared" si="52"/>
        <v>7.0060856350576578E-21</v>
      </c>
      <c r="H935" s="1">
        <f>G935/$G$21</f>
        <v>4.9129094329763303E-22</v>
      </c>
      <c r="I935">
        <f>IF($E$11&lt;=D935, IF(D935&lt;=$A$15,D935-$E$11,$F$11),0)</f>
        <v>300</v>
      </c>
      <c r="J935">
        <f>IF(D935&lt;=$A$15,0,D935-$A$15)</f>
        <v>603</v>
      </c>
      <c r="K935" s="5">
        <f>IF(D935&lt;$E$11,H935,0)</f>
        <v>0</v>
      </c>
      <c r="L935">
        <f>IF(D935&lt;$A$15,$C$11,$C$11*(1-$G$11))</f>
        <v>200</v>
      </c>
      <c r="M935">
        <f>IF(D935&lt;$A$15,0,1)</f>
        <v>1</v>
      </c>
    </row>
    <row r="936" spans="4:13" x14ac:dyDescent="0.2">
      <c r="D936">
        <f t="shared" si="53"/>
        <v>913</v>
      </c>
      <c r="E936" s="1">
        <f t="shared" si="51"/>
        <v>219.84159930778711</v>
      </c>
      <c r="F936" s="1">
        <f t="shared" si="54"/>
        <v>-46.484468846207761</v>
      </c>
      <c r="G936" s="1">
        <f t="shared" si="52"/>
        <v>6.4871163287571726E-21</v>
      </c>
      <c r="H936" s="1">
        <f>G936/$G$21</f>
        <v>4.5489902157188827E-22</v>
      </c>
      <c r="I936">
        <f>IF($E$11&lt;=D936, IF(D936&lt;=$A$15,D936-$E$11,$F$11),0)</f>
        <v>300</v>
      </c>
      <c r="J936">
        <f>IF(D936&lt;=$A$15,0,D936-$A$15)</f>
        <v>604</v>
      </c>
      <c r="K936" s="5">
        <f>IF(D936&lt;$E$11,H936,0)</f>
        <v>0</v>
      </c>
      <c r="L936">
        <f>IF(D936&lt;$A$15,$C$11,$C$11*(1-$G$11))</f>
        <v>200</v>
      </c>
      <c r="M936">
        <f>IF(D936&lt;$A$15,0,1)</f>
        <v>1</v>
      </c>
    </row>
    <row r="937" spans="4:13" x14ac:dyDescent="0.2">
      <c r="D937">
        <f t="shared" si="53"/>
        <v>914</v>
      </c>
      <c r="E937" s="1">
        <f t="shared" si="51"/>
        <v>219.76463826665099</v>
      </c>
      <c r="F937" s="1">
        <f t="shared" si="54"/>
        <v>-46.561429887343877</v>
      </c>
      <c r="G937" s="1">
        <f t="shared" si="52"/>
        <v>6.0065891932937538E-21</v>
      </c>
      <c r="H937" s="1">
        <f>G937/$G$21</f>
        <v>4.2120279775175363E-22</v>
      </c>
      <c r="I937">
        <f>IF($E$11&lt;=D937, IF(D937&lt;=$A$15,D937-$E$11,$F$11),0)</f>
        <v>300</v>
      </c>
      <c r="J937">
        <f>IF(D937&lt;=$A$15,0,D937-$A$15)</f>
        <v>605</v>
      </c>
      <c r="K937" s="5">
        <f>IF(D937&lt;$E$11,H937,0)</f>
        <v>0</v>
      </c>
      <c r="L937">
        <f>IF(D937&lt;$A$15,$C$11,$C$11*(1-$G$11))</f>
        <v>200</v>
      </c>
      <c r="M937">
        <f>IF(D937&lt;$A$15,0,1)</f>
        <v>1</v>
      </c>
    </row>
    <row r="938" spans="4:13" x14ac:dyDescent="0.2">
      <c r="D938">
        <f t="shared" si="53"/>
        <v>915</v>
      </c>
      <c r="E938" s="1">
        <f t="shared" si="51"/>
        <v>219.68767722551488</v>
      </c>
      <c r="F938" s="1">
        <f t="shared" si="54"/>
        <v>-46.638390928479993</v>
      </c>
      <c r="G938" s="1">
        <f t="shared" si="52"/>
        <v>5.5616566604572502E-21</v>
      </c>
      <c r="H938" s="1">
        <f>G938/$G$21</f>
        <v>3.9000259051088798E-22</v>
      </c>
      <c r="I938">
        <f>IF($E$11&lt;=D938, IF(D938&lt;=$A$15,D938-$E$11,$F$11),0)</f>
        <v>300</v>
      </c>
      <c r="J938">
        <f>IF(D938&lt;=$A$15,0,D938-$A$15)</f>
        <v>606</v>
      </c>
      <c r="K938" s="5">
        <f>IF(D938&lt;$E$11,H938,0)</f>
        <v>0</v>
      </c>
      <c r="L938">
        <f>IF(D938&lt;$A$15,$C$11,$C$11*(1-$G$11))</f>
        <v>200</v>
      </c>
      <c r="M938">
        <f>IF(D938&lt;$A$15,0,1)</f>
        <v>1</v>
      </c>
    </row>
    <row r="939" spans="4:13" x14ac:dyDescent="0.2">
      <c r="D939">
        <f t="shared" si="53"/>
        <v>916</v>
      </c>
      <c r="E939" s="1">
        <f t="shared" si="51"/>
        <v>219.61071618437876</v>
      </c>
      <c r="F939" s="1">
        <f t="shared" si="54"/>
        <v>-46.715351969616108</v>
      </c>
      <c r="G939" s="1">
        <f t="shared" si="52"/>
        <v>5.1496820930160373E-21</v>
      </c>
      <c r="H939" s="1">
        <f>G939/$G$21</f>
        <v>3.6111350973230821E-22</v>
      </c>
      <c r="I939">
        <f>IF($E$11&lt;=D939, IF(D939&lt;=$A$15,D939-$E$11,$F$11),0)</f>
        <v>300</v>
      </c>
      <c r="J939">
        <f>IF(D939&lt;=$A$15,0,D939-$A$15)</f>
        <v>607</v>
      </c>
      <c r="K939" s="5">
        <f>IF(D939&lt;$E$11,H939,0)</f>
        <v>0</v>
      </c>
      <c r="L939">
        <f>IF(D939&lt;$A$15,$C$11,$C$11*(1-$G$11))</f>
        <v>200</v>
      </c>
      <c r="M939">
        <f>IF(D939&lt;$A$15,0,1)</f>
        <v>1</v>
      </c>
    </row>
    <row r="940" spans="4:13" x14ac:dyDescent="0.2">
      <c r="D940">
        <f t="shared" si="53"/>
        <v>917</v>
      </c>
      <c r="E940" s="1">
        <f t="shared" si="51"/>
        <v>219.53375514324264</v>
      </c>
      <c r="F940" s="1">
        <f t="shared" si="54"/>
        <v>-46.792313010752224</v>
      </c>
      <c r="G940" s="1">
        <f t="shared" si="52"/>
        <v>4.7682241602000951E-21</v>
      </c>
      <c r="H940" s="1">
        <f>G940/$G$21</f>
        <v>3.3436436086325261E-22</v>
      </c>
      <c r="I940">
        <f>IF($E$11&lt;=D940, IF(D940&lt;=$A$15,D940-$E$11,$F$11),0)</f>
        <v>300</v>
      </c>
      <c r="J940">
        <f>IF(D940&lt;=$A$15,0,D940-$A$15)</f>
        <v>608</v>
      </c>
      <c r="K940" s="5">
        <f>IF(D940&lt;$E$11,H940,0)</f>
        <v>0</v>
      </c>
      <c r="L940">
        <f>IF(D940&lt;$A$15,$C$11,$C$11*(1-$G$11))</f>
        <v>200</v>
      </c>
      <c r="M940">
        <f>IF(D940&lt;$A$15,0,1)</f>
        <v>1</v>
      </c>
    </row>
    <row r="941" spans="4:13" x14ac:dyDescent="0.2">
      <c r="D941">
        <f t="shared" si="53"/>
        <v>918</v>
      </c>
      <c r="E941" s="1">
        <f t="shared" si="51"/>
        <v>219.45679410210653</v>
      </c>
      <c r="F941" s="1">
        <f t="shared" si="54"/>
        <v>-46.86927405188834</v>
      </c>
      <c r="G941" s="1">
        <f t="shared" si="52"/>
        <v>4.415022370555699E-21</v>
      </c>
      <c r="H941" s="1">
        <f>G941/$G$21</f>
        <v>3.0959663042894148E-22</v>
      </c>
      <c r="I941">
        <f>IF($E$11&lt;=D941, IF(D941&lt;=$A$15,D941-$E$11,$F$11),0)</f>
        <v>300</v>
      </c>
      <c r="J941">
        <f>IF(D941&lt;=$A$15,0,D941-$A$15)</f>
        <v>609</v>
      </c>
      <c r="K941" s="5">
        <f>IF(D941&lt;$E$11,H941,0)</f>
        <v>0</v>
      </c>
      <c r="L941">
        <f>IF(D941&lt;$A$15,$C$11,$C$11*(1-$G$11))</f>
        <v>200</v>
      </c>
      <c r="M941">
        <f>IF(D941&lt;$A$15,0,1)</f>
        <v>1</v>
      </c>
    </row>
    <row r="942" spans="4:13" x14ac:dyDescent="0.2">
      <c r="D942">
        <f t="shared" si="53"/>
        <v>919</v>
      </c>
      <c r="E942" s="1">
        <f t="shared" si="51"/>
        <v>219.37983306097041</v>
      </c>
      <c r="F942" s="1">
        <f t="shared" si="54"/>
        <v>-46.946235093024455</v>
      </c>
      <c r="G942" s="1">
        <f t="shared" si="52"/>
        <v>4.0879836764405137E-21</v>
      </c>
      <c r="H942" s="1">
        <f>G942/$G$21</f>
        <v>2.8666354669346796E-22</v>
      </c>
      <c r="I942">
        <f>IF($E$11&lt;=D942, IF(D942&lt;=$A$15,D942-$E$11,$F$11),0)</f>
        <v>300</v>
      </c>
      <c r="J942">
        <f>IF(D942&lt;=$A$15,0,D942-$A$15)</f>
        <v>610</v>
      </c>
      <c r="K942" s="5">
        <f>IF(D942&lt;$E$11,H942,0)</f>
        <v>0</v>
      </c>
      <c r="L942">
        <f>IF(D942&lt;$A$15,$C$11,$C$11*(1-$G$11))</f>
        <v>200</v>
      </c>
      <c r="M942">
        <f>IF(D942&lt;$A$15,0,1)</f>
        <v>1</v>
      </c>
    </row>
    <row r="943" spans="4:13" x14ac:dyDescent="0.2">
      <c r="D943">
        <f t="shared" si="53"/>
        <v>920</v>
      </c>
      <c r="E943" s="1">
        <f t="shared" si="51"/>
        <v>219.3028720198343</v>
      </c>
      <c r="F943" s="1">
        <f t="shared" si="54"/>
        <v>-47.023196134160571</v>
      </c>
      <c r="G943" s="1">
        <f t="shared" si="52"/>
        <v>3.7851700707783016E-21</v>
      </c>
      <c r="H943" s="1">
        <f>G943/$G$21</f>
        <v>2.6542920990136259E-22</v>
      </c>
      <c r="I943">
        <f>IF($E$11&lt;=D943, IF(D943&lt;=$A$15,D943-$E$11,$F$11),0)</f>
        <v>300</v>
      </c>
      <c r="J943">
        <f>IF(D943&lt;=$A$15,0,D943-$A$15)</f>
        <v>611</v>
      </c>
      <c r="K943" s="5">
        <f>IF(D943&lt;$E$11,H943,0)</f>
        <v>0</v>
      </c>
      <c r="L943">
        <f>IF(D943&lt;$A$15,$C$11,$C$11*(1-$G$11))</f>
        <v>200</v>
      </c>
      <c r="M943">
        <f>IF(D943&lt;$A$15,0,1)</f>
        <v>1</v>
      </c>
    </row>
    <row r="944" spans="4:13" x14ac:dyDescent="0.2">
      <c r="D944">
        <f t="shared" si="53"/>
        <v>921</v>
      </c>
      <c r="E944" s="1">
        <f t="shared" si="51"/>
        <v>219.22591097869818</v>
      </c>
      <c r="F944" s="1">
        <f t="shared" si="54"/>
        <v>-47.100157175296687</v>
      </c>
      <c r="G944" s="1">
        <f t="shared" si="52"/>
        <v>3.5047871025725455E-21</v>
      </c>
      <c r="H944" s="1">
        <f>G944/$G$21</f>
        <v>2.457677869457092E-22</v>
      </c>
      <c r="I944">
        <f>IF($E$11&lt;=D944, IF(D944&lt;=$A$15,D944-$E$11,$F$11),0)</f>
        <v>300</v>
      </c>
      <c r="J944">
        <f>IF(D944&lt;=$A$15,0,D944-$A$15)</f>
        <v>612</v>
      </c>
      <c r="K944" s="5">
        <f>IF(D944&lt;$E$11,H944,0)</f>
        <v>0</v>
      </c>
      <c r="L944">
        <f>IF(D944&lt;$A$15,$C$11,$C$11*(1-$G$11))</f>
        <v>200</v>
      </c>
      <c r="M944">
        <f>IF(D944&lt;$A$15,0,1)</f>
        <v>1</v>
      </c>
    </row>
    <row r="945" spans="4:13" x14ac:dyDescent="0.2">
      <c r="D945">
        <f t="shared" si="53"/>
        <v>922</v>
      </c>
      <c r="E945" s="1">
        <f t="shared" si="51"/>
        <v>219.14894993756207</v>
      </c>
      <c r="F945" s="1">
        <f t="shared" si="54"/>
        <v>-47.177118216432802</v>
      </c>
      <c r="G945" s="1">
        <f t="shared" si="52"/>
        <v>3.2451732431227684E-21</v>
      </c>
      <c r="H945" s="1">
        <f>G945/$G$21</f>
        <v>2.2756276569047434E-22</v>
      </c>
      <c r="I945">
        <f>IF($E$11&lt;=D945, IF(D945&lt;=$A$15,D945-$E$11,$F$11),0)</f>
        <v>300</v>
      </c>
      <c r="J945">
        <f>IF(D945&lt;=$A$15,0,D945-$A$15)</f>
        <v>613</v>
      </c>
      <c r="K945" s="5">
        <f>IF(D945&lt;$E$11,H945,0)</f>
        <v>0</v>
      </c>
      <c r="L945">
        <f>IF(D945&lt;$A$15,$C$11,$C$11*(1-$G$11))</f>
        <v>200</v>
      </c>
      <c r="M945">
        <f>IF(D945&lt;$A$15,0,1)</f>
        <v>1</v>
      </c>
    </row>
    <row r="946" spans="4:13" x14ac:dyDescent="0.2">
      <c r="D946">
        <f t="shared" si="53"/>
        <v>923</v>
      </c>
      <c r="E946" s="1">
        <f t="shared" si="51"/>
        <v>219.07198889642595</v>
      </c>
      <c r="F946" s="1">
        <f t="shared" si="54"/>
        <v>-47.254079257568918</v>
      </c>
      <c r="G946" s="1">
        <f t="shared" si="52"/>
        <v>3.0047900399285272E-21</v>
      </c>
      <c r="H946" s="1">
        <f>G946/$G$21</f>
        <v>2.1070626452821965E-22</v>
      </c>
      <c r="I946">
        <f>IF($E$11&lt;=D946, IF(D946&lt;=$A$15,D946-$E$11,$F$11),0)</f>
        <v>300</v>
      </c>
      <c r="J946">
        <f>IF(D946&lt;=$A$15,0,D946-$A$15)</f>
        <v>614</v>
      </c>
      <c r="K946" s="5">
        <f>IF(D946&lt;$E$11,H946,0)</f>
        <v>0</v>
      </c>
      <c r="L946">
        <f>IF(D946&lt;$A$15,$C$11,$C$11*(1-$G$11))</f>
        <v>200</v>
      </c>
      <c r="M946">
        <f>IF(D946&lt;$A$15,0,1)</f>
        <v>1</v>
      </c>
    </row>
    <row r="947" spans="4:13" x14ac:dyDescent="0.2">
      <c r="D947">
        <f t="shared" si="53"/>
        <v>924</v>
      </c>
      <c r="E947" s="1">
        <f t="shared" si="51"/>
        <v>218.99502785528983</v>
      </c>
      <c r="F947" s="1">
        <f t="shared" si="54"/>
        <v>-47.331040298705034</v>
      </c>
      <c r="G947" s="1">
        <f t="shared" si="52"/>
        <v>2.7822129999338566E-21</v>
      </c>
      <c r="H947" s="1">
        <f>G947/$G$21</f>
        <v>1.9509839308168732E-22</v>
      </c>
      <c r="I947">
        <f>IF($E$11&lt;=D947, IF(D947&lt;=$A$15,D947-$E$11,$F$11),0)</f>
        <v>300</v>
      </c>
      <c r="J947">
        <f>IF(D947&lt;=$A$15,0,D947-$A$15)</f>
        <v>615</v>
      </c>
      <c r="K947" s="5">
        <f>IF(D947&lt;$E$11,H947,0)</f>
        <v>0</v>
      </c>
      <c r="L947">
        <f>IF(D947&lt;$A$15,$C$11,$C$11*(1-$G$11))</f>
        <v>200</v>
      </c>
      <c r="M947">
        <f>IF(D947&lt;$A$15,0,1)</f>
        <v>1</v>
      </c>
    </row>
    <row r="948" spans="4:13" x14ac:dyDescent="0.2">
      <c r="D948">
        <f t="shared" si="53"/>
        <v>925</v>
      </c>
      <c r="E948" s="1">
        <f t="shared" si="51"/>
        <v>218.91806681415372</v>
      </c>
      <c r="F948" s="1">
        <f t="shared" si="54"/>
        <v>-47.40800133984115</v>
      </c>
      <c r="G948" s="1">
        <f t="shared" si="52"/>
        <v>2.5761231480869371E-21</v>
      </c>
      <c r="H948" s="1">
        <f>G948/$G$21</f>
        <v>1.806466602608239E-22</v>
      </c>
      <c r="I948">
        <f>IF($E$11&lt;=D948, IF(D948&lt;=$A$15,D948-$E$11,$F$11),0)</f>
        <v>300</v>
      </c>
      <c r="J948">
        <f>IF(D948&lt;=$A$15,0,D948-$A$15)</f>
        <v>616</v>
      </c>
      <c r="K948" s="5">
        <f>IF(D948&lt;$E$11,H948,0)</f>
        <v>0</v>
      </c>
      <c r="L948">
        <f>IF(D948&lt;$A$15,$C$11,$C$11*(1-$G$11))</f>
        <v>200</v>
      </c>
      <c r="M948">
        <f>IF(D948&lt;$A$15,0,1)</f>
        <v>1</v>
      </c>
    </row>
    <row r="949" spans="4:13" x14ac:dyDescent="0.2">
      <c r="D949">
        <f t="shared" si="53"/>
        <v>926</v>
      </c>
      <c r="E949" s="1">
        <f t="shared" si="51"/>
        <v>218.8411057730176</v>
      </c>
      <c r="F949" s="1">
        <f t="shared" si="54"/>
        <v>-47.484962380977265</v>
      </c>
      <c r="G949" s="1">
        <f t="shared" si="52"/>
        <v>2.3852992111916386E-21</v>
      </c>
      <c r="H949" s="1">
        <f>G949/$G$21</f>
        <v>1.6726542616743165E-22</v>
      </c>
      <c r="I949">
        <f>IF($E$11&lt;=D949, IF(D949&lt;=$A$15,D949-$E$11,$F$11),0)</f>
        <v>300</v>
      </c>
      <c r="J949">
        <f>IF(D949&lt;=$A$15,0,D949-$A$15)</f>
        <v>617</v>
      </c>
      <c r="K949" s="5">
        <f>IF(D949&lt;$E$11,H949,0)</f>
        <v>0</v>
      </c>
      <c r="L949">
        <f>IF(D949&lt;$A$15,$C$11,$C$11*(1-$G$11))</f>
        <v>200</v>
      </c>
      <c r="M949">
        <f>IF(D949&lt;$A$15,0,1)</f>
        <v>1</v>
      </c>
    </row>
    <row r="950" spans="4:13" x14ac:dyDescent="0.2">
      <c r="D950">
        <f t="shared" si="53"/>
        <v>927</v>
      </c>
      <c r="E950" s="1">
        <f t="shared" si="51"/>
        <v>218.76414473188149</v>
      </c>
      <c r="F950" s="1">
        <f t="shared" si="54"/>
        <v>-47.561923422113381</v>
      </c>
      <c r="G950" s="1">
        <f t="shared" si="52"/>
        <v>2.2086103807330267E-21</v>
      </c>
      <c r="H950" s="1">
        <f>G950/$G$21</f>
        <v>1.5487539459947572E-22</v>
      </c>
      <c r="I950">
        <f>IF($E$11&lt;=D950, IF(D950&lt;=$A$15,D950-$E$11,$F$11),0)</f>
        <v>300</v>
      </c>
      <c r="J950">
        <f>IF(D950&lt;=$A$15,0,D950-$A$15)</f>
        <v>618</v>
      </c>
      <c r="K950" s="5">
        <f>IF(D950&lt;$E$11,H950,0)</f>
        <v>0</v>
      </c>
      <c r="L950">
        <f>IF(D950&lt;$A$15,$C$11,$C$11*(1-$G$11))</f>
        <v>200</v>
      </c>
      <c r="M950">
        <f>IF(D950&lt;$A$15,0,1)</f>
        <v>1</v>
      </c>
    </row>
    <row r="951" spans="4:13" x14ac:dyDescent="0.2">
      <c r="D951">
        <f t="shared" si="53"/>
        <v>928</v>
      </c>
      <c r="E951" s="1">
        <f t="shared" si="51"/>
        <v>218.68718369074537</v>
      </c>
      <c r="F951" s="1">
        <f t="shared" si="54"/>
        <v>-47.638884463249497</v>
      </c>
      <c r="G951" s="1">
        <f t="shared" si="52"/>
        <v>2.0450096117898653E-21</v>
      </c>
      <c r="H951" s="1">
        <f>G951/$G$21</f>
        <v>1.4340314314766452E-22</v>
      </c>
      <c r="I951">
        <f>IF($E$11&lt;=D951, IF(D951&lt;=$A$15,D951-$E$11,$F$11),0)</f>
        <v>300</v>
      </c>
      <c r="J951">
        <f>IF(D951&lt;=$A$15,0,D951-$A$15)</f>
        <v>619</v>
      </c>
      <c r="K951" s="5">
        <f>IF(D951&lt;$E$11,H951,0)</f>
        <v>0</v>
      </c>
      <c r="L951">
        <f>IF(D951&lt;$A$15,$C$11,$C$11*(1-$G$11))</f>
        <v>200</v>
      </c>
      <c r="M951">
        <f>IF(D951&lt;$A$15,0,1)</f>
        <v>1</v>
      </c>
    </row>
    <row r="952" spans="4:13" x14ac:dyDescent="0.2">
      <c r="D952">
        <f t="shared" si="53"/>
        <v>929</v>
      </c>
      <c r="E952" s="1">
        <f t="shared" si="51"/>
        <v>218.61022264960926</v>
      </c>
      <c r="F952" s="1">
        <f t="shared" si="54"/>
        <v>-47.715845504385612</v>
      </c>
      <c r="G952" s="1">
        <f t="shared" si="52"/>
        <v>1.8935274183239733E-21</v>
      </c>
      <c r="H952" s="1">
        <f>G952/$G$21</f>
        <v>1.3278068809969103E-22</v>
      </c>
      <c r="I952">
        <f>IF($E$11&lt;=D952, IF(D952&lt;=$A$15,D952-$E$11,$F$11),0)</f>
        <v>300</v>
      </c>
      <c r="J952">
        <f>IF(D952&lt;=$A$15,0,D952-$A$15)</f>
        <v>620</v>
      </c>
      <c r="K952" s="5">
        <f>IF(D952&lt;$E$11,H952,0)</f>
        <v>0</v>
      </c>
      <c r="L952">
        <f>IF(D952&lt;$A$15,$C$11,$C$11*(1-$G$11))</f>
        <v>200</v>
      </c>
      <c r="M952">
        <f>IF(D952&lt;$A$15,0,1)</f>
        <v>1</v>
      </c>
    </row>
    <row r="953" spans="4:13" x14ac:dyDescent="0.2">
      <c r="D953">
        <f t="shared" si="53"/>
        <v>930</v>
      </c>
      <c r="E953" s="1">
        <f t="shared" si="51"/>
        <v>218.53326160847314</v>
      </c>
      <c r="F953" s="1">
        <f t="shared" si="54"/>
        <v>-47.792806545521728</v>
      </c>
      <c r="G953" s="1">
        <f t="shared" si="52"/>
        <v>1.753266128077775E-21</v>
      </c>
      <c r="H953" s="1">
        <f>G953/$G$21</f>
        <v>1.2294508157378953E-22</v>
      </c>
      <c r="I953">
        <f>IF($E$11&lt;=D953, IF(D953&lt;=$A$15,D953-$E$11,$F$11),0)</f>
        <v>300</v>
      </c>
      <c r="J953">
        <f>IF(D953&lt;=$A$15,0,D953-$A$15)</f>
        <v>621</v>
      </c>
      <c r="K953" s="5">
        <f>IF(D953&lt;$E$11,H953,0)</f>
        <v>0</v>
      </c>
      <c r="L953">
        <f>IF(D953&lt;$A$15,$C$11,$C$11*(1-$G$11))</f>
        <v>200</v>
      </c>
      <c r="M953">
        <f>IF(D953&lt;$A$15,0,1)</f>
        <v>1</v>
      </c>
    </row>
    <row r="954" spans="4:13" x14ac:dyDescent="0.2">
      <c r="D954">
        <f t="shared" si="53"/>
        <v>931</v>
      </c>
      <c r="E954" s="1">
        <f t="shared" si="51"/>
        <v>218.45630056733702</v>
      </c>
      <c r="F954" s="1">
        <f t="shared" si="54"/>
        <v>-47.869767586657844</v>
      </c>
      <c r="G954" s="1">
        <f t="shared" si="52"/>
        <v>1.6233945630349975E-21</v>
      </c>
      <c r="H954" s="1">
        <f>G954/$G$21</f>
        <v>1.1383803849425101E-22</v>
      </c>
      <c r="I954">
        <f>IF($E$11&lt;=D954, IF(D954&lt;=$A$15,D954-$E$11,$F$11),0)</f>
        <v>300</v>
      </c>
      <c r="J954">
        <f>IF(D954&lt;=$A$15,0,D954-$A$15)</f>
        <v>622</v>
      </c>
      <c r="K954" s="5">
        <f>IF(D954&lt;$E$11,H954,0)</f>
        <v>0</v>
      </c>
      <c r="L954">
        <f>IF(D954&lt;$A$15,$C$11,$C$11*(1-$G$11))</f>
        <v>200</v>
      </c>
      <c r="M954">
        <f>IF(D954&lt;$A$15,0,1)</f>
        <v>1</v>
      </c>
    </row>
    <row r="955" spans="4:13" x14ac:dyDescent="0.2">
      <c r="D955">
        <f t="shared" si="53"/>
        <v>932</v>
      </c>
      <c r="E955" s="1">
        <f t="shared" si="51"/>
        <v>218.37933952620091</v>
      </c>
      <c r="F955" s="1">
        <f t="shared" si="54"/>
        <v>-47.946728627793959</v>
      </c>
      <c r="G955" s="1">
        <f t="shared" si="52"/>
        <v>1.5031431139213129E-21</v>
      </c>
      <c r="H955" s="1">
        <f>G955/$G$21</f>
        <v>1.054055911983819E-22</v>
      </c>
      <c r="I955">
        <f>IF($E$11&lt;=D955, IF(D955&lt;=$A$15,D955-$E$11,$F$11),0)</f>
        <v>300</v>
      </c>
      <c r="J955">
        <f>IF(D955&lt;=$A$15,0,D955-$A$15)</f>
        <v>623</v>
      </c>
      <c r="K955" s="5">
        <f>IF(D955&lt;$E$11,H955,0)</f>
        <v>0</v>
      </c>
      <c r="L955">
        <f>IF(D955&lt;$A$15,$C$11,$C$11*(1-$G$11))</f>
        <v>200</v>
      </c>
      <c r="M955">
        <f>IF(D955&lt;$A$15,0,1)</f>
        <v>1</v>
      </c>
    </row>
    <row r="956" spans="4:13" x14ac:dyDescent="0.2">
      <c r="D956">
        <f t="shared" si="53"/>
        <v>933</v>
      </c>
      <c r="E956" s="1">
        <f t="shared" si="51"/>
        <v>218.30237848506479</v>
      </c>
      <c r="F956" s="1">
        <f t="shared" si="54"/>
        <v>-48.023689668930075</v>
      </c>
      <c r="G956" s="1">
        <f t="shared" si="52"/>
        <v>1.3917991795567889E-21</v>
      </c>
      <c r="H956" s="1">
        <f>G956/$G$21</f>
        <v>9.7597769628132631E-23</v>
      </c>
      <c r="I956">
        <f>IF($E$11&lt;=D956, IF(D956&lt;=$A$15,D956-$E$11,$F$11),0)</f>
        <v>300</v>
      </c>
      <c r="J956">
        <f>IF(D956&lt;=$A$15,0,D956-$A$15)</f>
        <v>624</v>
      </c>
      <c r="K956" s="5">
        <f>IF(D956&lt;$E$11,H956,0)</f>
        <v>0</v>
      </c>
      <c r="L956">
        <f>IF(D956&lt;$A$15,$C$11,$C$11*(1-$G$11))</f>
        <v>200</v>
      </c>
      <c r="M956">
        <f>IF(D956&lt;$A$15,0,1)</f>
        <v>1</v>
      </c>
    </row>
    <row r="957" spans="4:13" x14ac:dyDescent="0.2">
      <c r="D957">
        <f t="shared" si="53"/>
        <v>934</v>
      </c>
      <c r="E957" s="1">
        <f t="shared" si="51"/>
        <v>218.22541744392868</v>
      </c>
      <c r="F957" s="1">
        <f t="shared" si="54"/>
        <v>-48.100650710066191</v>
      </c>
      <c r="G957" s="1">
        <f t="shared" si="52"/>
        <v>1.28870294403408E-21</v>
      </c>
      <c r="H957" s="1">
        <f>G957/$G$21</f>
        <v>9.036830521123506E-23</v>
      </c>
      <c r="I957">
        <f>IF($E$11&lt;=D957, IF(D957&lt;=$A$15,D957-$E$11,$F$11),0)</f>
        <v>300</v>
      </c>
      <c r="J957">
        <f>IF(D957&lt;=$A$15,0,D957-$A$15)</f>
        <v>625</v>
      </c>
      <c r="K957" s="5">
        <f>IF(D957&lt;$E$11,H957,0)</f>
        <v>0</v>
      </c>
      <c r="L957">
        <f>IF(D957&lt;$A$15,$C$11,$C$11*(1-$G$11))</f>
        <v>200</v>
      </c>
      <c r="M957">
        <f>IF(D957&lt;$A$15,0,1)</f>
        <v>1</v>
      </c>
    </row>
    <row r="958" spans="4:13" x14ac:dyDescent="0.2">
      <c r="D958">
        <f t="shared" si="53"/>
        <v>935</v>
      </c>
      <c r="E958" s="1">
        <f t="shared" si="51"/>
        <v>218.14845640279256</v>
      </c>
      <c r="F958" s="1">
        <f t="shared" si="54"/>
        <v>-48.177611751202306</v>
      </c>
      <c r="G958" s="1">
        <f t="shared" si="52"/>
        <v>1.1932434666982373E-21</v>
      </c>
      <c r="H958" s="1">
        <f>G958/$G$21</f>
        <v>8.3674356677070555E-23</v>
      </c>
      <c r="I958">
        <f>IF($E$11&lt;=D958, IF(D958&lt;=$A$15,D958-$E$11,$F$11),0)</f>
        <v>300</v>
      </c>
      <c r="J958">
        <f>IF(D958&lt;=$A$15,0,D958-$A$15)</f>
        <v>626</v>
      </c>
      <c r="K958" s="5">
        <f>IF(D958&lt;$E$11,H958,0)</f>
        <v>0</v>
      </c>
      <c r="L958">
        <f>IF(D958&lt;$A$15,$C$11,$C$11*(1-$G$11))</f>
        <v>200</v>
      </c>
      <c r="M958">
        <f>IF(D958&lt;$A$15,0,1)</f>
        <v>1</v>
      </c>
    </row>
    <row r="959" spans="4:13" x14ac:dyDescent="0.2">
      <c r="D959">
        <f t="shared" si="53"/>
        <v>936</v>
      </c>
      <c r="E959" s="1">
        <f t="shared" si="51"/>
        <v>218.07149536165645</v>
      </c>
      <c r="F959" s="1">
        <f t="shared" si="54"/>
        <v>-48.254572792338422</v>
      </c>
      <c r="G959" s="1">
        <f t="shared" si="52"/>
        <v>1.1048550617576411E-21</v>
      </c>
      <c r="H959" s="1">
        <f>G959/$G$21</f>
        <v>7.7476256182473716E-23</v>
      </c>
      <c r="I959">
        <f>IF($E$11&lt;=D959, IF(D959&lt;=$A$15,D959-$E$11,$F$11),0)</f>
        <v>300</v>
      </c>
      <c r="J959">
        <f>IF(D959&lt;=$A$15,0,D959-$A$15)</f>
        <v>627</v>
      </c>
      <c r="K959" s="5">
        <f>IF(D959&lt;$E$11,H959,0)</f>
        <v>0</v>
      </c>
      <c r="L959">
        <f>IF(D959&lt;$A$15,$C$11,$C$11*(1-$G$11))</f>
        <v>200</v>
      </c>
      <c r="M959">
        <f>IF(D959&lt;$A$15,0,1)</f>
        <v>1</v>
      </c>
    </row>
    <row r="960" spans="4:13" x14ac:dyDescent="0.2">
      <c r="D960">
        <f t="shared" si="53"/>
        <v>937</v>
      </c>
      <c r="E960" s="1">
        <f t="shared" si="51"/>
        <v>217.99453432052033</v>
      </c>
      <c r="F960" s="1">
        <f t="shared" si="54"/>
        <v>-48.331533833474538</v>
      </c>
      <c r="G960" s="1">
        <f t="shared" si="52"/>
        <v>1.0230139460719029E-21</v>
      </c>
      <c r="H960" s="1">
        <f>G960/$G$21</f>
        <v>7.1737274243032132E-23</v>
      </c>
      <c r="I960">
        <f>IF($E$11&lt;=D960, IF(D960&lt;=$A$15,D960-$E$11,$F$11),0)</f>
        <v>300</v>
      </c>
      <c r="J960">
        <f>IF(D960&lt;=$A$15,0,D960-$A$15)</f>
        <v>628</v>
      </c>
      <c r="K960" s="5">
        <f>IF(D960&lt;$E$11,H960,0)</f>
        <v>0</v>
      </c>
      <c r="L960">
        <f>IF(D960&lt;$A$15,$C$11,$C$11*(1-$G$11))</f>
        <v>200</v>
      </c>
      <c r="M960">
        <f>IF(D960&lt;$A$15,0,1)</f>
        <v>1</v>
      </c>
    </row>
    <row r="961" spans="4:13" x14ac:dyDescent="0.2">
      <c r="D961">
        <f t="shared" si="53"/>
        <v>938</v>
      </c>
      <c r="E961" s="1">
        <f t="shared" si="51"/>
        <v>217.91757327938421</v>
      </c>
      <c r="F961" s="1">
        <f t="shared" si="54"/>
        <v>-48.408494874610653</v>
      </c>
      <c r="G961" s="1">
        <f t="shared" si="52"/>
        <v>9.4723513525177399E-22</v>
      </c>
      <c r="H961" s="1">
        <f>G961/$G$21</f>
        <v>6.6423402076882439E-23</v>
      </c>
      <c r="I961">
        <f>IF($E$11&lt;=D961, IF(D961&lt;=$A$15,D961-$E$11,$F$11),0)</f>
        <v>300</v>
      </c>
      <c r="J961">
        <f>IF(D961&lt;=$A$15,0,D961-$A$15)</f>
        <v>629</v>
      </c>
      <c r="K961" s="5">
        <f>IF(D961&lt;$E$11,H961,0)</f>
        <v>0</v>
      </c>
      <c r="L961">
        <f>IF(D961&lt;$A$15,$C$11,$C$11*(1-$G$11))</f>
        <v>200</v>
      </c>
      <c r="M961">
        <f>IF(D961&lt;$A$15,0,1)</f>
        <v>1</v>
      </c>
    </row>
    <row r="962" spans="4:13" x14ac:dyDescent="0.2">
      <c r="D962">
        <f t="shared" si="53"/>
        <v>939</v>
      </c>
      <c r="E962" s="1">
        <f t="shared" si="51"/>
        <v>217.8406122382481</v>
      </c>
      <c r="F962" s="1">
        <f t="shared" si="54"/>
        <v>-48.485455915746769</v>
      </c>
      <c r="G962" s="1">
        <f t="shared" si="52"/>
        <v>8.770695696775796E-22</v>
      </c>
      <c r="H962" s="1">
        <f>G962/$G$21</f>
        <v>6.150315007118823E-23</v>
      </c>
      <c r="I962">
        <f>IF($E$11&lt;=D962, IF(D962&lt;=$A$15,D962-$E$11,$F$11),0)</f>
        <v>300</v>
      </c>
      <c r="J962">
        <f>IF(D962&lt;=$A$15,0,D962-$A$15)</f>
        <v>630</v>
      </c>
      <c r="K962" s="5">
        <f>IF(D962&lt;$E$11,H962,0)</f>
        <v>0</v>
      </c>
      <c r="L962">
        <f>IF(D962&lt;$A$15,$C$11,$C$11*(1-$G$11))</f>
        <v>200</v>
      </c>
      <c r="M962">
        <f>IF(D962&lt;$A$15,0,1)</f>
        <v>1</v>
      </c>
    </row>
    <row r="963" spans="4:13" x14ac:dyDescent="0.2">
      <c r="D963">
        <f t="shared" si="53"/>
        <v>940</v>
      </c>
      <c r="E963" s="1">
        <f t="shared" si="51"/>
        <v>217.76365119711198</v>
      </c>
      <c r="F963" s="1">
        <f t="shared" si="54"/>
        <v>-48.562416956882885</v>
      </c>
      <c r="G963" s="1">
        <f t="shared" si="52"/>
        <v>8.121014534051765E-22</v>
      </c>
      <c r="H963" s="1">
        <f>G963/$G$21</f>
        <v>5.6947361177026848E-23</v>
      </c>
      <c r="I963">
        <f>IF($E$11&lt;=D963, IF(D963&lt;=$A$15,D963-$E$11,$F$11),0)</f>
        <v>300</v>
      </c>
      <c r="J963">
        <f>IF(D963&lt;=$A$15,0,D963-$A$15)</f>
        <v>631</v>
      </c>
      <c r="K963" s="5">
        <f>IF(D963&lt;$E$11,H963,0)</f>
        <v>0</v>
      </c>
      <c r="L963">
        <f>IF(D963&lt;$A$15,$C$11,$C$11*(1-$G$11))</f>
        <v>200</v>
      </c>
      <c r="M963">
        <f>IF(D963&lt;$A$15,0,1)</f>
        <v>1</v>
      </c>
    </row>
    <row r="964" spans="4:13" x14ac:dyDescent="0.2">
      <c r="D964">
        <f t="shared" si="53"/>
        <v>941</v>
      </c>
      <c r="E964" s="1">
        <f t="shared" ref="E964:F1027" si="55">IF($G$11=1,IF(D964&lt;=$A$15, E963+LN($C$11)-LN(60/$D$11)-LN(MIN(D964,$E$11)), E963-LN(60/$D$11)-LN(MIN(D964,$E$11))), IF(D964&lt;=$A$15, E963+LN($C$11)-LN(60/$D$11)-LN(MIN(D964,$E$11)), E963+LN($C$11)+LN(1-$G$11)-LN(60/$D$11)-LN(MIN(D964,$E$11))))</f>
        <v>217.68669015597587</v>
      </c>
      <c r="F964" s="1">
        <f t="shared" si="54"/>
        <v>-48.639377998019</v>
      </c>
      <c r="G964" s="1">
        <f t="shared" si="52"/>
        <v>7.5194579018998773E-22</v>
      </c>
      <c r="H964" s="1">
        <f>G964/$G$21</f>
        <v>5.2729038126877379E-23</v>
      </c>
      <c r="I964">
        <f>IF($E$11&lt;=D964, IF(D964&lt;=$A$15,D964-$E$11,$F$11),0)</f>
        <v>300</v>
      </c>
      <c r="J964">
        <f>IF(D964&lt;=$A$15,0,D964-$A$15)</f>
        <v>632</v>
      </c>
      <c r="K964" s="5">
        <f>IF(D964&lt;$E$11,H964,0)</f>
        <v>0</v>
      </c>
      <c r="L964">
        <f>IF(D964&lt;$A$15,$C$11,$C$11*(1-$G$11))</f>
        <v>200</v>
      </c>
      <c r="M964">
        <f>IF(D964&lt;$A$15,0,1)</f>
        <v>1</v>
      </c>
    </row>
    <row r="965" spans="4:13" x14ac:dyDescent="0.2">
      <c r="D965">
        <f t="shared" si="53"/>
        <v>942</v>
      </c>
      <c r="E965" s="1">
        <f t="shared" si="55"/>
        <v>217.60972911483975</v>
      </c>
      <c r="F965" s="1">
        <f t="shared" si="54"/>
        <v>-48.716339039155116</v>
      </c>
      <c r="G965" s="1">
        <f t="shared" si="52"/>
        <v>6.9624610202777525E-22</v>
      </c>
      <c r="H965" s="1">
        <f>G965/$G$21</f>
        <v>4.8823183450813006E-23</v>
      </c>
      <c r="I965">
        <f>IF($E$11&lt;=D965, IF(D965&lt;=$A$15,D965-$E$11,$F$11),0)</f>
        <v>300</v>
      </c>
      <c r="J965">
        <f>IF(D965&lt;=$A$15,0,D965-$A$15)</f>
        <v>633</v>
      </c>
      <c r="K965" s="5">
        <f>IF(D965&lt;$E$11,H965,0)</f>
        <v>0</v>
      </c>
      <c r="L965">
        <f>IF(D965&lt;$A$15,$C$11,$C$11*(1-$G$11))</f>
        <v>200</v>
      </c>
      <c r="M965">
        <f>IF(D965&lt;$A$15,0,1)</f>
        <v>1</v>
      </c>
    </row>
    <row r="966" spans="4:13" x14ac:dyDescent="0.2">
      <c r="D966">
        <f t="shared" si="53"/>
        <v>943</v>
      </c>
      <c r="E966" s="1">
        <f t="shared" si="55"/>
        <v>217.53276807370364</v>
      </c>
      <c r="F966" s="1">
        <f t="shared" si="54"/>
        <v>-48.793300080291232</v>
      </c>
      <c r="G966" s="1">
        <f t="shared" si="52"/>
        <v>6.4467231669239263E-22</v>
      </c>
      <c r="H966" s="1">
        <f>G966/$G$21</f>
        <v>4.5206651343345949E-23</v>
      </c>
      <c r="I966">
        <f>IF($E$11&lt;=D966, IF(D966&lt;=$A$15,D966-$E$11,$F$11),0)</f>
        <v>300</v>
      </c>
      <c r="J966">
        <f>IF(D966&lt;=$A$15,0,D966-$A$15)</f>
        <v>634</v>
      </c>
      <c r="K966" s="5">
        <f>IF(D966&lt;$E$11,H966,0)</f>
        <v>0</v>
      </c>
      <c r="L966">
        <f>IF(D966&lt;$A$15,$C$11,$C$11*(1-$G$11))</f>
        <v>200</v>
      </c>
      <c r="M966">
        <f>IF(D966&lt;$A$15,0,1)</f>
        <v>1</v>
      </c>
    </row>
    <row r="967" spans="4:13" x14ac:dyDescent="0.2">
      <c r="D967">
        <f t="shared" si="53"/>
        <v>944</v>
      </c>
      <c r="E967" s="1">
        <f t="shared" si="55"/>
        <v>217.45580703256752</v>
      </c>
      <c r="F967" s="1">
        <f t="shared" si="54"/>
        <v>-48.870261121427347</v>
      </c>
      <c r="G967" s="1">
        <f t="shared" si="52"/>
        <v>5.9691881175222291E-22</v>
      </c>
      <c r="H967" s="1">
        <f>G967/$G$21</f>
        <v>4.1858010503098624E-23</v>
      </c>
      <c r="I967">
        <f>IF($E$11&lt;=D967, IF(D967&lt;=$A$15,D967-$E$11,$F$11),0)</f>
        <v>300</v>
      </c>
      <c r="J967">
        <f>IF(D967&lt;=$A$15,0,D967-$A$15)</f>
        <v>635</v>
      </c>
      <c r="K967" s="5">
        <f>IF(D967&lt;$E$11,H967,0)</f>
        <v>0</v>
      </c>
      <c r="L967">
        <f>IF(D967&lt;$A$15,$C$11,$C$11*(1-$G$11))</f>
        <v>200</v>
      </c>
      <c r="M967">
        <f>IF(D967&lt;$A$15,0,1)</f>
        <v>1</v>
      </c>
    </row>
    <row r="968" spans="4:13" x14ac:dyDescent="0.2">
      <c r="D968">
        <f t="shared" si="53"/>
        <v>945</v>
      </c>
      <c r="E968" s="1">
        <f t="shared" si="55"/>
        <v>217.3788459914314</v>
      </c>
      <c r="F968" s="1">
        <f t="shared" si="54"/>
        <v>-48.947222162563463</v>
      </c>
      <c r="G968" s="1">
        <f t="shared" si="52"/>
        <v>5.527026034742875E-22</v>
      </c>
      <c r="H968" s="1">
        <f>G968/$G$21</f>
        <v>3.8757417132499219E-23</v>
      </c>
      <c r="I968">
        <f>IF($E$11&lt;=D968, IF(D968&lt;=$A$15,D968-$E$11,$F$11),0)</f>
        <v>300</v>
      </c>
      <c r="J968">
        <f>IF(D968&lt;=$A$15,0,D968-$A$15)</f>
        <v>636</v>
      </c>
      <c r="K968" s="5">
        <f>IF(D968&lt;$E$11,H968,0)</f>
        <v>0</v>
      </c>
      <c r="L968">
        <f>IF(D968&lt;$A$15,$C$11,$C$11*(1-$G$11))</f>
        <v>200</v>
      </c>
      <c r="M968">
        <f>IF(D968&lt;$A$15,0,1)</f>
        <v>1</v>
      </c>
    </row>
    <row r="969" spans="4:13" x14ac:dyDescent="0.2">
      <c r="D969">
        <f t="shared" si="53"/>
        <v>946</v>
      </c>
      <c r="E969" s="1">
        <f t="shared" si="55"/>
        <v>217.30188495029529</v>
      </c>
      <c r="F969" s="1">
        <f t="shared" si="54"/>
        <v>-49.024183203699579</v>
      </c>
      <c r="G969" s="1">
        <f t="shared" si="52"/>
        <v>5.1176166988360602E-22</v>
      </c>
      <c r="H969" s="1">
        <f>G969/$G$21</f>
        <v>3.5886497344907142E-23</v>
      </c>
      <c r="I969">
        <f>IF($E$11&lt;=D969, IF(D969&lt;=$A$15,D969-$E$11,$F$11),0)</f>
        <v>300</v>
      </c>
      <c r="J969">
        <f>IF(D969&lt;=$A$15,0,D969-$A$15)</f>
        <v>637</v>
      </c>
      <c r="K969" s="5">
        <f>IF(D969&lt;$E$11,H969,0)</f>
        <v>0</v>
      </c>
      <c r="L969">
        <f>IF(D969&lt;$A$15,$C$11,$C$11*(1-$G$11))</f>
        <v>200</v>
      </c>
      <c r="M969">
        <f>IF(D969&lt;$A$15,0,1)</f>
        <v>1</v>
      </c>
    </row>
    <row r="970" spans="4:13" x14ac:dyDescent="0.2">
      <c r="D970">
        <f t="shared" si="53"/>
        <v>947</v>
      </c>
      <c r="E970" s="1">
        <f t="shared" si="55"/>
        <v>217.22492390915917</v>
      </c>
      <c r="F970" s="1">
        <f t="shared" si="54"/>
        <v>-49.101144244835695</v>
      </c>
      <c r="G970" s="1">
        <f t="shared" si="52"/>
        <v>4.7385339804038194E-22</v>
      </c>
      <c r="H970" s="1">
        <f>G970/$G$21</f>
        <v>3.3228238282321845E-23</v>
      </c>
      <c r="I970">
        <f>IF($E$11&lt;=D970, IF(D970&lt;=$A$15,D970-$E$11,$F$11),0)</f>
        <v>300</v>
      </c>
      <c r="J970">
        <f>IF(D970&lt;=$A$15,0,D970-$A$15)</f>
        <v>638</v>
      </c>
      <c r="K970" s="5">
        <f>IF(D970&lt;$E$11,H970,0)</f>
        <v>0</v>
      </c>
      <c r="L970">
        <f>IF(D970&lt;$A$15,$C$11,$C$11*(1-$G$11))</f>
        <v>200</v>
      </c>
      <c r="M970">
        <f>IF(D970&lt;$A$15,0,1)</f>
        <v>1</v>
      </c>
    </row>
    <row r="971" spans="4:13" x14ac:dyDescent="0.2">
      <c r="D971">
        <f t="shared" si="53"/>
        <v>948</v>
      </c>
      <c r="E971" s="1">
        <f t="shared" si="55"/>
        <v>217.14796286802306</v>
      </c>
      <c r="F971" s="1">
        <f t="shared" si="54"/>
        <v>-49.17810528597181</v>
      </c>
      <c r="G971" s="1">
        <f t="shared" si="52"/>
        <v>4.3875314633369251E-22</v>
      </c>
      <c r="H971" s="1">
        <f>G971/$G$21</f>
        <v>3.0766887298446544E-23</v>
      </c>
      <c r="I971">
        <f>IF($E$11&lt;=D971, IF(D971&lt;=$A$15,D971-$E$11,$F$11),0)</f>
        <v>300</v>
      </c>
      <c r="J971">
        <f>IF(D971&lt;=$A$15,0,D971-$A$15)</f>
        <v>639</v>
      </c>
      <c r="K971" s="5">
        <f>IF(D971&lt;$E$11,H971,0)</f>
        <v>0</v>
      </c>
      <c r="L971">
        <f>IF(D971&lt;$A$15,$C$11,$C$11*(1-$G$11))</f>
        <v>200</v>
      </c>
      <c r="M971">
        <f>IF(D971&lt;$A$15,0,1)</f>
        <v>1</v>
      </c>
    </row>
    <row r="972" spans="4:13" x14ac:dyDescent="0.2">
      <c r="D972">
        <f t="shared" si="53"/>
        <v>949</v>
      </c>
      <c r="E972" s="1">
        <f t="shared" si="55"/>
        <v>217.07100182688694</v>
      </c>
      <c r="F972" s="1">
        <f t="shared" si="54"/>
        <v>-49.255066327107926</v>
      </c>
      <c r="G972" s="1">
        <f t="shared" si="52"/>
        <v>4.0625291327194264E-22</v>
      </c>
      <c r="H972" s="1">
        <f>G972/$G$21</f>
        <v>2.8487858609673083E-23</v>
      </c>
      <c r="I972">
        <f>IF($E$11&lt;=D972, IF(D972&lt;=$A$15,D972-$E$11,$F$11),0)</f>
        <v>300</v>
      </c>
      <c r="J972">
        <f>IF(D972&lt;=$A$15,0,D972-$A$15)</f>
        <v>640</v>
      </c>
      <c r="K972" s="5">
        <f>IF(D972&lt;$E$11,H972,0)</f>
        <v>0</v>
      </c>
      <c r="L972">
        <f>IF(D972&lt;$A$15,$C$11,$C$11*(1-$G$11))</f>
        <v>200</v>
      </c>
      <c r="M972">
        <f>IF(D972&lt;$A$15,0,1)</f>
        <v>1</v>
      </c>
    </row>
    <row r="973" spans="4:13" x14ac:dyDescent="0.2">
      <c r="D973">
        <f t="shared" si="53"/>
        <v>950</v>
      </c>
      <c r="E973" s="1">
        <f t="shared" si="55"/>
        <v>216.99404078575083</v>
      </c>
      <c r="F973" s="1">
        <f t="shared" si="54"/>
        <v>-49.332027368244042</v>
      </c>
      <c r="G973" s="1">
        <f t="shared" si="52"/>
        <v>3.7616010488143314E-22</v>
      </c>
      <c r="H973" s="1">
        <f>G973/$G$21</f>
        <v>2.6377646860808745E-23</v>
      </c>
      <c r="I973">
        <f>IF($E$11&lt;=D973, IF(D973&lt;=$A$15,D973-$E$11,$F$11),0)</f>
        <v>300</v>
      </c>
      <c r="J973">
        <f>IF(D973&lt;=$A$15,0,D973-$A$15)</f>
        <v>641</v>
      </c>
      <c r="K973" s="5">
        <f>IF(D973&lt;$E$11,H973,0)</f>
        <v>0</v>
      </c>
      <c r="L973">
        <f>IF(D973&lt;$A$15,$C$11,$C$11*(1-$G$11))</f>
        <v>200</v>
      </c>
      <c r="M973">
        <f>IF(D973&lt;$A$15,0,1)</f>
        <v>1</v>
      </c>
    </row>
    <row r="974" spans="4:13" x14ac:dyDescent="0.2">
      <c r="D974">
        <f t="shared" si="53"/>
        <v>951</v>
      </c>
      <c r="E974" s="1">
        <f t="shared" si="55"/>
        <v>216.91707974461471</v>
      </c>
      <c r="F974" s="1">
        <f t="shared" si="54"/>
        <v>-49.408988409380157</v>
      </c>
      <c r="G974" s="1">
        <f t="shared" si="52"/>
        <v>3.4829639340873878E-22</v>
      </c>
      <c r="H974" s="1">
        <f>G974/$G$21</f>
        <v>2.4423747093341739E-23</v>
      </c>
      <c r="I974">
        <f>IF($E$11&lt;=D974, IF(D974&lt;=$A$15,D974-$E$11,$F$11),0)</f>
        <v>300</v>
      </c>
      <c r="J974">
        <f>IF(D974&lt;=$A$15,0,D974-$A$15)</f>
        <v>642</v>
      </c>
      <c r="K974" s="5">
        <f>IF(D974&lt;$E$11,H974,0)</f>
        <v>0</v>
      </c>
      <c r="L974">
        <f>IF(D974&lt;$A$15,$C$11,$C$11*(1-$G$11))</f>
        <v>200</v>
      </c>
      <c r="M974">
        <f>IF(D974&lt;$A$15,0,1)</f>
        <v>1</v>
      </c>
    </row>
    <row r="975" spans="4:13" x14ac:dyDescent="0.2">
      <c r="D975">
        <f t="shared" si="53"/>
        <v>952</v>
      </c>
      <c r="E975" s="1">
        <f t="shared" si="55"/>
        <v>216.84011870347859</v>
      </c>
      <c r="F975" s="1">
        <f t="shared" si="54"/>
        <v>-49.485949450516273</v>
      </c>
      <c r="G975" s="1">
        <f t="shared" si="52"/>
        <v>3.2249666056365109E-22</v>
      </c>
      <c r="H975" s="1">
        <f>G975/$G$21</f>
        <v>2.2614580641983378E-23</v>
      </c>
      <c r="I975">
        <f>IF($E$11&lt;=D975, IF(D975&lt;=$A$15,D975-$E$11,$F$11),0)</f>
        <v>300</v>
      </c>
      <c r="J975">
        <f>IF(D975&lt;=$A$15,0,D975-$A$15)</f>
        <v>643</v>
      </c>
      <c r="K975" s="5">
        <f>IF(D975&lt;$E$11,H975,0)</f>
        <v>0</v>
      </c>
      <c r="L975">
        <f>IF(D975&lt;$A$15,$C$11,$C$11*(1-$G$11))</f>
        <v>200</v>
      </c>
      <c r="M975">
        <f>IF(D975&lt;$A$15,0,1)</f>
        <v>1</v>
      </c>
    </row>
    <row r="976" spans="4:13" x14ac:dyDescent="0.2">
      <c r="D976">
        <f t="shared" si="53"/>
        <v>953</v>
      </c>
      <c r="E976" s="1">
        <f t="shared" si="55"/>
        <v>216.76315766234248</v>
      </c>
      <c r="F976" s="1">
        <f t="shared" si="54"/>
        <v>-49.562910491652389</v>
      </c>
      <c r="G976" s="1">
        <f t="shared" si="52"/>
        <v>2.9860801904042148E-22</v>
      </c>
      <c r="H976" s="1">
        <f>G976/$G$21</f>
        <v>2.0939426520355244E-23</v>
      </c>
      <c r="I976">
        <f>IF($E$11&lt;=D976, IF(D976&lt;=$A$15,D976-$E$11,$F$11),0)</f>
        <v>300</v>
      </c>
      <c r="J976">
        <f>IF(D976&lt;=$A$15,0,D976-$A$15)</f>
        <v>644</v>
      </c>
      <c r="K976" s="5">
        <f>IF(D976&lt;$E$11,H976,0)</f>
        <v>0</v>
      </c>
      <c r="L976">
        <f>IF(D976&lt;$A$15,$C$11,$C$11*(1-$G$11))</f>
        <v>200</v>
      </c>
      <c r="M976">
        <f>IF(D976&lt;$A$15,0,1)</f>
        <v>1</v>
      </c>
    </row>
    <row r="977" spans="4:13" x14ac:dyDescent="0.2">
      <c r="D977">
        <f t="shared" si="53"/>
        <v>954</v>
      </c>
      <c r="E977" s="1">
        <f t="shared" si="55"/>
        <v>216.68619662120636</v>
      </c>
      <c r="F977" s="1">
        <f t="shared" si="54"/>
        <v>-49.639871532788504</v>
      </c>
      <c r="G977" s="1">
        <f t="shared" si="52"/>
        <v>2.7648890651891225E-22</v>
      </c>
      <c r="H977" s="1">
        <f>G977/$G$21</f>
        <v>1.9388357889218063E-23</v>
      </c>
      <c r="I977">
        <f>IF($E$11&lt;=D977, IF(D977&lt;=$A$15,D977-$E$11,$F$11),0)</f>
        <v>300</v>
      </c>
      <c r="J977">
        <f>IF(D977&lt;=$A$15,0,D977-$A$15)</f>
        <v>645</v>
      </c>
      <c r="K977" s="5">
        <f>IF(D977&lt;$E$11,H977,0)</f>
        <v>0</v>
      </c>
      <c r="L977">
        <f>IF(D977&lt;$A$15,$C$11,$C$11*(1-$G$11))</f>
        <v>200</v>
      </c>
      <c r="M977">
        <f>IF(D977&lt;$A$15,0,1)</f>
        <v>1</v>
      </c>
    </row>
    <row r="978" spans="4:13" x14ac:dyDescent="0.2">
      <c r="D978">
        <f t="shared" si="53"/>
        <v>955</v>
      </c>
      <c r="E978" s="1">
        <f t="shared" si="55"/>
        <v>216.60923558007025</v>
      </c>
      <c r="F978" s="1">
        <f t="shared" si="54"/>
        <v>-49.71683257392462</v>
      </c>
      <c r="G978" s="1">
        <f t="shared" si="52"/>
        <v>2.5600824677677385E-22</v>
      </c>
      <c r="H978" s="1">
        <f>G978/$G$21</f>
        <v>1.7952183230757694E-23</v>
      </c>
      <c r="I978">
        <f>IF($E$11&lt;=D978, IF(D978&lt;=$A$15,D978-$E$11,$F$11),0)</f>
        <v>300</v>
      </c>
      <c r="J978">
        <f>IF(D978&lt;=$A$15,0,D978-$A$15)</f>
        <v>646</v>
      </c>
      <c r="K978" s="5">
        <f>IF(D978&lt;$E$11,H978,0)</f>
        <v>0</v>
      </c>
      <c r="L978">
        <f>IF(D978&lt;$A$15,$C$11,$C$11*(1-$G$11))</f>
        <v>200</v>
      </c>
      <c r="M978">
        <f>IF(D978&lt;$A$15,0,1)</f>
        <v>1</v>
      </c>
    </row>
    <row r="979" spans="4:13" x14ac:dyDescent="0.2">
      <c r="D979">
        <f t="shared" si="53"/>
        <v>956</v>
      </c>
      <c r="E979" s="1">
        <f t="shared" si="55"/>
        <v>216.53227453893413</v>
      </c>
      <c r="F979" s="1">
        <f t="shared" si="54"/>
        <v>-49.793793615060736</v>
      </c>
      <c r="G979" s="1">
        <f t="shared" si="52"/>
        <v>2.3704467294146028E-22</v>
      </c>
      <c r="H979" s="1">
        <f>G979/$G$21</f>
        <v>1.662239188033141E-23</v>
      </c>
      <c r="I979">
        <f>IF($E$11&lt;=D979, IF(D979&lt;=$A$15,D979-$E$11,$F$11),0)</f>
        <v>300</v>
      </c>
      <c r="J979">
        <f>IF(D979&lt;=$A$15,0,D979-$A$15)</f>
        <v>647</v>
      </c>
      <c r="K979" s="5">
        <f>IF(D979&lt;$E$11,H979,0)</f>
        <v>0</v>
      </c>
      <c r="L979">
        <f>IF(D979&lt;$A$15,$C$11,$C$11*(1-$G$11))</f>
        <v>200</v>
      </c>
      <c r="M979">
        <f>IF(D979&lt;$A$15,0,1)</f>
        <v>1</v>
      </c>
    </row>
    <row r="980" spans="4:13" x14ac:dyDescent="0.2">
      <c r="D980">
        <f t="shared" si="53"/>
        <v>957</v>
      </c>
      <c r="E980" s="1">
        <f t="shared" si="55"/>
        <v>216.45531349779802</v>
      </c>
      <c r="F980" s="1">
        <f t="shared" si="54"/>
        <v>-49.870754656196851</v>
      </c>
      <c r="G980" s="1">
        <f t="shared" si="52"/>
        <v>2.1948580827913262E-22</v>
      </c>
      <c r="H980" s="1">
        <f>G980/$G$21</f>
        <v>1.5391103592899644E-23</v>
      </c>
      <c r="I980">
        <f>IF($E$11&lt;=D980, IF(D980&lt;=$A$15,D980-$E$11,$F$11),0)</f>
        <v>300</v>
      </c>
      <c r="J980">
        <f>IF(D980&lt;=$A$15,0,D980-$A$15)</f>
        <v>648</v>
      </c>
      <c r="K980" s="5">
        <f>IF(D980&lt;$E$11,H980,0)</f>
        <v>0</v>
      </c>
      <c r="L980">
        <f>IF(D980&lt;$A$15,$C$11,$C$11*(1-$G$11))</f>
        <v>200</v>
      </c>
      <c r="M980">
        <f>IF(D980&lt;$A$15,0,1)</f>
        <v>1</v>
      </c>
    </row>
    <row r="981" spans="4:13" x14ac:dyDescent="0.2">
      <c r="D981">
        <f t="shared" si="53"/>
        <v>958</v>
      </c>
      <c r="E981" s="1">
        <f t="shared" si="55"/>
        <v>216.3783524566619</v>
      </c>
      <c r="F981" s="1">
        <f t="shared" si="54"/>
        <v>-49.947715697332967</v>
      </c>
      <c r="G981" s="1">
        <f t="shared" si="52"/>
        <v>2.0322760025845871E-22</v>
      </c>
      <c r="H981" s="1">
        <f>G981/$G$21</f>
        <v>1.425102184527763E-23</v>
      </c>
      <c r="I981">
        <f>IF($E$11&lt;=D981, IF(D981&lt;=$A$15,D981-$E$11,$F$11),0)</f>
        <v>300</v>
      </c>
      <c r="J981">
        <f>IF(D981&lt;=$A$15,0,D981-$A$15)</f>
        <v>649</v>
      </c>
      <c r="K981" s="5">
        <f>IF(D981&lt;$E$11,H981,0)</f>
        <v>0</v>
      </c>
      <c r="L981">
        <f>IF(D981&lt;$A$15,$C$11,$C$11*(1-$G$11))</f>
        <v>200</v>
      </c>
      <c r="M981">
        <f>IF(D981&lt;$A$15,0,1)</f>
        <v>1</v>
      </c>
    </row>
    <row r="982" spans="4:13" x14ac:dyDescent="0.2">
      <c r="D982">
        <f t="shared" si="53"/>
        <v>959</v>
      </c>
      <c r="E982" s="1">
        <f t="shared" si="55"/>
        <v>216.30139141552579</v>
      </c>
      <c r="F982" s="1">
        <f t="shared" si="54"/>
        <v>-50.024676738469083</v>
      </c>
      <c r="G982" s="1">
        <f t="shared" si="52"/>
        <v>1.8817370394301972E-22</v>
      </c>
      <c r="H982" s="1">
        <f>G982/$G$21</f>
        <v>1.3195390597479454E-23</v>
      </c>
      <c r="I982">
        <f>IF($E$11&lt;=D982, IF(D982&lt;=$A$15,D982-$E$11,$F$11),0)</f>
        <v>300</v>
      </c>
      <c r="J982">
        <f>IF(D982&lt;=$A$15,0,D982-$A$15)</f>
        <v>650</v>
      </c>
      <c r="K982" s="5">
        <f>IF(D982&lt;$E$11,H982,0)</f>
        <v>0</v>
      </c>
      <c r="L982">
        <f>IF(D982&lt;$A$15,$C$11,$C$11*(1-$G$11))</f>
        <v>200</v>
      </c>
      <c r="M982">
        <f>IF(D982&lt;$A$15,0,1)</f>
        <v>1</v>
      </c>
    </row>
    <row r="983" spans="4:13" x14ac:dyDescent="0.2">
      <c r="D983">
        <f t="shared" si="53"/>
        <v>960</v>
      </c>
      <c r="E983" s="1">
        <f t="shared" si="55"/>
        <v>216.22443037438967</v>
      </c>
      <c r="F983" s="1">
        <f t="shared" si="54"/>
        <v>-50.101637779605198</v>
      </c>
      <c r="G983" s="1">
        <f t="shared" si="52"/>
        <v>1.7423491105835379E-22</v>
      </c>
      <c r="H983" s="1">
        <f>G983/$G$21</f>
        <v>1.2217954256925575E-23</v>
      </c>
      <c r="I983">
        <f>IF($E$11&lt;=D983, IF(D983&lt;=$A$15,D983-$E$11,$F$11),0)</f>
        <v>300</v>
      </c>
      <c r="J983">
        <f>IF(D983&lt;=$A$15,0,D983-$A$15)</f>
        <v>651</v>
      </c>
      <c r="K983" s="5">
        <f>IF(D983&lt;$E$11,H983,0)</f>
        <v>0</v>
      </c>
      <c r="L983">
        <f>IF(D983&lt;$A$15,$C$11,$C$11*(1-$G$11))</f>
        <v>200</v>
      </c>
      <c r="M983">
        <f>IF(D983&lt;$A$15,0,1)</f>
        <v>1</v>
      </c>
    </row>
    <row r="984" spans="4:13" x14ac:dyDescent="0.2">
      <c r="D984">
        <f t="shared" si="53"/>
        <v>961</v>
      </c>
      <c r="E984" s="1">
        <f t="shared" si="55"/>
        <v>216.14746933325355</v>
      </c>
      <c r="F984" s="1">
        <f t="shared" si="54"/>
        <v>-50.178598820741314</v>
      </c>
      <c r="G984" s="1">
        <f t="shared" ref="G984:G1047" si="56">EXP(F984)</f>
        <v>1.6132862135032961E-22</v>
      </c>
      <c r="H984" s="1">
        <f>G984/$G$21</f>
        <v>1.1312920608264563E-23</v>
      </c>
      <c r="I984">
        <f>IF($E$11&lt;=D984, IF(D984&lt;=$A$15,D984-$E$11,$F$11),0)</f>
        <v>300</v>
      </c>
      <c r="J984">
        <f>IF(D984&lt;=$A$15,0,D984-$A$15)</f>
        <v>652</v>
      </c>
      <c r="K984" s="5">
        <f>IF(D984&lt;$E$11,H984,0)</f>
        <v>0</v>
      </c>
      <c r="L984">
        <f>IF(D984&lt;$A$15,$C$11,$C$11*(1-$G$11))</f>
        <v>200</v>
      </c>
      <c r="M984">
        <f>IF(D984&lt;$A$15,0,1)</f>
        <v>1</v>
      </c>
    </row>
    <row r="985" spans="4:13" x14ac:dyDescent="0.2">
      <c r="D985">
        <f t="shared" ref="D985:D1048" si="57">1+D984</f>
        <v>962</v>
      </c>
      <c r="E985" s="1">
        <f t="shared" si="55"/>
        <v>216.07050829211744</v>
      </c>
      <c r="F985" s="1">
        <f t="shared" ref="F985:F1048" si="58">E985-$E$21</f>
        <v>-50.25555986187743</v>
      </c>
      <c r="G985" s="1">
        <f t="shared" si="56"/>
        <v>1.4937835310215896E-22</v>
      </c>
      <c r="H985" s="1">
        <f>G985/$G$21</f>
        <v>1.047492648913399E-23</v>
      </c>
      <c r="I985">
        <f>IF($E$11&lt;=D985, IF(D985&lt;=$A$15,D985-$E$11,$F$11),0)</f>
        <v>300</v>
      </c>
      <c r="J985">
        <f>IF(D985&lt;=$A$15,0,D985-$A$15)</f>
        <v>653</v>
      </c>
      <c r="K985" s="5">
        <f>IF(D985&lt;$E$11,H985,0)</f>
        <v>0</v>
      </c>
      <c r="L985">
        <f>IF(D985&lt;$A$15,$C$11,$C$11*(1-$G$11))</f>
        <v>200</v>
      </c>
      <c r="M985">
        <f>IF(D985&lt;$A$15,0,1)</f>
        <v>1</v>
      </c>
    </row>
    <row r="986" spans="4:13" x14ac:dyDescent="0.2">
      <c r="D986">
        <f t="shared" si="57"/>
        <v>963</v>
      </c>
      <c r="E986" s="1">
        <f t="shared" si="55"/>
        <v>215.99354725098132</v>
      </c>
      <c r="F986" s="1">
        <f t="shared" si="58"/>
        <v>-50.332520903013545</v>
      </c>
      <c r="G986" s="1">
        <f t="shared" si="56"/>
        <v>1.3831328990940817E-22</v>
      </c>
      <c r="H986" s="1">
        <f>G986/$G$21</f>
        <v>9.6990060084575182E-24</v>
      </c>
      <c r="I986">
        <f>IF($E$11&lt;=D986, IF(D986&lt;=$A$15,D986-$E$11,$F$11),0)</f>
        <v>300</v>
      </c>
      <c r="J986">
        <f>IF(D986&lt;=$A$15,0,D986-$A$15)</f>
        <v>654</v>
      </c>
      <c r="K986" s="5">
        <f>IF(D986&lt;$E$11,H986,0)</f>
        <v>0</v>
      </c>
      <c r="L986">
        <f>IF(D986&lt;$A$15,$C$11,$C$11*(1-$G$11))</f>
        <v>200</v>
      </c>
      <c r="M986">
        <f>IF(D986&lt;$A$15,0,1)</f>
        <v>1</v>
      </c>
    </row>
    <row r="987" spans="4:13" x14ac:dyDescent="0.2">
      <c r="D987">
        <f t="shared" si="57"/>
        <v>964</v>
      </c>
      <c r="E987" s="1">
        <f t="shared" si="55"/>
        <v>215.91658620984521</v>
      </c>
      <c r="F987" s="1">
        <f t="shared" si="58"/>
        <v>-50.409481944149661</v>
      </c>
      <c r="G987" s="1">
        <f t="shared" si="56"/>
        <v>1.280678610272314E-22</v>
      </c>
      <c r="H987" s="1">
        <f>G987/$G$21</f>
        <v>8.9805611189422606E-24</v>
      </c>
      <c r="I987">
        <f>IF($E$11&lt;=D987, IF(D987&lt;=$A$15,D987-$E$11,$F$11),0)</f>
        <v>300</v>
      </c>
      <c r="J987">
        <f>IF(D987&lt;=$A$15,0,D987-$A$15)</f>
        <v>655</v>
      </c>
      <c r="K987" s="5">
        <f>IF(D987&lt;$E$11,H987,0)</f>
        <v>0</v>
      </c>
      <c r="L987">
        <f>IF(D987&lt;$A$15,$C$11,$C$11*(1-$G$11))</f>
        <v>200</v>
      </c>
      <c r="M987">
        <f>IF(D987&lt;$A$15,0,1)</f>
        <v>1</v>
      </c>
    </row>
    <row r="988" spans="4:13" x14ac:dyDescent="0.2">
      <c r="D988">
        <f t="shared" si="57"/>
        <v>965</v>
      </c>
      <c r="E988" s="1">
        <f t="shared" si="55"/>
        <v>215.83962516870909</v>
      </c>
      <c r="F988" s="1">
        <f t="shared" si="58"/>
        <v>-50.486442985285777</v>
      </c>
      <c r="G988" s="1">
        <f t="shared" si="56"/>
        <v>1.1858135280299354E-22</v>
      </c>
      <c r="H988" s="1">
        <f>G988/$G$21</f>
        <v>8.3153343693910875E-24</v>
      </c>
      <c r="I988">
        <f>IF($E$11&lt;=D988, IF(D988&lt;=$A$15,D988-$E$11,$F$11),0)</f>
        <v>300</v>
      </c>
      <c r="J988">
        <f>IF(D988&lt;=$A$15,0,D988-$A$15)</f>
        <v>656</v>
      </c>
      <c r="K988" s="5">
        <f>IF(D988&lt;$E$11,H988,0)</f>
        <v>0</v>
      </c>
      <c r="L988">
        <f>IF(D988&lt;$A$15,$C$11,$C$11*(1-$G$11))</f>
        <v>200</v>
      </c>
      <c r="M988">
        <f>IF(D988&lt;$A$15,0,1)</f>
        <v>1</v>
      </c>
    </row>
    <row r="989" spans="4:13" x14ac:dyDescent="0.2">
      <c r="D989">
        <f t="shared" si="57"/>
        <v>966</v>
      </c>
      <c r="E989" s="1">
        <f t="shared" si="55"/>
        <v>215.76266412757298</v>
      </c>
      <c r="F989" s="1">
        <f t="shared" si="58"/>
        <v>-50.563404026421892</v>
      </c>
      <c r="G989" s="1">
        <f t="shared" si="56"/>
        <v>1.0979754889166209E-22</v>
      </c>
      <c r="H989" s="1">
        <f>G989/$G$21</f>
        <v>7.6993836753622165E-24</v>
      </c>
      <c r="I989">
        <f>IF($E$11&lt;=D989, IF(D989&lt;=$A$15,D989-$E$11,$F$11),0)</f>
        <v>300</v>
      </c>
      <c r="J989">
        <f>IF(D989&lt;=$A$15,0,D989-$A$15)</f>
        <v>657</v>
      </c>
      <c r="K989" s="5">
        <f>IF(D989&lt;$E$11,H989,0)</f>
        <v>0</v>
      </c>
      <c r="L989">
        <f>IF(D989&lt;$A$15,$C$11,$C$11*(1-$G$11))</f>
        <v>200</v>
      </c>
      <c r="M989">
        <f>IF(D989&lt;$A$15,0,1)</f>
        <v>1</v>
      </c>
    </row>
    <row r="990" spans="4:13" x14ac:dyDescent="0.2">
      <c r="D990">
        <f t="shared" si="57"/>
        <v>967</v>
      </c>
      <c r="E990" s="1">
        <f t="shared" si="55"/>
        <v>215.68570308643686</v>
      </c>
      <c r="F990" s="1">
        <f t="shared" si="58"/>
        <v>-50.640365067558008</v>
      </c>
      <c r="G990" s="1">
        <f t="shared" si="56"/>
        <v>1.0166439712191063E-22</v>
      </c>
      <c r="H990" s="1">
        <f>G990/$G$21</f>
        <v>7.1290589586688086E-24</v>
      </c>
      <c r="I990">
        <f>IF($E$11&lt;=D990, IF(D990&lt;=$A$15,D990-$E$11,$F$11),0)</f>
        <v>300</v>
      </c>
      <c r="J990">
        <f>IF(D990&lt;=$A$15,0,D990-$A$15)</f>
        <v>658</v>
      </c>
      <c r="K990" s="5">
        <f>IF(D990&lt;$E$11,H990,0)</f>
        <v>0</v>
      </c>
      <c r="L990">
        <f>IF(D990&lt;$A$15,$C$11,$C$11*(1-$G$11))</f>
        <v>200</v>
      </c>
      <c r="M990">
        <f>IF(D990&lt;$A$15,0,1)</f>
        <v>1</v>
      </c>
    </row>
    <row r="991" spans="4:13" x14ac:dyDescent="0.2">
      <c r="D991">
        <f t="shared" si="57"/>
        <v>968</v>
      </c>
      <c r="E991" s="1">
        <f t="shared" si="55"/>
        <v>215.60874204530074</v>
      </c>
      <c r="F991" s="1">
        <f t="shared" si="58"/>
        <v>-50.717326108694124</v>
      </c>
      <c r="G991" s="1">
        <f t="shared" si="56"/>
        <v>9.4133701038807324E-23</v>
      </c>
      <c r="H991" s="1">
        <f>G991/$G$21</f>
        <v>6.6009805172860174E-24</v>
      </c>
      <c r="I991">
        <f>IF($E$11&lt;=D991, IF(D991&lt;=$A$15,D991-$E$11,$F$11),0)</f>
        <v>300</v>
      </c>
      <c r="J991">
        <f>IF(D991&lt;=$A$15,0,D991-$A$15)</f>
        <v>659</v>
      </c>
      <c r="K991" s="5">
        <f>IF(D991&lt;$E$11,H991,0)</f>
        <v>0</v>
      </c>
      <c r="L991">
        <f>IF(D991&lt;$A$15,$C$11,$C$11*(1-$G$11))</f>
        <v>200</v>
      </c>
      <c r="M991">
        <f>IF(D991&lt;$A$15,0,1)</f>
        <v>1</v>
      </c>
    </row>
    <row r="992" spans="4:13" x14ac:dyDescent="0.2">
      <c r="D992">
        <f t="shared" si="57"/>
        <v>969</v>
      </c>
      <c r="E992" s="1">
        <f t="shared" si="55"/>
        <v>215.53178100416463</v>
      </c>
      <c r="F992" s="1">
        <f t="shared" si="58"/>
        <v>-50.79428714983024</v>
      </c>
      <c r="G992" s="1">
        <f t="shared" si="56"/>
        <v>8.7160834295193067E-23</v>
      </c>
      <c r="H992" s="1">
        <f>G992/$G$21</f>
        <v>6.1120189974871299E-24</v>
      </c>
      <c r="I992">
        <f>IF($E$11&lt;=D992, IF(D992&lt;=$A$15,D992-$E$11,$F$11),0)</f>
        <v>300</v>
      </c>
      <c r="J992">
        <f>IF(D992&lt;=$A$15,0,D992-$A$15)</f>
        <v>660</v>
      </c>
      <c r="K992" s="5">
        <f>IF(D992&lt;$E$11,H992,0)</f>
        <v>0</v>
      </c>
      <c r="L992">
        <f>IF(D992&lt;$A$15,$C$11,$C$11*(1-$G$11))</f>
        <v>200</v>
      </c>
      <c r="M992">
        <f>IF(D992&lt;$A$15,0,1)</f>
        <v>1</v>
      </c>
    </row>
    <row r="993" spans="4:13" x14ac:dyDescent="0.2">
      <c r="D993">
        <f t="shared" si="57"/>
        <v>970</v>
      </c>
      <c r="E993" s="1">
        <f t="shared" si="55"/>
        <v>215.45481996302851</v>
      </c>
      <c r="F993" s="1">
        <f t="shared" si="58"/>
        <v>-50.871248190966355</v>
      </c>
      <c r="G993" s="1">
        <f t="shared" si="56"/>
        <v>8.0704476199253862E-23</v>
      </c>
      <c r="H993" s="1">
        <f>G993/$G$21</f>
        <v>5.6592768495251919E-24</v>
      </c>
      <c r="I993">
        <f>IF($E$11&lt;=D993, IF(D993&lt;=$A$15,D993-$E$11,$F$11),0)</f>
        <v>300</v>
      </c>
      <c r="J993">
        <f>IF(D993&lt;=$A$15,0,D993-$A$15)</f>
        <v>661</v>
      </c>
      <c r="K993" s="5">
        <f>IF(D993&lt;$E$11,H993,0)</f>
        <v>0</v>
      </c>
      <c r="L993">
        <f>IF(D993&lt;$A$15,$C$11,$C$11*(1-$G$11))</f>
        <v>200</v>
      </c>
      <c r="M993">
        <f>IF(D993&lt;$A$15,0,1)</f>
        <v>1</v>
      </c>
    </row>
    <row r="994" spans="4:13" x14ac:dyDescent="0.2">
      <c r="D994">
        <f t="shared" si="57"/>
        <v>971</v>
      </c>
      <c r="E994" s="1">
        <f t="shared" si="55"/>
        <v>215.3778589218924</v>
      </c>
      <c r="F994" s="1">
        <f t="shared" si="58"/>
        <v>-50.948209232102471</v>
      </c>
      <c r="G994" s="1">
        <f t="shared" si="56"/>
        <v>7.4726366851161927E-23</v>
      </c>
      <c r="H994" s="1">
        <f>G994/$G$21</f>
        <v>5.2400711569678369E-24</v>
      </c>
      <c r="I994">
        <f>IF($E$11&lt;=D994, IF(D994&lt;=$A$15,D994-$E$11,$F$11),0)</f>
        <v>300</v>
      </c>
      <c r="J994">
        <f>IF(D994&lt;=$A$15,0,D994-$A$15)</f>
        <v>662</v>
      </c>
      <c r="K994" s="5">
        <f>IF(D994&lt;$E$11,H994,0)</f>
        <v>0</v>
      </c>
      <c r="L994">
        <f>IF(D994&lt;$A$15,$C$11,$C$11*(1-$G$11))</f>
        <v>200</v>
      </c>
      <c r="M994">
        <f>IF(D994&lt;$A$15,0,1)</f>
        <v>1</v>
      </c>
    </row>
    <row r="995" spans="4:13" x14ac:dyDescent="0.2">
      <c r="D995">
        <f t="shared" si="57"/>
        <v>972</v>
      </c>
      <c r="E995" s="1">
        <f t="shared" si="55"/>
        <v>215.30089788075628</v>
      </c>
      <c r="F995" s="1">
        <f t="shared" si="58"/>
        <v>-51.025170273238587</v>
      </c>
      <c r="G995" s="1">
        <f t="shared" si="56"/>
        <v>6.9191080417743401E-23</v>
      </c>
      <c r="H995" s="1">
        <f>G995/$G$21</f>
        <v>4.8519177379332436E-24</v>
      </c>
      <c r="I995">
        <f>IF($E$11&lt;=D995, IF(D995&lt;=$A$15,D995-$E$11,$F$11),0)</f>
        <v>300</v>
      </c>
      <c r="J995">
        <f>IF(D995&lt;=$A$15,0,D995-$A$15)</f>
        <v>663</v>
      </c>
      <c r="K995" s="5">
        <f>IF(D995&lt;$E$11,H995,0)</f>
        <v>0</v>
      </c>
      <c r="L995">
        <f>IF(D995&lt;$A$15,$C$11,$C$11*(1-$G$11))</f>
        <v>200</v>
      </c>
      <c r="M995">
        <f>IF(D995&lt;$A$15,0,1)</f>
        <v>1</v>
      </c>
    </row>
    <row r="996" spans="4:13" x14ac:dyDescent="0.2">
      <c r="D996">
        <f t="shared" si="57"/>
        <v>973</v>
      </c>
      <c r="E996" s="1">
        <f t="shared" si="55"/>
        <v>215.22393683962017</v>
      </c>
      <c r="F996" s="1">
        <f t="shared" si="58"/>
        <v>-51.102131314374702</v>
      </c>
      <c r="G996" s="1">
        <f t="shared" si="56"/>
        <v>6.4065815201615069E-23</v>
      </c>
      <c r="H996" s="1">
        <f>G996/$G$21</f>
        <v>4.4925164240123189E-24</v>
      </c>
      <c r="I996">
        <f>IF($E$11&lt;=D996, IF(D996&lt;=$A$15,D996-$E$11,$F$11),0)</f>
        <v>300</v>
      </c>
      <c r="J996">
        <f>IF(D996&lt;=$A$15,0,D996-$A$15)</f>
        <v>664</v>
      </c>
      <c r="K996" s="5">
        <f>IF(D996&lt;$E$11,H996,0)</f>
        <v>0</v>
      </c>
      <c r="L996">
        <f>IF(D996&lt;$A$15,$C$11,$C$11*(1-$G$11))</f>
        <v>200</v>
      </c>
      <c r="M996">
        <f>IF(D996&lt;$A$15,0,1)</f>
        <v>1</v>
      </c>
    </row>
    <row r="997" spans="4:13" x14ac:dyDescent="0.2">
      <c r="D997">
        <f t="shared" si="57"/>
        <v>974</v>
      </c>
      <c r="E997" s="1">
        <f t="shared" si="55"/>
        <v>215.14697579848405</v>
      </c>
      <c r="F997" s="1">
        <f t="shared" si="58"/>
        <v>-51.179092355510818</v>
      </c>
      <c r="G997" s="1">
        <f t="shared" si="56"/>
        <v>5.9320199260755448E-23</v>
      </c>
      <c r="H997" s="1">
        <f>G997/$G$21</f>
        <v>4.159737429641089E-24</v>
      </c>
      <c r="I997">
        <f>IF($E$11&lt;=D997, IF(D997&lt;=$A$15,D997-$E$11,$F$11),0)</f>
        <v>300</v>
      </c>
      <c r="J997">
        <f>IF(D997&lt;=$A$15,0,D997-$A$15)</f>
        <v>665</v>
      </c>
      <c r="K997" s="5">
        <f>IF(D997&lt;$E$11,H997,0)</f>
        <v>0</v>
      </c>
      <c r="L997">
        <f>IF(D997&lt;$A$15,$C$11,$C$11*(1-$G$11))</f>
        <v>200</v>
      </c>
      <c r="M997">
        <f>IF(D997&lt;$A$15,0,1)</f>
        <v>1</v>
      </c>
    </row>
    <row r="998" spans="4:13" x14ac:dyDescent="0.2">
      <c r="D998">
        <f t="shared" si="57"/>
        <v>975</v>
      </c>
      <c r="E998" s="1">
        <f t="shared" si="55"/>
        <v>215.07001475734793</v>
      </c>
      <c r="F998" s="1">
        <f t="shared" si="58"/>
        <v>-51.256053396646934</v>
      </c>
      <c r="G998" s="1">
        <f t="shared" si="56"/>
        <v>5.4926110426626105E-23</v>
      </c>
      <c r="H998" s="1">
        <f>G998/$G$21</f>
        <v>3.851608731149205E-24</v>
      </c>
      <c r="I998">
        <f>IF($E$11&lt;=D998, IF(D998&lt;=$A$15,D998-$E$11,$F$11),0)</f>
        <v>300</v>
      </c>
      <c r="J998">
        <f>IF(D998&lt;=$A$15,0,D998-$A$15)</f>
        <v>666</v>
      </c>
      <c r="K998" s="5">
        <f>IF(D998&lt;$E$11,H998,0)</f>
        <v>0</v>
      </c>
      <c r="L998">
        <f>IF(D998&lt;$A$15,$C$11,$C$11*(1-$G$11))</f>
        <v>200</v>
      </c>
      <c r="M998">
        <f>IF(D998&lt;$A$15,0,1)</f>
        <v>1</v>
      </c>
    </row>
    <row r="999" spans="4:13" x14ac:dyDescent="0.2">
      <c r="D999">
        <f t="shared" si="57"/>
        <v>976</v>
      </c>
      <c r="E999" s="1">
        <f t="shared" si="55"/>
        <v>214.99305371621182</v>
      </c>
      <c r="F999" s="1">
        <f t="shared" si="58"/>
        <v>-51.333014437783049</v>
      </c>
      <c r="G999" s="1">
        <f t="shared" si="56"/>
        <v>5.0857509654284075E-23</v>
      </c>
      <c r="H999" s="1">
        <f>G999/$G$21</f>
        <v>3.5663043806937534E-24</v>
      </c>
      <c r="I999">
        <f>IF($E$11&lt;=D999, IF(D999&lt;=$A$15,D999-$E$11,$F$11),0)</f>
        <v>300</v>
      </c>
      <c r="J999">
        <f>IF(D999&lt;=$A$15,0,D999-$A$15)</f>
        <v>667</v>
      </c>
      <c r="K999" s="5">
        <f>IF(D999&lt;$E$11,H999,0)</f>
        <v>0</v>
      </c>
      <c r="L999">
        <f>IF(D999&lt;$A$15,$C$11,$C$11*(1-$G$11))</f>
        <v>200</v>
      </c>
      <c r="M999">
        <f>IF(D999&lt;$A$15,0,1)</f>
        <v>1</v>
      </c>
    </row>
    <row r="1000" spans="4:13" x14ac:dyDescent="0.2">
      <c r="D1000">
        <f t="shared" si="57"/>
        <v>977</v>
      </c>
      <c r="E1000" s="1">
        <f t="shared" si="55"/>
        <v>214.9160926750757</v>
      </c>
      <c r="F1000" s="1">
        <f t="shared" si="58"/>
        <v>-51.409975478919165</v>
      </c>
      <c r="G1000" s="1">
        <f t="shared" si="56"/>
        <v>4.7090286716930291E-23</v>
      </c>
      <c r="H1000" s="1">
        <f>G1000/$G$21</f>
        <v>3.302133685827591E-24</v>
      </c>
      <c r="I1000">
        <f>IF($E$11&lt;=D1000, IF(D1000&lt;=$A$15,D1000-$E$11,$F$11),0)</f>
        <v>300</v>
      </c>
      <c r="J1000">
        <f>IF(D1000&lt;=$A$15,0,D1000-$A$15)</f>
        <v>668</v>
      </c>
      <c r="K1000" s="5">
        <f>IF(D1000&lt;$E$11,H1000,0)</f>
        <v>0</v>
      </c>
      <c r="L1000">
        <f>IF(D1000&lt;$A$15,$C$11,$C$11*(1-$G$11))</f>
        <v>200</v>
      </c>
      <c r="M1000">
        <f>IF(D1000&lt;$A$15,0,1)</f>
        <v>1</v>
      </c>
    </row>
    <row r="1001" spans="4:13" x14ac:dyDescent="0.2">
      <c r="D1001">
        <f t="shared" si="57"/>
        <v>978</v>
      </c>
      <c r="E1001" s="1">
        <f t="shared" si="55"/>
        <v>214.83913163393959</v>
      </c>
      <c r="F1001" s="1">
        <f t="shared" si="58"/>
        <v>-51.486936520055281</v>
      </c>
      <c r="G1001" s="1">
        <f t="shared" si="56"/>
        <v>4.3602117330491563E-23</v>
      </c>
      <c r="H1001" s="1">
        <f>G1001/$G$21</f>
        <v>3.0575311905811417E-24</v>
      </c>
      <c r="I1001">
        <f>IF($E$11&lt;=D1001, IF(D1001&lt;=$A$15,D1001-$E$11,$F$11),0)</f>
        <v>300</v>
      </c>
      <c r="J1001">
        <f>IF(D1001&lt;=$A$15,0,D1001-$A$15)</f>
        <v>669</v>
      </c>
      <c r="K1001" s="5">
        <f>IF(D1001&lt;$E$11,H1001,0)</f>
        <v>0</v>
      </c>
      <c r="L1001">
        <f>IF(D1001&lt;$A$15,$C$11,$C$11*(1-$G$11))</f>
        <v>200</v>
      </c>
      <c r="M1001">
        <f>IF(D1001&lt;$A$15,0,1)</f>
        <v>1</v>
      </c>
    </row>
    <row r="1002" spans="4:13" x14ac:dyDescent="0.2">
      <c r="D1002">
        <f t="shared" si="57"/>
        <v>979</v>
      </c>
      <c r="E1002" s="1">
        <f t="shared" si="55"/>
        <v>214.76217059280347</v>
      </c>
      <c r="F1002" s="1">
        <f t="shared" si="58"/>
        <v>-51.563897561191396</v>
      </c>
      <c r="G1002" s="1">
        <f t="shared" si="56"/>
        <v>4.0372330861566772E-23</v>
      </c>
      <c r="H1002" s="1">
        <f>G1002/$G$21</f>
        <v>2.8310473986862779E-24</v>
      </c>
      <c r="I1002">
        <f>IF($E$11&lt;=D1002, IF(D1002&lt;=$A$15,D1002-$E$11,$F$11),0)</f>
        <v>300</v>
      </c>
      <c r="J1002">
        <f>IF(D1002&lt;=$A$15,0,D1002-$A$15)</f>
        <v>670</v>
      </c>
      <c r="K1002" s="5">
        <f>IF(D1002&lt;$E$11,H1002,0)</f>
        <v>0</v>
      </c>
      <c r="L1002">
        <f>IF(D1002&lt;$A$15,$C$11,$C$11*(1-$G$11))</f>
        <v>200</v>
      </c>
      <c r="M1002">
        <f>IF(D1002&lt;$A$15,0,1)</f>
        <v>1</v>
      </c>
    </row>
    <row r="1003" spans="4:13" x14ac:dyDescent="0.2">
      <c r="D1003">
        <f t="shared" si="57"/>
        <v>980</v>
      </c>
      <c r="E1003" s="1">
        <f t="shared" si="55"/>
        <v>214.68520955166736</v>
      </c>
      <c r="F1003" s="1">
        <f t="shared" si="58"/>
        <v>-51.640858602327512</v>
      </c>
      <c r="G1003" s="1">
        <f t="shared" si="56"/>
        <v>3.7381787834784521E-23</v>
      </c>
      <c r="H1003" s="1">
        <f>G1003/$G$21</f>
        <v>2.6213401839688091E-24</v>
      </c>
      <c r="I1003">
        <f>IF($E$11&lt;=D1003, IF(D1003&lt;=$A$15,D1003-$E$11,$F$11),0)</f>
        <v>300</v>
      </c>
      <c r="J1003">
        <f>IF(D1003&lt;=$A$15,0,D1003-$A$15)</f>
        <v>671</v>
      </c>
      <c r="K1003" s="5">
        <f>IF(D1003&lt;$E$11,H1003,0)</f>
        <v>0</v>
      </c>
      <c r="L1003">
        <f>IF(D1003&lt;$A$15,$C$11,$C$11*(1-$G$11))</f>
        <v>200</v>
      </c>
      <c r="M1003">
        <f>IF(D1003&lt;$A$15,0,1)</f>
        <v>1</v>
      </c>
    </row>
    <row r="1004" spans="4:13" x14ac:dyDescent="0.2">
      <c r="D1004">
        <f t="shared" si="57"/>
        <v>981</v>
      </c>
      <c r="E1004" s="1">
        <f t="shared" si="55"/>
        <v>214.60824851053124</v>
      </c>
      <c r="F1004" s="1">
        <f t="shared" si="58"/>
        <v>-51.717819643463628</v>
      </c>
      <c r="G1004" s="1">
        <f t="shared" si="56"/>
        <v>3.461276651368981E-23</v>
      </c>
      <c r="H1004" s="1">
        <f>G1004/$G$21</f>
        <v>2.4271668370081873E-24</v>
      </c>
      <c r="I1004">
        <f>IF($E$11&lt;=D1004, IF(D1004&lt;=$A$15,D1004-$E$11,$F$11),0)</f>
        <v>300</v>
      </c>
      <c r="J1004">
        <f>IF(D1004&lt;=$A$15,0,D1004-$A$15)</f>
        <v>672</v>
      </c>
      <c r="K1004" s="5">
        <f>IF(D1004&lt;$E$11,H1004,0)</f>
        <v>0</v>
      </c>
      <c r="L1004">
        <f>IF(D1004&lt;$A$15,$C$11,$C$11*(1-$G$11))</f>
        <v>200</v>
      </c>
      <c r="M1004">
        <f>IF(D1004&lt;$A$15,0,1)</f>
        <v>1</v>
      </c>
    </row>
    <row r="1005" spans="4:13" x14ac:dyDescent="0.2">
      <c r="D1005">
        <f t="shared" si="57"/>
        <v>982</v>
      </c>
      <c r="E1005" s="1">
        <f t="shared" si="55"/>
        <v>214.53128746939512</v>
      </c>
      <c r="F1005" s="1">
        <f t="shared" si="58"/>
        <v>-51.794780684599743</v>
      </c>
      <c r="G1005" s="1">
        <f t="shared" si="56"/>
        <v>3.2048857883046523E-23</v>
      </c>
      <c r="H1005" s="1">
        <f>G1005/$G$21</f>
        <v>2.2473767009335351E-24</v>
      </c>
      <c r="I1005">
        <f>IF($E$11&lt;=D1005, IF(D1005&lt;=$A$15,D1005-$E$11,$F$11),0)</f>
        <v>300</v>
      </c>
      <c r="J1005">
        <f>IF(D1005&lt;=$A$15,0,D1005-$A$15)</f>
        <v>673</v>
      </c>
      <c r="K1005" s="5">
        <f>IF(D1005&lt;$E$11,H1005,0)</f>
        <v>0</v>
      </c>
      <c r="L1005">
        <f>IF(D1005&lt;$A$15,$C$11,$C$11*(1-$G$11))</f>
        <v>200</v>
      </c>
      <c r="M1005">
        <f>IF(D1005&lt;$A$15,0,1)</f>
        <v>1</v>
      </c>
    </row>
    <row r="1006" spans="4:13" x14ac:dyDescent="0.2">
      <c r="D1006">
        <f t="shared" si="57"/>
        <v>983</v>
      </c>
      <c r="E1006" s="1">
        <f t="shared" si="55"/>
        <v>214.45432642825901</v>
      </c>
      <c r="F1006" s="1">
        <f t="shared" si="58"/>
        <v>-51.871741725735859</v>
      </c>
      <c r="G1006" s="1">
        <f t="shared" si="56"/>
        <v>2.967486841022864E-23</v>
      </c>
      <c r="H1006" s="1">
        <f>G1006/$G$21</f>
        <v>2.0809043527162627E-24</v>
      </c>
      <c r="I1006">
        <f>IF($E$11&lt;=D1006, IF(D1006&lt;=$A$15,D1006-$E$11,$F$11),0)</f>
        <v>300</v>
      </c>
      <c r="J1006">
        <f>IF(D1006&lt;=$A$15,0,D1006-$A$15)</f>
        <v>674</v>
      </c>
      <c r="K1006" s="5">
        <f>IF(D1006&lt;$E$11,H1006,0)</f>
        <v>0</v>
      </c>
      <c r="L1006">
        <f>IF(D1006&lt;$A$15,$C$11,$C$11*(1-$G$11))</f>
        <v>200</v>
      </c>
      <c r="M1006">
        <f>IF(D1006&lt;$A$15,0,1)</f>
        <v>1</v>
      </c>
    </row>
    <row r="1007" spans="4:13" x14ac:dyDescent="0.2">
      <c r="D1007">
        <f t="shared" si="57"/>
        <v>984</v>
      </c>
      <c r="E1007" s="1">
        <f t="shared" si="55"/>
        <v>214.37736538712289</v>
      </c>
      <c r="F1007" s="1">
        <f t="shared" si="58"/>
        <v>-51.948702766871975</v>
      </c>
      <c r="G1007" s="1">
        <f t="shared" si="56"/>
        <v>2.7476730009471306E-23</v>
      </c>
      <c r="H1007" s="1">
        <f>G1007/$G$21</f>
        <v>1.9267632895521192E-24</v>
      </c>
      <c r="I1007">
        <f>IF($E$11&lt;=D1007, IF(D1007&lt;=$A$15,D1007-$E$11,$F$11),0)</f>
        <v>300</v>
      </c>
      <c r="J1007">
        <f>IF(D1007&lt;=$A$15,0,D1007-$A$15)</f>
        <v>675</v>
      </c>
      <c r="K1007" s="5">
        <f>IF(D1007&lt;$E$11,H1007,0)</f>
        <v>0</v>
      </c>
      <c r="L1007">
        <f>IF(D1007&lt;$A$15,$C$11,$C$11*(1-$G$11))</f>
        <v>200</v>
      </c>
      <c r="M1007">
        <f>IF(D1007&lt;$A$15,0,1)</f>
        <v>1</v>
      </c>
    </row>
    <row r="1008" spans="4:13" x14ac:dyDescent="0.2">
      <c r="D1008">
        <f t="shared" si="57"/>
        <v>985</v>
      </c>
      <c r="E1008" s="1">
        <f t="shared" si="55"/>
        <v>214.30040434598678</v>
      </c>
      <c r="F1008" s="1">
        <f t="shared" si="58"/>
        <v>-52.02566380800809</v>
      </c>
      <c r="G1008" s="1">
        <f t="shared" si="56"/>
        <v>2.5441416675436719E-23</v>
      </c>
      <c r="H1008" s="1">
        <f>G1008/$G$21</f>
        <v>1.7840400829186517E-24</v>
      </c>
      <c r="I1008">
        <f>IF($E$11&lt;=D1008, IF(D1008&lt;=$A$15,D1008-$E$11,$F$11),0)</f>
        <v>300</v>
      </c>
      <c r="J1008">
        <f>IF(D1008&lt;=$A$15,0,D1008-$A$15)</f>
        <v>676</v>
      </c>
      <c r="K1008" s="5">
        <f>IF(D1008&lt;$E$11,H1008,0)</f>
        <v>0</v>
      </c>
      <c r="L1008">
        <f>IF(D1008&lt;$A$15,$C$11,$C$11*(1-$G$11))</f>
        <v>200</v>
      </c>
      <c r="M1008">
        <f>IF(D1008&lt;$A$15,0,1)</f>
        <v>1</v>
      </c>
    </row>
    <row r="1009" spans="4:13" x14ac:dyDescent="0.2">
      <c r="D1009">
        <f t="shared" si="57"/>
        <v>986</v>
      </c>
      <c r="E1009" s="1">
        <f t="shared" si="55"/>
        <v>214.22344330485066</v>
      </c>
      <c r="F1009" s="1">
        <f t="shared" si="58"/>
        <v>-52.102624849144206</v>
      </c>
      <c r="G1009" s="1">
        <f t="shared" si="56"/>
        <v>2.3556867292071335E-23</v>
      </c>
      <c r="H1009" s="1">
        <f>G1009/$G$21</f>
        <v>1.651888965665439E-24</v>
      </c>
      <c r="I1009">
        <f>IF($E$11&lt;=D1009, IF(D1009&lt;=$A$15,D1009-$E$11,$F$11),0)</f>
        <v>300</v>
      </c>
      <c r="J1009">
        <f>IF(D1009&lt;=$A$15,0,D1009-$A$15)</f>
        <v>677</v>
      </c>
      <c r="K1009" s="5">
        <f>IF(D1009&lt;$E$11,H1009,0)</f>
        <v>0</v>
      </c>
      <c r="L1009">
        <f>IF(D1009&lt;$A$15,$C$11,$C$11*(1-$G$11))</f>
        <v>200</v>
      </c>
      <c r="M1009">
        <f>IF(D1009&lt;$A$15,0,1)</f>
        <v>1</v>
      </c>
    </row>
    <row r="1010" spans="4:13" x14ac:dyDescent="0.2">
      <c r="D1010">
        <f t="shared" si="57"/>
        <v>987</v>
      </c>
      <c r="E1010" s="1">
        <f t="shared" si="55"/>
        <v>214.14648226371455</v>
      </c>
      <c r="F1010" s="1">
        <f t="shared" si="58"/>
        <v>-52.179585890280322</v>
      </c>
      <c r="G1010" s="1">
        <f t="shared" si="56"/>
        <v>2.1811914159325586E-23</v>
      </c>
      <c r="H1010" s="1">
        <f>G1010/$G$21</f>
        <v>1.529526820060611E-24</v>
      </c>
      <c r="I1010">
        <f>IF($E$11&lt;=D1010, IF(D1010&lt;=$A$15,D1010-$E$11,$F$11),0)</f>
        <v>300</v>
      </c>
      <c r="J1010">
        <f>IF(D1010&lt;=$A$15,0,D1010-$A$15)</f>
        <v>678</v>
      </c>
      <c r="K1010" s="5">
        <f>IF(D1010&lt;$E$11,H1010,0)</f>
        <v>0</v>
      </c>
      <c r="L1010">
        <f>IF(D1010&lt;$A$15,$C$11,$C$11*(1-$G$11))</f>
        <v>200</v>
      </c>
      <c r="M1010">
        <f>IF(D1010&lt;$A$15,0,1)</f>
        <v>1</v>
      </c>
    </row>
    <row r="1011" spans="4:13" x14ac:dyDescent="0.2">
      <c r="D1011">
        <f t="shared" si="57"/>
        <v>988</v>
      </c>
      <c r="E1011" s="1">
        <f t="shared" si="55"/>
        <v>214.06952122257843</v>
      </c>
      <c r="F1011" s="1">
        <f t="shared" si="58"/>
        <v>-52.256546931416437</v>
      </c>
      <c r="G1011" s="1">
        <f t="shared" si="56"/>
        <v>2.0196216814190613E-23</v>
      </c>
      <c r="H1011" s="1">
        <f>G1011/$G$21</f>
        <v>1.4162285370931763E-24</v>
      </c>
      <c r="I1011">
        <f>IF($E$11&lt;=D1011, IF(D1011&lt;=$A$15,D1011-$E$11,$F$11),0)</f>
        <v>300</v>
      </c>
      <c r="J1011">
        <f>IF(D1011&lt;=$A$15,0,D1011-$A$15)</f>
        <v>679</v>
      </c>
      <c r="K1011" s="5">
        <f>IF(D1011&lt;$E$11,H1011,0)</f>
        <v>0</v>
      </c>
      <c r="L1011">
        <f>IF(D1011&lt;$A$15,$C$11,$C$11*(1-$G$11))</f>
        <v>200</v>
      </c>
      <c r="M1011">
        <f>IF(D1011&lt;$A$15,0,1)</f>
        <v>1</v>
      </c>
    </row>
    <row r="1012" spans="4:13" x14ac:dyDescent="0.2">
      <c r="D1012">
        <f t="shared" si="57"/>
        <v>989</v>
      </c>
      <c r="E1012" s="1">
        <f t="shared" si="55"/>
        <v>213.99256018144231</v>
      </c>
      <c r="F1012" s="1">
        <f t="shared" si="58"/>
        <v>-52.333507972552553</v>
      </c>
      <c r="G1012" s="1">
        <f t="shared" si="56"/>
        <v>1.8700200753880431E-23</v>
      </c>
      <c r="H1012" s="1">
        <f>G1012/$G$21</f>
        <v>1.3113227195307352E-24</v>
      </c>
      <c r="I1012">
        <f>IF($E$11&lt;=D1012, IF(D1012&lt;=$A$15,D1012-$E$11,$F$11),0)</f>
        <v>300</v>
      </c>
      <c r="J1012">
        <f>IF(D1012&lt;=$A$15,0,D1012-$A$15)</f>
        <v>680</v>
      </c>
      <c r="K1012" s="5">
        <f>IF(D1012&lt;$E$11,H1012,0)</f>
        <v>0</v>
      </c>
      <c r="L1012">
        <f>IF(D1012&lt;$A$15,$C$11,$C$11*(1-$G$11))</f>
        <v>200</v>
      </c>
      <c r="M1012">
        <f>IF(D1012&lt;$A$15,0,1)</f>
        <v>1</v>
      </c>
    </row>
    <row r="1013" spans="4:13" x14ac:dyDescent="0.2">
      <c r="D1013">
        <f t="shared" si="57"/>
        <v>990</v>
      </c>
      <c r="E1013" s="1">
        <f t="shared" si="55"/>
        <v>213.9155991403062</v>
      </c>
      <c r="F1013" s="1">
        <f t="shared" si="58"/>
        <v>-52.410469013688669</v>
      </c>
      <c r="G1013" s="1">
        <f t="shared" si="56"/>
        <v>1.7315000698037655E-23</v>
      </c>
      <c r="H1013" s="1">
        <f>G1013/$G$21</f>
        <v>1.2141877032692146E-24</v>
      </c>
      <c r="I1013">
        <f>IF($E$11&lt;=D1013, IF(D1013&lt;=$A$15,D1013-$E$11,$F$11),0)</f>
        <v>300</v>
      </c>
      <c r="J1013">
        <f>IF(D1013&lt;=$A$15,0,D1013-$A$15)</f>
        <v>681</v>
      </c>
      <c r="K1013" s="5">
        <f>IF(D1013&lt;$E$11,H1013,0)</f>
        <v>0</v>
      </c>
      <c r="L1013">
        <f>IF(D1013&lt;$A$15,$C$11,$C$11*(1-$G$11))</f>
        <v>200</v>
      </c>
      <c r="M1013">
        <f>IF(D1013&lt;$A$15,0,1)</f>
        <v>1</v>
      </c>
    </row>
    <row r="1014" spans="4:13" x14ac:dyDescent="0.2">
      <c r="D1014">
        <f t="shared" si="57"/>
        <v>991</v>
      </c>
      <c r="E1014" s="1">
        <f t="shared" si="55"/>
        <v>213.83863809917008</v>
      </c>
      <c r="F1014" s="1">
        <f t="shared" si="58"/>
        <v>-52.487430054824785</v>
      </c>
      <c r="G1014" s="1">
        <f t="shared" si="56"/>
        <v>1.6032408053738773E-23</v>
      </c>
      <c r="H1014" s="1">
        <f>G1014/$G$21</f>
        <v>1.1242478733974352E-24</v>
      </c>
      <c r="I1014">
        <f>IF($E$11&lt;=D1014, IF(D1014&lt;=$A$15,D1014-$E$11,$F$11),0)</f>
        <v>300</v>
      </c>
      <c r="J1014">
        <f>IF(D1014&lt;=$A$15,0,D1014-$A$15)</f>
        <v>682</v>
      </c>
      <c r="K1014" s="5">
        <f>IF(D1014&lt;$E$11,H1014,0)</f>
        <v>0</v>
      </c>
      <c r="L1014">
        <f>IF(D1014&lt;$A$15,$C$11,$C$11*(1-$G$11))</f>
        <v>200</v>
      </c>
      <c r="M1014">
        <f>IF(D1014&lt;$A$15,0,1)</f>
        <v>1</v>
      </c>
    </row>
    <row r="1015" spans="4:13" x14ac:dyDescent="0.2">
      <c r="D1015">
        <f t="shared" si="57"/>
        <v>992</v>
      </c>
      <c r="E1015" s="1">
        <f t="shared" si="55"/>
        <v>213.76167705803397</v>
      </c>
      <c r="F1015" s="1">
        <f t="shared" si="58"/>
        <v>-52.5643910959609</v>
      </c>
      <c r="G1015" s="1">
        <f t="shared" si="56"/>
        <v>1.4844822271980533E-23</v>
      </c>
      <c r="H1015" s="1">
        <f>G1015/$G$21</f>
        <v>1.0409702531457864E-24</v>
      </c>
      <c r="I1015">
        <f>IF($E$11&lt;=D1015, IF(D1015&lt;=$A$15,D1015-$E$11,$F$11),0)</f>
        <v>300</v>
      </c>
      <c r="J1015">
        <f>IF(D1015&lt;=$A$15,0,D1015-$A$15)</f>
        <v>683</v>
      </c>
      <c r="K1015" s="5">
        <f>IF(D1015&lt;$E$11,H1015,0)</f>
        <v>0</v>
      </c>
      <c r="L1015">
        <f>IF(D1015&lt;$A$15,$C$11,$C$11*(1-$G$11))</f>
        <v>200</v>
      </c>
      <c r="M1015">
        <f>IF(D1015&lt;$A$15,0,1)</f>
        <v>1</v>
      </c>
    </row>
    <row r="1016" spans="4:13" x14ac:dyDescent="0.2">
      <c r="D1016">
        <f t="shared" si="57"/>
        <v>993</v>
      </c>
      <c r="E1016" s="1">
        <f t="shared" si="55"/>
        <v>213.68471601689785</v>
      </c>
      <c r="F1016" s="1">
        <f t="shared" si="58"/>
        <v>-52.641352137097016</v>
      </c>
      <c r="G1016" s="1">
        <f t="shared" si="56"/>
        <v>1.3745205807389556E-23</v>
      </c>
      <c r="H1016" s="1">
        <f>G1016/$G$21</f>
        <v>9.6386134550536998E-25</v>
      </c>
      <c r="I1016">
        <f>IF($E$11&lt;=D1016, IF(D1016&lt;=$A$15,D1016-$E$11,$F$11),0)</f>
        <v>300</v>
      </c>
      <c r="J1016">
        <f>IF(D1016&lt;=$A$15,0,D1016-$A$15)</f>
        <v>684</v>
      </c>
      <c r="K1016" s="5">
        <f>IF(D1016&lt;$E$11,H1016,0)</f>
        <v>0</v>
      </c>
      <c r="L1016">
        <f>IF(D1016&lt;$A$15,$C$11,$C$11*(1-$G$11))</f>
        <v>200</v>
      </c>
      <c r="M1016">
        <f>IF(D1016&lt;$A$15,0,1)</f>
        <v>1</v>
      </c>
    </row>
    <row r="1017" spans="4:13" x14ac:dyDescent="0.2">
      <c r="D1017">
        <f t="shared" si="57"/>
        <v>994</v>
      </c>
      <c r="E1017" s="1">
        <f t="shared" si="55"/>
        <v>213.60775497576174</v>
      </c>
      <c r="F1017" s="1">
        <f t="shared" si="58"/>
        <v>-52.718313178233132</v>
      </c>
      <c r="G1017" s="1">
        <f t="shared" si="56"/>
        <v>1.272704241424975E-23</v>
      </c>
      <c r="H1017" s="1">
        <f>G1017/$G$21</f>
        <v>8.9246420880127997E-25</v>
      </c>
      <c r="I1017">
        <f>IF($E$11&lt;=D1017, IF(D1017&lt;=$A$15,D1017-$E$11,$F$11),0)</f>
        <v>300</v>
      </c>
      <c r="J1017">
        <f>IF(D1017&lt;=$A$15,0,D1017-$A$15)</f>
        <v>685</v>
      </c>
      <c r="K1017" s="5">
        <f>IF(D1017&lt;$E$11,H1017,0)</f>
        <v>0</v>
      </c>
      <c r="L1017">
        <f>IF(D1017&lt;$A$15,$C$11,$C$11*(1-$G$11))</f>
        <v>200</v>
      </c>
      <c r="M1017">
        <f>IF(D1017&lt;$A$15,0,1)</f>
        <v>1</v>
      </c>
    </row>
    <row r="1018" spans="4:13" x14ac:dyDescent="0.2">
      <c r="D1018">
        <f t="shared" si="57"/>
        <v>995</v>
      </c>
      <c r="E1018" s="1">
        <f t="shared" si="55"/>
        <v>213.53079393462562</v>
      </c>
      <c r="F1018" s="1">
        <f t="shared" si="58"/>
        <v>-52.795274219369247</v>
      </c>
      <c r="G1018" s="1">
        <f t="shared" si="56"/>
        <v>1.1784298531712881E-23</v>
      </c>
      <c r="H1018" s="1">
        <f>G1018/$G$21</f>
        <v>8.2635574889008442E-25</v>
      </c>
      <c r="I1018">
        <f>IF($E$11&lt;=D1018, IF(D1018&lt;=$A$15,D1018-$E$11,$F$11),0)</f>
        <v>300</v>
      </c>
      <c r="J1018">
        <f>IF(D1018&lt;=$A$15,0,D1018-$A$15)</f>
        <v>686</v>
      </c>
      <c r="K1018" s="5">
        <f>IF(D1018&lt;$E$11,H1018,0)</f>
        <v>0</v>
      </c>
      <c r="L1018">
        <f>IF(D1018&lt;$A$15,$C$11,$C$11*(1-$G$11))</f>
        <v>200</v>
      </c>
      <c r="M1018">
        <f>IF(D1018&lt;$A$15,0,1)</f>
        <v>1</v>
      </c>
    </row>
    <row r="1019" spans="4:13" x14ac:dyDescent="0.2">
      <c r="D1019">
        <f t="shared" si="57"/>
        <v>996</v>
      </c>
      <c r="E1019" s="1">
        <f t="shared" si="55"/>
        <v>213.4538328934895</v>
      </c>
      <c r="F1019" s="1">
        <f t="shared" si="58"/>
        <v>-52.872235260505363</v>
      </c>
      <c r="G1019" s="1">
        <f t="shared" si="56"/>
        <v>1.0911387529363917E-23</v>
      </c>
      <c r="H1019" s="1">
        <f>G1019/$G$21</f>
        <v>7.6514421193527301E-25</v>
      </c>
      <c r="I1019">
        <f>IF($E$11&lt;=D1019, IF(D1019&lt;=$A$15,D1019-$E$11,$F$11),0)</f>
        <v>300</v>
      </c>
      <c r="J1019">
        <f>IF(D1019&lt;=$A$15,0,D1019-$A$15)</f>
        <v>687</v>
      </c>
      <c r="K1019" s="5">
        <f>IF(D1019&lt;$E$11,H1019,0)</f>
        <v>0</v>
      </c>
      <c r="L1019">
        <f>IF(D1019&lt;$A$15,$C$11,$C$11*(1-$G$11))</f>
        <v>200</v>
      </c>
      <c r="M1019">
        <f>IF(D1019&lt;$A$15,0,1)</f>
        <v>1</v>
      </c>
    </row>
    <row r="1020" spans="4:13" x14ac:dyDescent="0.2">
      <c r="D1020">
        <f t="shared" si="57"/>
        <v>997</v>
      </c>
      <c r="E1020" s="1">
        <f t="shared" si="55"/>
        <v>213.37687185235339</v>
      </c>
      <c r="F1020" s="1">
        <f t="shared" si="58"/>
        <v>-52.949196301641479</v>
      </c>
      <c r="G1020" s="1">
        <f t="shared" si="56"/>
        <v>1.0103136601263014E-23</v>
      </c>
      <c r="H1020" s="1">
        <f>G1020/$G$21</f>
        <v>7.0846686290303955E-25</v>
      </c>
      <c r="I1020">
        <f>IF($E$11&lt;=D1020, IF(D1020&lt;=$A$15,D1020-$E$11,$F$11),0)</f>
        <v>300</v>
      </c>
      <c r="J1020">
        <f>IF(D1020&lt;=$A$15,0,D1020-$A$15)</f>
        <v>688</v>
      </c>
      <c r="K1020" s="5">
        <f>IF(D1020&lt;$E$11,H1020,0)</f>
        <v>0</v>
      </c>
      <c r="L1020">
        <f>IF(D1020&lt;$A$15,$C$11,$C$11*(1-$G$11))</f>
        <v>200</v>
      </c>
      <c r="M1020">
        <f>IF(D1020&lt;$A$15,0,1)</f>
        <v>1</v>
      </c>
    </row>
    <row r="1021" spans="4:13" x14ac:dyDescent="0.2">
      <c r="D1021">
        <f t="shared" si="57"/>
        <v>998</v>
      </c>
      <c r="E1021" s="1">
        <f t="shared" si="55"/>
        <v>213.29991081121727</v>
      </c>
      <c r="F1021" s="1">
        <f t="shared" si="58"/>
        <v>-53.026157342777594</v>
      </c>
      <c r="G1021" s="1">
        <f t="shared" si="56"/>
        <v>9.3547561122806869E-24</v>
      </c>
      <c r="H1021" s="1">
        <f>G1021/$G$21</f>
        <v>6.5598783602134129E-25</v>
      </c>
      <c r="I1021">
        <f>IF($E$11&lt;=D1021, IF(D1021&lt;=$A$15,D1021-$E$11,$F$11),0)</f>
        <v>300</v>
      </c>
      <c r="J1021">
        <f>IF(D1021&lt;=$A$15,0,D1021-$A$15)</f>
        <v>689</v>
      </c>
      <c r="K1021" s="5">
        <f>IF(D1021&lt;$E$11,H1021,0)</f>
        <v>0</v>
      </c>
      <c r="L1021">
        <f>IF(D1021&lt;$A$15,$C$11,$C$11*(1-$G$11))</f>
        <v>200</v>
      </c>
      <c r="M1021">
        <f>IF(D1021&lt;$A$15,0,1)</f>
        <v>1</v>
      </c>
    </row>
    <row r="1022" spans="4:13" x14ac:dyDescent="0.2">
      <c r="D1022">
        <f t="shared" si="57"/>
        <v>999</v>
      </c>
      <c r="E1022" s="1">
        <f t="shared" si="55"/>
        <v>213.22294977008116</v>
      </c>
      <c r="F1022" s="1">
        <f t="shared" si="58"/>
        <v>-53.10311838391371</v>
      </c>
      <c r="G1022" s="1">
        <f t="shared" si="56"/>
        <v>8.6618112150748193E-24</v>
      </c>
      <c r="H1022" s="1">
        <f>G1022/$G$21</f>
        <v>6.0739614446421249E-25</v>
      </c>
      <c r="I1022">
        <f>IF($E$11&lt;=D1022, IF(D1022&lt;=$A$15,D1022-$E$11,$F$11),0)</f>
        <v>300</v>
      </c>
      <c r="J1022">
        <f>IF(D1022&lt;=$A$15,0,D1022-$A$15)</f>
        <v>690</v>
      </c>
      <c r="K1022" s="5">
        <f>IF(D1022&lt;$E$11,H1022,0)</f>
        <v>0</v>
      </c>
      <c r="L1022">
        <f>IF(D1022&lt;$A$15,$C$11,$C$11*(1-$G$11))</f>
        <v>200</v>
      </c>
      <c r="M1022">
        <f>IF(D1022&lt;$A$15,0,1)</f>
        <v>1</v>
      </c>
    </row>
    <row r="1023" spans="4:13" x14ac:dyDescent="0.2">
      <c r="D1023">
        <f t="shared" si="57"/>
        <v>1000</v>
      </c>
      <c r="E1023" s="1">
        <f t="shared" si="55"/>
        <v>213.14598872894504</v>
      </c>
      <c r="F1023" s="1">
        <f t="shared" si="58"/>
        <v>-53.180079425049826</v>
      </c>
      <c r="G1023" s="1">
        <f t="shared" si="56"/>
        <v>8.0201955695138223E-24</v>
      </c>
      <c r="H1023" s="1">
        <f>G1023/$G$21</f>
        <v>5.6240383746687051E-25</v>
      </c>
      <c r="I1023">
        <f>IF($E$11&lt;=D1023, IF(D1023&lt;=$A$15,D1023-$E$11,$F$11),0)</f>
        <v>300</v>
      </c>
      <c r="J1023">
        <f>IF(D1023&lt;=$A$15,0,D1023-$A$15)</f>
        <v>691</v>
      </c>
      <c r="K1023" s="5">
        <f>IF(D1023&lt;$E$11,H1023,0)</f>
        <v>0</v>
      </c>
      <c r="L1023">
        <f>IF(D1023&lt;$A$15,$C$11,$C$11*(1-$G$11))</f>
        <v>200</v>
      </c>
      <c r="M1023">
        <f>IF(D1023&lt;$A$15,0,1)</f>
        <v>1</v>
      </c>
    </row>
    <row r="1024" spans="4:13" x14ac:dyDescent="0.2">
      <c r="D1024">
        <f t="shared" si="57"/>
        <v>1001</v>
      </c>
      <c r="E1024" s="1">
        <f t="shared" si="55"/>
        <v>213.06902768780893</v>
      </c>
      <c r="F1024" s="1">
        <f t="shared" si="58"/>
        <v>-53.257040466185941</v>
      </c>
      <c r="G1024" s="1">
        <f t="shared" si="56"/>
        <v>7.4261070088091883E-24</v>
      </c>
      <c r="H1024" s="1">
        <f>G1024/$G$21</f>
        <v>5.2074429395081257E-25</v>
      </c>
      <c r="I1024">
        <f>IF($E$11&lt;=D1024, IF(D1024&lt;=$A$15,D1024-$E$11,$F$11),0)</f>
        <v>300</v>
      </c>
      <c r="J1024">
        <f>IF(D1024&lt;=$A$15,0,D1024-$A$15)</f>
        <v>692</v>
      </c>
      <c r="K1024" s="5">
        <f>IF(D1024&lt;$E$11,H1024,0)</f>
        <v>0</v>
      </c>
      <c r="L1024">
        <f>IF(D1024&lt;$A$15,$C$11,$C$11*(1-$G$11))</f>
        <v>200</v>
      </c>
      <c r="M1024">
        <f>IF(D1024&lt;$A$15,0,1)</f>
        <v>1</v>
      </c>
    </row>
    <row r="1025" spans="4:13" x14ac:dyDescent="0.2">
      <c r="D1025">
        <f t="shared" si="57"/>
        <v>1002</v>
      </c>
      <c r="E1025" s="1">
        <f t="shared" si="55"/>
        <v>212.99206664667281</v>
      </c>
      <c r="F1025" s="1">
        <f t="shared" si="58"/>
        <v>-53.334001507322057</v>
      </c>
      <c r="G1025" s="1">
        <f t="shared" si="56"/>
        <v>6.8760250081567438E-24</v>
      </c>
      <c r="H1025" s="1">
        <f>G1025/$G$21</f>
        <v>4.8217064254705489E-25</v>
      </c>
      <c r="I1025">
        <f>IF($E$11&lt;=D1025, IF(D1025&lt;=$A$15,D1025-$E$11,$F$11),0)</f>
        <v>300</v>
      </c>
      <c r="J1025">
        <f>IF(D1025&lt;=$A$15,0,D1025-$A$15)</f>
        <v>693</v>
      </c>
      <c r="K1025" s="5">
        <f>IF(D1025&lt;$E$11,H1025,0)</f>
        <v>0</v>
      </c>
      <c r="L1025">
        <f>IF(D1025&lt;$A$15,$C$11,$C$11*(1-$G$11))</f>
        <v>200</v>
      </c>
      <c r="M1025">
        <f>IF(D1025&lt;$A$15,0,1)</f>
        <v>1</v>
      </c>
    </row>
    <row r="1026" spans="4:13" x14ac:dyDescent="0.2">
      <c r="D1026">
        <f t="shared" si="57"/>
        <v>1003</v>
      </c>
      <c r="E1026" s="1">
        <f t="shared" si="55"/>
        <v>212.9151056055367</v>
      </c>
      <c r="F1026" s="1">
        <f t="shared" si="58"/>
        <v>-53.410962548458173</v>
      </c>
      <c r="G1026" s="1">
        <f t="shared" si="56"/>
        <v>6.3666898223674356E-24</v>
      </c>
      <c r="H1026" s="1">
        <f>G1026/$G$21</f>
        <v>4.4645429865468606E-25</v>
      </c>
      <c r="I1026">
        <f>IF($E$11&lt;=D1026, IF(D1026&lt;=$A$15,D1026-$E$11,$F$11),0)</f>
        <v>300</v>
      </c>
      <c r="J1026">
        <f>IF(D1026&lt;=$A$15,0,D1026-$A$15)</f>
        <v>694</v>
      </c>
      <c r="K1026" s="5">
        <f>IF(D1026&lt;$E$11,H1026,0)</f>
        <v>0</v>
      </c>
      <c r="L1026">
        <f>IF(D1026&lt;$A$15,$C$11,$C$11*(1-$G$11))</f>
        <v>200</v>
      </c>
      <c r="M1026">
        <f>IF(D1026&lt;$A$15,0,1)</f>
        <v>1</v>
      </c>
    </row>
    <row r="1027" spans="4:13" x14ac:dyDescent="0.2">
      <c r="D1027">
        <f t="shared" si="57"/>
        <v>1004</v>
      </c>
      <c r="E1027" s="1">
        <f t="shared" si="55"/>
        <v>212.83814456440058</v>
      </c>
      <c r="F1027" s="1">
        <f t="shared" si="58"/>
        <v>-53.487923589594288</v>
      </c>
      <c r="G1027" s="1">
        <f t="shared" si="56"/>
        <v>5.8950831688588108E-24</v>
      </c>
      <c r="H1027" s="1">
        <f>G1027/$G$21</f>
        <v>4.1338360986545525E-25</v>
      </c>
      <c r="I1027">
        <f>IF($E$11&lt;=D1027, IF(D1027&lt;=$A$15,D1027-$E$11,$F$11),0)</f>
        <v>300</v>
      </c>
      <c r="J1027">
        <f>IF(D1027&lt;=$A$15,0,D1027-$A$15)</f>
        <v>695</v>
      </c>
      <c r="K1027" s="5">
        <f>IF(D1027&lt;$E$11,H1027,0)</f>
        <v>0</v>
      </c>
      <c r="L1027">
        <f>IF(D1027&lt;$A$15,$C$11,$C$11*(1-$G$11))</f>
        <v>200</v>
      </c>
      <c r="M1027">
        <f>IF(D1027&lt;$A$15,0,1)</f>
        <v>1</v>
      </c>
    </row>
    <row r="1028" spans="4:13" x14ac:dyDescent="0.2">
      <c r="D1028">
        <f t="shared" si="57"/>
        <v>1005</v>
      </c>
      <c r="E1028" s="1">
        <f t="shared" ref="E1028:F1091" si="59">IF($G$11=1,IF(D1028&lt;=$A$15, E1027+LN($C$11)-LN(60/$D$11)-LN(MIN(D1028,$E$11)), E1027-LN(60/$D$11)-LN(MIN(D1028,$E$11))), IF(D1028&lt;=$A$15, E1027+LN($C$11)-LN(60/$D$11)-LN(MIN(D1028,$E$11)), E1027+LN($C$11)+LN(1-$G$11)-LN(60/$D$11)-LN(MIN(D1028,$E$11))))</f>
        <v>212.76118352326446</v>
      </c>
      <c r="F1028" s="1">
        <f t="shared" si="58"/>
        <v>-53.564884630730404</v>
      </c>
      <c r="G1028" s="1">
        <f t="shared" si="56"/>
        <v>5.4584103415360053E-24</v>
      </c>
      <c r="H1028" s="1">
        <f>G1028/$G$21</f>
        <v>3.8276260172727826E-25</v>
      </c>
      <c r="I1028">
        <f>IF($E$11&lt;=D1028, IF(D1028&lt;=$A$15,D1028-$E$11,$F$11),0)</f>
        <v>300</v>
      </c>
      <c r="J1028">
        <f>IF(D1028&lt;=$A$15,0,D1028-$A$15)</f>
        <v>696</v>
      </c>
      <c r="K1028" s="5">
        <f>IF(D1028&lt;$E$11,H1028,0)</f>
        <v>0</v>
      </c>
      <c r="L1028">
        <f>IF(D1028&lt;$A$15,$C$11,$C$11*(1-$G$11))</f>
        <v>200</v>
      </c>
      <c r="M1028">
        <f>IF(D1028&lt;$A$15,0,1)</f>
        <v>1</v>
      </c>
    </row>
    <row r="1029" spans="4:13" x14ac:dyDescent="0.2">
      <c r="D1029">
        <f t="shared" si="57"/>
        <v>1006</v>
      </c>
      <c r="E1029" s="1">
        <f t="shared" si="59"/>
        <v>212.68422248212835</v>
      </c>
      <c r="F1029" s="1">
        <f t="shared" si="58"/>
        <v>-53.64184567186652</v>
      </c>
      <c r="G1029" s="1">
        <f t="shared" si="56"/>
        <v>5.0540836495704393E-24</v>
      </c>
      <c r="H1029" s="1">
        <f>G1029/$G$21</f>
        <v>3.5440981641415102E-25</v>
      </c>
      <c r="I1029">
        <f>IF($E$11&lt;=D1029, IF(D1029&lt;=$A$15,D1029-$E$11,$F$11),0)</f>
        <v>300</v>
      </c>
      <c r="J1029">
        <f>IF(D1029&lt;=$A$15,0,D1029-$A$15)</f>
        <v>697</v>
      </c>
      <c r="K1029" s="5">
        <f>IF(D1029&lt;$E$11,H1029,0)</f>
        <v>0</v>
      </c>
      <c r="L1029">
        <f>IF(D1029&lt;$A$15,$C$11,$C$11*(1-$G$11))</f>
        <v>200</v>
      </c>
      <c r="M1029">
        <f>IF(D1029&lt;$A$15,0,1)</f>
        <v>1</v>
      </c>
    </row>
    <row r="1030" spans="4:13" x14ac:dyDescent="0.2">
      <c r="D1030">
        <f t="shared" si="57"/>
        <v>1007</v>
      </c>
      <c r="E1030" s="1">
        <f t="shared" si="59"/>
        <v>212.60726144099223</v>
      </c>
      <c r="F1030" s="1">
        <f t="shared" si="58"/>
        <v>-53.718806713002635</v>
      </c>
      <c r="G1030" s="1">
        <f t="shared" si="56"/>
        <v>4.6797070829356509E-24</v>
      </c>
      <c r="H1030" s="1">
        <f>G1030/$G$21</f>
        <v>3.2815723742051431E-25</v>
      </c>
      <c r="I1030">
        <f>IF($E$11&lt;=D1030, IF(D1030&lt;=$A$15,D1030-$E$11,$F$11),0)</f>
        <v>300</v>
      </c>
      <c r="J1030">
        <f>IF(D1030&lt;=$A$15,0,D1030-$A$15)</f>
        <v>698</v>
      </c>
      <c r="K1030" s="5">
        <f>IF(D1030&lt;$E$11,H1030,0)</f>
        <v>0</v>
      </c>
      <c r="L1030">
        <f>IF(D1030&lt;$A$15,$C$11,$C$11*(1-$G$11))</f>
        <v>200</v>
      </c>
      <c r="M1030">
        <f>IF(D1030&lt;$A$15,0,1)</f>
        <v>1</v>
      </c>
    </row>
    <row r="1031" spans="4:13" x14ac:dyDescent="0.2">
      <c r="D1031">
        <f t="shared" si="57"/>
        <v>1008</v>
      </c>
      <c r="E1031" s="1">
        <f t="shared" si="59"/>
        <v>212.53030039985612</v>
      </c>
      <c r="F1031" s="1">
        <f t="shared" si="58"/>
        <v>-53.795767754138751</v>
      </c>
      <c r="G1031" s="1">
        <f t="shared" si="56"/>
        <v>4.3330621138293615E-24</v>
      </c>
      <c r="H1031" s="1">
        <f>G1031/$G$21</f>
        <v>3.0384929390788749E-25</v>
      </c>
      <c r="I1031">
        <f>IF($E$11&lt;=D1031, IF(D1031&lt;=$A$15,D1031-$E$11,$F$11),0)</f>
        <v>300</v>
      </c>
      <c r="J1031">
        <f>IF(D1031&lt;=$A$15,0,D1031-$A$15)</f>
        <v>699</v>
      </c>
      <c r="K1031" s="5">
        <f>IF(D1031&lt;$E$11,H1031,0)</f>
        <v>0</v>
      </c>
      <c r="L1031">
        <f>IF(D1031&lt;$A$15,$C$11,$C$11*(1-$G$11))</f>
        <v>200</v>
      </c>
      <c r="M1031">
        <f>IF(D1031&lt;$A$15,0,1)</f>
        <v>1</v>
      </c>
    </row>
    <row r="1032" spans="4:13" x14ac:dyDescent="0.2">
      <c r="D1032">
        <f t="shared" si="57"/>
        <v>1009</v>
      </c>
      <c r="E1032" s="1">
        <f t="shared" si="59"/>
        <v>212.45333935872</v>
      </c>
      <c r="F1032" s="1">
        <f t="shared" si="58"/>
        <v>-53.872728795274867</v>
      </c>
      <c r="G1032" s="1">
        <f t="shared" si="56"/>
        <v>4.0120945498420518E-24</v>
      </c>
      <c r="H1032" s="1">
        <f>G1032/$G$21</f>
        <v>2.8134193880360307E-25</v>
      </c>
      <c r="I1032">
        <f>IF($E$11&lt;=D1032, IF(D1032&lt;=$A$15,D1032-$E$11,$F$11),0)</f>
        <v>300</v>
      </c>
      <c r="J1032">
        <f>IF(D1032&lt;=$A$15,0,D1032-$A$15)</f>
        <v>700</v>
      </c>
      <c r="K1032" s="5">
        <f>IF(D1032&lt;$E$11,H1032,0)</f>
        <v>0</v>
      </c>
      <c r="L1032">
        <f>IF(D1032&lt;$A$15,$C$11,$C$11*(1-$G$11))</f>
        <v>200</v>
      </c>
      <c r="M1032">
        <f>IF(D1032&lt;$A$15,0,1)</f>
        <v>1</v>
      </c>
    </row>
    <row r="1033" spans="4:13" x14ac:dyDescent="0.2">
      <c r="D1033">
        <f t="shared" si="57"/>
        <v>1010</v>
      </c>
      <c r="E1033" s="1">
        <f t="shared" si="59"/>
        <v>212.37637831758389</v>
      </c>
      <c r="F1033" s="1">
        <f t="shared" si="58"/>
        <v>-53.949689836410982</v>
      </c>
      <c r="G1033" s="1">
        <f t="shared" si="56"/>
        <v>3.7149023609649097E-24</v>
      </c>
      <c r="H1033" s="1">
        <f>G1033/$G$21</f>
        <v>2.6050179518852464E-25</v>
      </c>
      <c r="I1033">
        <f>IF($E$11&lt;=D1033, IF(D1033&lt;=$A$15,D1033-$E$11,$F$11),0)</f>
        <v>300</v>
      </c>
      <c r="J1033">
        <f>IF(D1033&lt;=$A$15,0,D1033-$A$15)</f>
        <v>701</v>
      </c>
      <c r="K1033" s="5">
        <f>IF(D1033&lt;$E$11,H1033,0)</f>
        <v>0</v>
      </c>
      <c r="L1033">
        <f>IF(D1033&lt;$A$15,$C$11,$C$11*(1-$G$11))</f>
        <v>200</v>
      </c>
      <c r="M1033">
        <f>IF(D1033&lt;$A$15,0,1)</f>
        <v>1</v>
      </c>
    </row>
    <row r="1034" spans="4:13" x14ac:dyDescent="0.2">
      <c r="D1034">
        <f t="shared" si="57"/>
        <v>1011</v>
      </c>
      <c r="E1034" s="1">
        <f t="shared" si="59"/>
        <v>212.29941727644777</v>
      </c>
      <c r="F1034" s="1">
        <f t="shared" si="58"/>
        <v>-54.026650877547098</v>
      </c>
      <c r="G1034" s="1">
        <f t="shared" si="56"/>
        <v>3.4397244083008859E-24</v>
      </c>
      <c r="H1034" s="1">
        <f>G1034/$G$21</f>
        <v>2.4120536591530364E-25</v>
      </c>
      <c r="I1034">
        <f>IF($E$11&lt;=D1034, IF(D1034&lt;=$A$15,D1034-$E$11,$F$11),0)</f>
        <v>300</v>
      </c>
      <c r="J1034">
        <f>IF(D1034&lt;=$A$15,0,D1034-$A$15)</f>
        <v>702</v>
      </c>
      <c r="K1034" s="5">
        <f>IF(D1034&lt;$E$11,H1034,0)</f>
        <v>0</v>
      </c>
      <c r="L1034">
        <f>IF(D1034&lt;$A$15,$C$11,$C$11*(1-$G$11))</f>
        <v>200</v>
      </c>
      <c r="M1034">
        <f>IF(D1034&lt;$A$15,0,1)</f>
        <v>1</v>
      </c>
    </row>
    <row r="1035" spans="4:13" x14ac:dyDescent="0.2">
      <c r="D1035">
        <f t="shared" si="57"/>
        <v>1012</v>
      </c>
      <c r="E1035" s="1">
        <f t="shared" si="59"/>
        <v>212.22245623531165</v>
      </c>
      <c r="F1035" s="1">
        <f t="shared" si="58"/>
        <v>-54.103611918683214</v>
      </c>
      <c r="G1035" s="1">
        <f t="shared" si="56"/>
        <v>3.1849300076860457E-24</v>
      </c>
      <c r="H1035" s="1">
        <f>G1035/$G$21</f>
        <v>2.2333830177343213E-25</v>
      </c>
      <c r="I1035">
        <f>IF($E$11&lt;=D1035, IF(D1035&lt;=$A$15,D1035-$E$11,$F$11),0)</f>
        <v>300</v>
      </c>
      <c r="J1035">
        <f>IF(D1035&lt;=$A$15,0,D1035-$A$15)</f>
        <v>703</v>
      </c>
      <c r="K1035" s="5">
        <f>IF(D1035&lt;$E$11,H1035,0)</f>
        <v>0</v>
      </c>
      <c r="L1035">
        <f>IF(D1035&lt;$A$15,$C$11,$C$11*(1-$G$11))</f>
        <v>200</v>
      </c>
      <c r="M1035">
        <f>IF(D1035&lt;$A$15,0,1)</f>
        <v>1</v>
      </c>
    </row>
    <row r="1036" spans="4:13" x14ac:dyDescent="0.2">
      <c r="D1036">
        <f t="shared" si="57"/>
        <v>1013</v>
      </c>
      <c r="E1036" s="1">
        <f t="shared" si="59"/>
        <v>212.14549519417554</v>
      </c>
      <c r="F1036" s="1">
        <f t="shared" si="58"/>
        <v>-54.18057295981933</v>
      </c>
      <c r="G1036" s="1">
        <f t="shared" si="56"/>
        <v>2.9490092663760056E-24</v>
      </c>
      <c r="H1036" s="1">
        <f>G1036/$G$21</f>
        <v>2.0679472386429164E-25</v>
      </c>
      <c r="I1036">
        <f>IF($E$11&lt;=D1036, IF(D1036&lt;=$A$15,D1036-$E$11,$F$11),0)</f>
        <v>300</v>
      </c>
      <c r="J1036">
        <f>IF(D1036&lt;=$A$15,0,D1036-$A$15)</f>
        <v>704</v>
      </c>
      <c r="K1036" s="5">
        <f>IF(D1036&lt;$E$11,H1036,0)</f>
        <v>0</v>
      </c>
      <c r="L1036">
        <f>IF(D1036&lt;$A$15,$C$11,$C$11*(1-$G$11))</f>
        <v>200</v>
      </c>
      <c r="M1036">
        <f>IF(D1036&lt;$A$15,0,1)</f>
        <v>1</v>
      </c>
    </row>
    <row r="1037" spans="4:13" x14ac:dyDescent="0.2">
      <c r="D1037">
        <f t="shared" si="57"/>
        <v>1014</v>
      </c>
      <c r="E1037" s="1">
        <f t="shared" si="59"/>
        <v>212.06853415303942</v>
      </c>
      <c r="F1037" s="1">
        <f t="shared" si="58"/>
        <v>-54.257534000955445</v>
      </c>
      <c r="G1037" s="1">
        <f t="shared" si="56"/>
        <v>2.730564135533373E-24</v>
      </c>
      <c r="H1037" s="1">
        <f>G1037/$G$21</f>
        <v>1.9147659617064281E-25</v>
      </c>
      <c r="I1037">
        <f>IF($E$11&lt;=D1037, IF(D1037&lt;=$A$15,D1037-$E$11,$F$11),0)</f>
        <v>300</v>
      </c>
      <c r="J1037">
        <f>IF(D1037&lt;=$A$15,0,D1037-$A$15)</f>
        <v>705</v>
      </c>
      <c r="K1037" s="5">
        <f>IF(D1037&lt;$E$11,H1037,0)</f>
        <v>0</v>
      </c>
      <c r="L1037">
        <f>IF(D1037&lt;$A$15,$C$11,$C$11*(1-$G$11))</f>
        <v>200</v>
      </c>
      <c r="M1037">
        <f>IF(D1037&lt;$A$15,0,1)</f>
        <v>1</v>
      </c>
    </row>
    <row r="1038" spans="4:13" x14ac:dyDescent="0.2">
      <c r="D1038">
        <f t="shared" si="57"/>
        <v>1015</v>
      </c>
      <c r="E1038" s="1">
        <f t="shared" si="59"/>
        <v>211.99157311190331</v>
      </c>
      <c r="F1038" s="1">
        <f t="shared" si="58"/>
        <v>-54.334495042091561</v>
      </c>
      <c r="G1038" s="1">
        <f t="shared" si="56"/>
        <v>2.5283001254938958E-24</v>
      </c>
      <c r="H1038" s="1">
        <f>G1038/$G$21</f>
        <v>1.7729314460244931E-25</v>
      </c>
      <c r="I1038">
        <f>IF($E$11&lt;=D1038, IF(D1038&lt;=$A$15,D1038-$E$11,$F$11),0)</f>
        <v>300</v>
      </c>
      <c r="J1038">
        <f>IF(D1038&lt;=$A$15,0,D1038-$A$15)</f>
        <v>706</v>
      </c>
      <c r="K1038" s="5">
        <f>IF(D1038&lt;$E$11,H1038,0)</f>
        <v>0</v>
      </c>
      <c r="L1038">
        <f>IF(D1038&lt;$A$15,$C$11,$C$11*(1-$G$11))</f>
        <v>200</v>
      </c>
      <c r="M1038">
        <f>IF(D1038&lt;$A$15,0,1)</f>
        <v>1</v>
      </c>
    </row>
    <row r="1039" spans="4:13" x14ac:dyDescent="0.2">
      <c r="D1039">
        <f t="shared" si="57"/>
        <v>1016</v>
      </c>
      <c r="E1039" s="1">
        <f t="shared" si="59"/>
        <v>211.91461207076719</v>
      </c>
      <c r="F1039" s="1">
        <f t="shared" si="58"/>
        <v>-54.411456083227677</v>
      </c>
      <c r="G1039" s="1">
        <f t="shared" si="56"/>
        <v>2.3410186347165997E-24</v>
      </c>
      <c r="H1039" s="1">
        <f>G1039/$G$21</f>
        <v>1.6416031907634402E-25</v>
      </c>
      <c r="I1039">
        <f>IF($E$11&lt;=D1039, IF(D1039&lt;=$A$15,D1039-$E$11,$F$11),0)</f>
        <v>300</v>
      </c>
      <c r="J1039">
        <f>IF(D1039&lt;=$A$15,0,D1039-$A$15)</f>
        <v>707</v>
      </c>
      <c r="K1039" s="5">
        <f>IF(D1039&lt;$E$11,H1039,0)</f>
        <v>0</v>
      </c>
      <c r="L1039">
        <f>IF(D1039&lt;$A$15,$C$11,$C$11*(1-$G$11))</f>
        <v>200</v>
      </c>
      <c r="M1039">
        <f>IF(D1039&lt;$A$15,0,1)</f>
        <v>1</v>
      </c>
    </row>
    <row r="1040" spans="4:13" x14ac:dyDescent="0.2">
      <c r="D1040">
        <f t="shared" si="57"/>
        <v>1017</v>
      </c>
      <c r="E1040" s="1">
        <f t="shared" si="59"/>
        <v>211.83765102963108</v>
      </c>
      <c r="F1040" s="1">
        <f t="shared" si="58"/>
        <v>-54.488417124363792</v>
      </c>
      <c r="G1040" s="1">
        <f t="shared" si="56"/>
        <v>2.1676098469598421E-24</v>
      </c>
      <c r="H1040" s="1">
        <f>G1040/$G$21</f>
        <v>1.5200029544106119E-25</v>
      </c>
      <c r="I1040">
        <f>IF($E$11&lt;=D1040, IF(D1040&lt;=$A$15,D1040-$E$11,$F$11),0)</f>
        <v>300</v>
      </c>
      <c r="J1040">
        <f>IF(D1040&lt;=$A$15,0,D1040-$A$15)</f>
        <v>708</v>
      </c>
      <c r="K1040" s="5">
        <f>IF(D1040&lt;$E$11,H1040,0)</f>
        <v>0</v>
      </c>
      <c r="L1040">
        <f>IF(D1040&lt;$A$15,$C$11,$C$11*(1-$G$11))</f>
        <v>200</v>
      </c>
      <c r="M1040">
        <f>IF(D1040&lt;$A$15,0,1)</f>
        <v>1</v>
      </c>
    </row>
    <row r="1041" spans="4:13" x14ac:dyDescent="0.2">
      <c r="D1041">
        <f t="shared" si="57"/>
        <v>1018</v>
      </c>
      <c r="E1041" s="1">
        <f t="shared" si="59"/>
        <v>211.76068998849496</v>
      </c>
      <c r="F1041" s="1">
        <f t="shared" si="58"/>
        <v>-54.565378165499908</v>
      </c>
      <c r="G1041" s="1">
        <f t="shared" si="56"/>
        <v>2.0070461545924716E-24</v>
      </c>
      <c r="H1041" s="1">
        <f>G1041/$G$21</f>
        <v>1.4074101429728066E-25</v>
      </c>
      <c r="I1041">
        <f>IF($E$11&lt;=D1041, IF(D1041&lt;=$A$15,D1041-$E$11,$F$11),0)</f>
        <v>300</v>
      </c>
      <c r="J1041">
        <f>IF(D1041&lt;=$A$15,0,D1041-$A$15)</f>
        <v>709</v>
      </c>
      <c r="K1041" s="5">
        <f>IF(D1041&lt;$E$11,H1041,0)</f>
        <v>0</v>
      </c>
      <c r="L1041">
        <f>IF(D1041&lt;$A$15,$C$11,$C$11*(1-$G$11))</f>
        <v>200</v>
      </c>
      <c r="M1041">
        <f>IF(D1041&lt;$A$15,0,1)</f>
        <v>1</v>
      </c>
    </row>
    <row r="1042" spans="4:13" x14ac:dyDescent="0.2">
      <c r="D1042">
        <f t="shared" si="57"/>
        <v>1019</v>
      </c>
      <c r="E1042" s="1">
        <f t="shared" si="59"/>
        <v>211.68372894735884</v>
      </c>
      <c r="F1042" s="1">
        <f t="shared" si="58"/>
        <v>-54.642339206636024</v>
      </c>
      <c r="G1042" s="1">
        <f t="shared" si="56"/>
        <v>1.858376069067127E-24</v>
      </c>
      <c r="H1042" s="1">
        <f>G1042/$G$21</f>
        <v>1.3031575397896523E-25</v>
      </c>
      <c r="I1042">
        <f>IF($E$11&lt;=D1042, IF(D1042&lt;=$A$15,D1042-$E$11,$F$11),0)</f>
        <v>300</v>
      </c>
      <c r="J1042">
        <f>IF(D1042&lt;=$A$15,0,D1042-$A$15)</f>
        <v>710</v>
      </c>
      <c r="K1042" s="5">
        <f>IF(D1042&lt;$E$11,H1042,0)</f>
        <v>0</v>
      </c>
      <c r="L1042">
        <f>IF(D1042&lt;$A$15,$C$11,$C$11*(1-$G$11))</f>
        <v>200</v>
      </c>
      <c r="M1042">
        <f>IF(D1042&lt;$A$15,0,1)</f>
        <v>1</v>
      </c>
    </row>
    <row r="1043" spans="4:13" x14ac:dyDescent="0.2">
      <c r="D1043">
        <f t="shared" si="57"/>
        <v>1020</v>
      </c>
      <c r="E1043" s="1">
        <f t="shared" si="59"/>
        <v>211.60676790622273</v>
      </c>
      <c r="F1043" s="1">
        <f t="shared" si="58"/>
        <v>-54.719300247772139</v>
      </c>
      <c r="G1043" s="1">
        <f t="shared" si="56"/>
        <v>1.7207185824695837E-24</v>
      </c>
      <c r="H1043" s="1">
        <f>G1043/$G$21</f>
        <v>1.2066273516571007E-25</v>
      </c>
      <c r="I1043">
        <f>IF($E$11&lt;=D1043, IF(D1043&lt;=$A$15,D1043-$E$11,$F$11),0)</f>
        <v>300</v>
      </c>
      <c r="J1043">
        <f>IF(D1043&lt;=$A$15,0,D1043-$A$15)</f>
        <v>711</v>
      </c>
      <c r="K1043" s="5">
        <f>IF(D1043&lt;$E$11,H1043,0)</f>
        <v>0</v>
      </c>
      <c r="L1043">
        <f>IF(D1043&lt;$A$15,$C$11,$C$11*(1-$G$11))</f>
        <v>200</v>
      </c>
      <c r="M1043">
        <f>IF(D1043&lt;$A$15,0,1)</f>
        <v>1</v>
      </c>
    </row>
    <row r="1044" spans="4:13" x14ac:dyDescent="0.2">
      <c r="D1044">
        <f t="shared" si="57"/>
        <v>1021</v>
      </c>
      <c r="E1044" s="1">
        <f t="shared" si="59"/>
        <v>211.52980686508661</v>
      </c>
      <c r="F1044" s="1">
        <f t="shared" si="58"/>
        <v>-54.796261288908255</v>
      </c>
      <c r="G1044" s="1">
        <f t="shared" si="56"/>
        <v>1.5932579467311161E-24</v>
      </c>
      <c r="H1044" s="1">
        <f>G1044/$G$21</f>
        <v>1.1172475478306628E-25</v>
      </c>
      <c r="I1044">
        <f>IF($E$11&lt;=D1044, IF(D1044&lt;=$A$15,D1044-$E$11,$F$11),0)</f>
        <v>300</v>
      </c>
      <c r="J1044">
        <f>IF(D1044&lt;=$A$15,0,D1044-$A$15)</f>
        <v>712</v>
      </c>
      <c r="K1044" s="5">
        <f>IF(D1044&lt;$E$11,H1044,0)</f>
        <v>0</v>
      </c>
      <c r="L1044">
        <f>IF(D1044&lt;$A$15,$C$11,$C$11*(1-$G$11))</f>
        <v>200</v>
      </c>
      <c r="M1044">
        <f>IF(D1044&lt;$A$15,0,1)</f>
        <v>1</v>
      </c>
    </row>
    <row r="1045" spans="4:13" x14ac:dyDescent="0.2">
      <c r="D1045">
        <f t="shared" si="57"/>
        <v>1022</v>
      </c>
      <c r="E1045" s="1">
        <f t="shared" si="59"/>
        <v>211.4528458239505</v>
      </c>
      <c r="F1045" s="1">
        <f t="shared" si="58"/>
        <v>-54.873222330044371</v>
      </c>
      <c r="G1045" s="1">
        <f t="shared" si="56"/>
        <v>1.475238839565867E-24</v>
      </c>
      <c r="H1045" s="1">
        <f>G1045/$G$21</f>
        <v>1.0344884702135898E-25</v>
      </c>
      <c r="I1045">
        <f>IF($E$11&lt;=D1045, IF(D1045&lt;=$A$15,D1045-$E$11,$F$11),0)</f>
        <v>300</v>
      </c>
      <c r="J1045">
        <f>IF(D1045&lt;=$A$15,0,D1045-$A$15)</f>
        <v>713</v>
      </c>
      <c r="K1045" s="5">
        <f>IF(D1045&lt;$E$11,H1045,0)</f>
        <v>0</v>
      </c>
      <c r="L1045">
        <f>IF(D1045&lt;$A$15,$C$11,$C$11*(1-$G$11))</f>
        <v>200</v>
      </c>
      <c r="M1045">
        <f>IF(D1045&lt;$A$15,0,1)</f>
        <v>1</v>
      </c>
    </row>
    <row r="1046" spans="4:13" x14ac:dyDescent="0.2">
      <c r="D1046">
        <f t="shared" si="57"/>
        <v>1023</v>
      </c>
      <c r="E1046" s="1">
        <f t="shared" si="59"/>
        <v>211.37588478281438</v>
      </c>
      <c r="F1046" s="1">
        <f t="shared" si="58"/>
        <v>-54.950183371180486</v>
      </c>
      <c r="G1046" s="1">
        <f t="shared" si="56"/>
        <v>1.3659618884869312E-24</v>
      </c>
      <c r="H1046" s="1">
        <f>G1046/$G$21</f>
        <v>9.5785969464222497E-26</v>
      </c>
      <c r="I1046">
        <f>IF($E$11&lt;=D1046, IF(D1046&lt;=$A$15,D1046-$E$11,$F$11),0)</f>
        <v>300</v>
      </c>
      <c r="J1046">
        <f>IF(D1046&lt;=$A$15,0,D1046-$A$15)</f>
        <v>714</v>
      </c>
      <c r="K1046" s="5">
        <f>IF(D1046&lt;$E$11,H1046,0)</f>
        <v>0</v>
      </c>
      <c r="L1046">
        <f>IF(D1046&lt;$A$15,$C$11,$C$11*(1-$G$11))</f>
        <v>200</v>
      </c>
      <c r="M1046">
        <f>IF(D1046&lt;$A$15,0,1)</f>
        <v>1</v>
      </c>
    </row>
    <row r="1047" spans="4:13" x14ac:dyDescent="0.2">
      <c r="D1047">
        <f t="shared" si="57"/>
        <v>1024</v>
      </c>
      <c r="E1047" s="1">
        <f t="shared" si="59"/>
        <v>211.29892374167827</v>
      </c>
      <c r="F1047" s="1">
        <f t="shared" si="58"/>
        <v>-55.027144412316602</v>
      </c>
      <c r="G1047" s="1">
        <f t="shared" si="56"/>
        <v>1.2647795263768042E-24</v>
      </c>
      <c r="H1047" s="1">
        <f>G1047/$G$21</f>
        <v>8.8690712466873804E-26</v>
      </c>
      <c r="I1047">
        <f>IF($E$11&lt;=D1047, IF(D1047&lt;=$A$15,D1047-$E$11,$F$11),0)</f>
        <v>300</v>
      </c>
      <c r="J1047">
        <f>IF(D1047&lt;=$A$15,0,D1047-$A$15)</f>
        <v>715</v>
      </c>
      <c r="K1047" s="5">
        <f>IF(D1047&lt;$E$11,H1047,0)</f>
        <v>0</v>
      </c>
      <c r="L1047">
        <f>IF(D1047&lt;$A$15,$C$11,$C$11*(1-$G$11))</f>
        <v>200</v>
      </c>
      <c r="M1047">
        <f>IF(D1047&lt;$A$15,0,1)</f>
        <v>1</v>
      </c>
    </row>
    <row r="1048" spans="4:13" x14ac:dyDescent="0.2">
      <c r="D1048">
        <f t="shared" si="57"/>
        <v>1025</v>
      </c>
      <c r="E1048" s="1">
        <f t="shared" si="59"/>
        <v>211.22196270054215</v>
      </c>
      <c r="F1048" s="1">
        <f t="shared" si="58"/>
        <v>-55.104105453452718</v>
      </c>
      <c r="G1048" s="1">
        <f t="shared" ref="G1048:G1111" si="60">EXP(F1048)</f>
        <v>1.1710921540526111E-24</v>
      </c>
      <c r="H1048" s="1">
        <f>G1048/$G$21</f>
        <v>8.2121030061921218E-26</v>
      </c>
      <c r="I1048">
        <f>IF($E$11&lt;=D1048, IF(D1048&lt;=$A$15,D1048-$E$11,$F$11),0)</f>
        <v>300</v>
      </c>
      <c r="J1048">
        <f>IF(D1048&lt;=$A$15,0,D1048-$A$15)</f>
        <v>716</v>
      </c>
      <c r="K1048" s="5">
        <f>IF(D1048&lt;$E$11,H1048,0)</f>
        <v>0</v>
      </c>
      <c r="L1048">
        <f>IF(D1048&lt;$A$15,$C$11,$C$11*(1-$G$11))</f>
        <v>200</v>
      </c>
      <c r="M1048">
        <f>IF(D1048&lt;$A$15,0,1)</f>
        <v>1</v>
      </c>
    </row>
    <row r="1049" spans="4:13" x14ac:dyDescent="0.2">
      <c r="D1049">
        <f t="shared" ref="D1049:D1112" si="61">1+D1048</f>
        <v>1026</v>
      </c>
      <c r="E1049" s="1">
        <f t="shared" si="59"/>
        <v>211.14500165940603</v>
      </c>
      <c r="F1049" s="1">
        <f t="shared" ref="F1049:F1112" si="62">E1049-$E$21</f>
        <v>-55.181066494588833</v>
      </c>
      <c r="G1049" s="1">
        <f t="shared" si="60"/>
        <v>1.0843445870857649E-24</v>
      </c>
      <c r="H1049" s="1">
        <f>G1049/$G$21</f>
        <v>7.6037990798076172E-26</v>
      </c>
      <c r="I1049">
        <f>IF($E$11&lt;=D1049, IF(D1049&lt;=$A$15,D1049-$E$11,$F$11),0)</f>
        <v>300</v>
      </c>
      <c r="J1049">
        <f>IF(D1049&lt;=$A$15,0,D1049-$A$15)</f>
        <v>717</v>
      </c>
      <c r="K1049" s="5">
        <f>IF(D1049&lt;$E$11,H1049,0)</f>
        <v>0</v>
      </c>
      <c r="L1049">
        <f>IF(D1049&lt;$A$15,$C$11,$C$11*(1-$G$11))</f>
        <v>200</v>
      </c>
      <c r="M1049">
        <f>IF(D1049&lt;$A$15,0,1)</f>
        <v>1</v>
      </c>
    </row>
    <row r="1050" spans="4:13" x14ac:dyDescent="0.2">
      <c r="D1050">
        <f t="shared" si="61"/>
        <v>1027</v>
      </c>
      <c r="E1050" s="1">
        <f t="shared" si="59"/>
        <v>211.06804061826992</v>
      </c>
      <c r="F1050" s="1">
        <f t="shared" si="62"/>
        <v>-55.258027535724949</v>
      </c>
      <c r="G1050" s="1">
        <f t="shared" si="60"/>
        <v>1.0040227658201652E-24</v>
      </c>
      <c r="H1050" s="1">
        <f>G1050/$G$21</f>
        <v>7.0405547035256602E-26</v>
      </c>
      <c r="I1050">
        <f>IF($E$11&lt;=D1050, IF(D1050&lt;=$A$15,D1050-$E$11,$F$11),0)</f>
        <v>300</v>
      </c>
      <c r="J1050">
        <f>IF(D1050&lt;=$A$15,0,D1050-$A$15)</f>
        <v>718</v>
      </c>
      <c r="K1050" s="5">
        <f>IF(D1050&lt;$E$11,H1050,0)</f>
        <v>0</v>
      </c>
      <c r="L1050">
        <f>IF(D1050&lt;$A$15,$C$11,$C$11*(1-$G$11))</f>
        <v>200</v>
      </c>
      <c r="M1050">
        <f>IF(D1050&lt;$A$15,0,1)</f>
        <v>1</v>
      </c>
    </row>
    <row r="1051" spans="4:13" x14ac:dyDescent="0.2">
      <c r="D1051">
        <f t="shared" si="61"/>
        <v>1028</v>
      </c>
      <c r="E1051" s="1">
        <f t="shared" si="59"/>
        <v>210.9910795771338</v>
      </c>
      <c r="F1051" s="1">
        <f t="shared" si="62"/>
        <v>-55.334988576861065</v>
      </c>
      <c r="G1051" s="1">
        <f t="shared" si="60"/>
        <v>9.2965070909275745E-25</v>
      </c>
      <c r="H1051" s="1">
        <f>G1051/$G$21</f>
        <v>6.5190321328942125E-26</v>
      </c>
      <c r="I1051">
        <f>IF($E$11&lt;=D1051, IF(D1051&lt;=$A$15,D1051-$E$11,$F$11),0)</f>
        <v>300</v>
      </c>
      <c r="J1051">
        <f>IF(D1051&lt;=$A$15,0,D1051-$A$15)</f>
        <v>719</v>
      </c>
      <c r="K1051" s="5">
        <f>IF(D1051&lt;$E$11,H1051,0)</f>
        <v>0</v>
      </c>
      <c r="L1051">
        <f>IF(D1051&lt;$A$15,$C$11,$C$11*(1-$G$11))</f>
        <v>200</v>
      </c>
      <c r="M1051">
        <f>IF(D1051&lt;$A$15,0,1)</f>
        <v>1</v>
      </c>
    </row>
    <row r="1052" spans="4:13" x14ac:dyDescent="0.2">
      <c r="D1052">
        <f t="shared" si="61"/>
        <v>1029</v>
      </c>
      <c r="E1052" s="1">
        <f t="shared" si="59"/>
        <v>210.91411853599769</v>
      </c>
      <c r="F1052" s="1">
        <f t="shared" si="62"/>
        <v>-55.41194961799718</v>
      </c>
      <c r="G1052" s="1">
        <f t="shared" si="60"/>
        <v>8.6078769360441584E-25</v>
      </c>
      <c r="H1052" s="1">
        <f>G1052/$G$21</f>
        <v>6.0361408637910129E-26</v>
      </c>
      <c r="I1052">
        <f>IF($E$11&lt;=D1052, IF(D1052&lt;=$A$15,D1052-$E$11,$F$11),0)</f>
        <v>300</v>
      </c>
      <c r="J1052">
        <f>IF(D1052&lt;=$A$15,0,D1052-$A$15)</f>
        <v>720</v>
      </c>
      <c r="K1052" s="5">
        <f>IF(D1052&lt;$E$11,H1052,0)</f>
        <v>0</v>
      </c>
      <c r="L1052">
        <f>IF(D1052&lt;$A$15,$C$11,$C$11*(1-$G$11))</f>
        <v>200</v>
      </c>
      <c r="M1052">
        <f>IF(D1052&lt;$A$15,0,1)</f>
        <v>1</v>
      </c>
    </row>
    <row r="1053" spans="4:13" x14ac:dyDescent="0.2">
      <c r="D1053">
        <f t="shared" si="61"/>
        <v>1030</v>
      </c>
      <c r="E1053" s="1">
        <f t="shared" si="59"/>
        <v>210.83715749486157</v>
      </c>
      <c r="F1053" s="1">
        <f t="shared" si="62"/>
        <v>-55.488910659133296</v>
      </c>
      <c r="G1053" s="1">
        <f t="shared" si="60"/>
        <v>7.9702564222632102E-25</v>
      </c>
      <c r="H1053" s="1">
        <f>G1053/$G$21</f>
        <v>5.5890193183250833E-26</v>
      </c>
      <c r="I1053">
        <f>IF($E$11&lt;=D1053, IF(D1053&lt;=$A$15,D1053-$E$11,$F$11),0)</f>
        <v>300</v>
      </c>
      <c r="J1053">
        <f>IF(D1053&lt;=$A$15,0,D1053-$A$15)</f>
        <v>721</v>
      </c>
      <c r="K1053" s="5">
        <f>IF(D1053&lt;$E$11,H1053,0)</f>
        <v>0</v>
      </c>
      <c r="L1053">
        <f>IF(D1053&lt;$A$15,$C$11,$C$11*(1-$G$11))</f>
        <v>200</v>
      </c>
      <c r="M1053">
        <f>IF(D1053&lt;$A$15,0,1)</f>
        <v>1</v>
      </c>
    </row>
    <row r="1054" spans="4:13" x14ac:dyDescent="0.2">
      <c r="D1054">
        <f t="shared" si="61"/>
        <v>1031</v>
      </c>
      <c r="E1054" s="1">
        <f t="shared" si="59"/>
        <v>210.76019645372546</v>
      </c>
      <c r="F1054" s="1">
        <f t="shared" si="62"/>
        <v>-55.565871700269412</v>
      </c>
      <c r="G1054" s="1">
        <f t="shared" si="60"/>
        <v>7.3798670576512138E-25</v>
      </c>
      <c r="H1054" s="1">
        <f>G1054/$G$21</f>
        <v>5.1750178873381046E-26</v>
      </c>
      <c r="I1054">
        <f>IF($E$11&lt;=D1054, IF(D1054&lt;=$A$15,D1054-$E$11,$F$11),0)</f>
        <v>300</v>
      </c>
      <c r="J1054">
        <f>IF(D1054&lt;=$A$15,0,D1054-$A$15)</f>
        <v>722</v>
      </c>
      <c r="K1054" s="5">
        <f>IF(D1054&lt;$E$11,H1054,0)</f>
        <v>0</v>
      </c>
      <c r="L1054">
        <f>IF(D1054&lt;$A$15,$C$11,$C$11*(1-$G$11))</f>
        <v>200</v>
      </c>
      <c r="M1054">
        <f>IF(D1054&lt;$A$15,0,1)</f>
        <v>1</v>
      </c>
    </row>
    <row r="1055" spans="4:13" x14ac:dyDescent="0.2">
      <c r="D1055">
        <f t="shared" si="61"/>
        <v>1032</v>
      </c>
      <c r="E1055" s="1">
        <f t="shared" si="59"/>
        <v>210.68323541258934</v>
      </c>
      <c r="F1055" s="1">
        <f t="shared" si="62"/>
        <v>-55.642832741405527</v>
      </c>
      <c r="G1055" s="1">
        <f t="shared" si="60"/>
        <v>6.8332102385660257E-25</v>
      </c>
      <c r="H1055" s="1">
        <f>G1055/$G$21</f>
        <v>4.7916832290168247E-26</v>
      </c>
      <c r="I1055">
        <f>IF($E$11&lt;=D1055, IF(D1055&lt;=$A$15,D1055-$E$11,$F$11),0)</f>
        <v>300</v>
      </c>
      <c r="J1055">
        <f>IF(D1055&lt;=$A$15,0,D1055-$A$15)</f>
        <v>723</v>
      </c>
      <c r="K1055" s="5">
        <f>IF(D1055&lt;$E$11,H1055,0)</f>
        <v>0</v>
      </c>
      <c r="L1055">
        <f>IF(D1055&lt;$A$15,$C$11,$C$11*(1-$G$11))</f>
        <v>200</v>
      </c>
      <c r="M1055">
        <f>IF(D1055&lt;$A$15,0,1)</f>
        <v>1</v>
      </c>
    </row>
    <row r="1056" spans="4:13" x14ac:dyDescent="0.2">
      <c r="D1056">
        <f t="shared" si="61"/>
        <v>1033</v>
      </c>
      <c r="E1056" s="1">
        <f t="shared" si="59"/>
        <v>210.60627437145322</v>
      </c>
      <c r="F1056" s="1">
        <f t="shared" si="62"/>
        <v>-55.719793782541643</v>
      </c>
      <c r="G1056" s="1">
        <f t="shared" si="60"/>
        <v>6.3270465171908442E-25</v>
      </c>
      <c r="H1056" s="1">
        <f>G1056/$G$21</f>
        <v>4.43674373057119E-26</v>
      </c>
      <c r="I1056">
        <f>IF($E$11&lt;=D1056, IF(D1056&lt;=$A$15,D1056-$E$11,$F$11),0)</f>
        <v>300</v>
      </c>
      <c r="J1056">
        <f>IF(D1056&lt;=$A$15,0,D1056-$A$15)</f>
        <v>724</v>
      </c>
      <c r="K1056" s="5">
        <f>IF(D1056&lt;$E$11,H1056,0)</f>
        <v>0</v>
      </c>
      <c r="L1056">
        <f>IF(D1056&lt;$A$15,$C$11,$C$11*(1-$G$11))</f>
        <v>200</v>
      </c>
      <c r="M1056">
        <f>IF(D1056&lt;$A$15,0,1)</f>
        <v>1</v>
      </c>
    </row>
    <row r="1057" spans="4:13" x14ac:dyDescent="0.2">
      <c r="D1057">
        <f t="shared" si="61"/>
        <v>1034</v>
      </c>
      <c r="E1057" s="1">
        <f t="shared" si="59"/>
        <v>210.52931333031711</v>
      </c>
      <c r="F1057" s="1">
        <f t="shared" si="62"/>
        <v>-55.796754823677759</v>
      </c>
      <c r="G1057" s="1">
        <f t="shared" si="60"/>
        <v>5.8583764048064118E-25</v>
      </c>
      <c r="H1057" s="1">
        <f>G1057/$G$21</f>
        <v>4.1080960468252281E-26</v>
      </c>
      <c r="I1057">
        <f>IF($E$11&lt;=D1057, IF(D1057&lt;=$A$15,D1057-$E$11,$F$11),0)</f>
        <v>300</v>
      </c>
      <c r="J1057">
        <f>IF(D1057&lt;=$A$15,0,D1057-$A$15)</f>
        <v>725</v>
      </c>
      <c r="K1057" s="5">
        <f>IF(D1057&lt;$E$11,H1057,0)</f>
        <v>0</v>
      </c>
      <c r="L1057">
        <f>IF(D1057&lt;$A$15,$C$11,$C$11*(1-$G$11))</f>
        <v>200</v>
      </c>
      <c r="M1057">
        <f>IF(D1057&lt;$A$15,0,1)</f>
        <v>1</v>
      </c>
    </row>
    <row r="1058" spans="4:13" x14ac:dyDescent="0.2">
      <c r="D1058">
        <f t="shared" si="61"/>
        <v>1035</v>
      </c>
      <c r="E1058" s="1">
        <f t="shared" si="59"/>
        <v>210.45235228918099</v>
      </c>
      <c r="F1058" s="1">
        <f t="shared" si="62"/>
        <v>-55.873715864813875</v>
      </c>
      <c r="G1058" s="1">
        <f t="shared" si="60"/>
        <v>5.4244225970430419E-25</v>
      </c>
      <c r="H1058" s="1">
        <f>G1058/$G$21</f>
        <v>3.8037926359493329E-26</v>
      </c>
      <c r="I1058">
        <f>IF($E$11&lt;=D1058, IF(D1058&lt;=$A$15,D1058-$E$11,$F$11),0)</f>
        <v>300</v>
      </c>
      <c r="J1058">
        <f>IF(D1058&lt;=$A$15,0,D1058-$A$15)</f>
        <v>726</v>
      </c>
      <c r="K1058" s="5">
        <f>IF(D1058&lt;$E$11,H1058,0)</f>
        <v>0</v>
      </c>
      <c r="L1058">
        <f>IF(D1058&lt;$A$15,$C$11,$C$11*(1-$G$11))</f>
        <v>200</v>
      </c>
      <c r="M1058">
        <f>IF(D1058&lt;$A$15,0,1)</f>
        <v>1</v>
      </c>
    </row>
    <row r="1059" spans="4:13" x14ac:dyDescent="0.2">
      <c r="D1059">
        <f t="shared" si="61"/>
        <v>1036</v>
      </c>
      <c r="E1059" s="1">
        <f t="shared" si="59"/>
        <v>210.37539124804488</v>
      </c>
      <c r="F1059" s="1">
        <f t="shared" si="62"/>
        <v>-55.95067690594999</v>
      </c>
      <c r="G1059" s="1">
        <f t="shared" si="60"/>
        <v>5.0226135157806584E-25</v>
      </c>
      <c r="H1059" s="1">
        <f>G1059/$G$21</f>
        <v>3.5220302184716496E-26</v>
      </c>
      <c r="I1059">
        <f>IF($E$11&lt;=D1059, IF(D1059&lt;=$A$15,D1059-$E$11,$F$11),0)</f>
        <v>300</v>
      </c>
      <c r="J1059">
        <f>IF(D1059&lt;=$A$15,0,D1059-$A$15)</f>
        <v>727</v>
      </c>
      <c r="K1059" s="5">
        <f>IF(D1059&lt;$E$11,H1059,0)</f>
        <v>0</v>
      </c>
      <c r="L1059">
        <f>IF(D1059&lt;$A$15,$C$11,$C$11*(1-$G$11))</f>
        <v>200</v>
      </c>
      <c r="M1059">
        <f>IF(D1059&lt;$A$15,0,1)</f>
        <v>1</v>
      </c>
    </row>
    <row r="1060" spans="4:13" x14ac:dyDescent="0.2">
      <c r="D1060">
        <f t="shared" si="61"/>
        <v>1037</v>
      </c>
      <c r="E1060" s="1">
        <f t="shared" si="59"/>
        <v>210.29843020690876</v>
      </c>
      <c r="F1060" s="1">
        <f t="shared" si="62"/>
        <v>-56.027637947086106</v>
      </c>
      <c r="G1060" s="1">
        <f t="shared" si="60"/>
        <v>4.6505680701673344E-25</v>
      </c>
      <c r="H1060" s="1">
        <f>G1060/$G$21</f>
        <v>3.2611390911774939E-26</v>
      </c>
      <c r="I1060">
        <f>IF($E$11&lt;=D1060, IF(D1060&lt;=$A$15,D1060-$E$11,$F$11),0)</f>
        <v>300</v>
      </c>
      <c r="J1060">
        <f>IF(D1060&lt;=$A$15,0,D1060-$A$15)</f>
        <v>728</v>
      </c>
      <c r="K1060" s="5">
        <f>IF(D1060&lt;$E$11,H1060,0)</f>
        <v>0</v>
      </c>
      <c r="L1060">
        <f>IF(D1060&lt;$A$15,$C$11,$C$11*(1-$G$11))</f>
        <v>200</v>
      </c>
      <c r="M1060">
        <f>IF(D1060&lt;$A$15,0,1)</f>
        <v>1</v>
      </c>
    </row>
    <row r="1061" spans="4:13" x14ac:dyDescent="0.2">
      <c r="D1061">
        <f t="shared" si="61"/>
        <v>1038</v>
      </c>
      <c r="E1061" s="1">
        <f t="shared" si="59"/>
        <v>210.22146916577265</v>
      </c>
      <c r="F1061" s="1">
        <f t="shared" si="62"/>
        <v>-56.104598988222222</v>
      </c>
      <c r="G1061" s="1">
        <f t="shared" si="60"/>
        <v>4.30608154645129E-25</v>
      </c>
      <c r="H1061" s="1">
        <f>G1061/$G$21</f>
        <v>3.0195732325717923E-26</v>
      </c>
      <c r="I1061">
        <f>IF($E$11&lt;=D1061, IF(D1061&lt;=$A$15,D1061-$E$11,$F$11),0)</f>
        <v>300</v>
      </c>
      <c r="J1061">
        <f>IF(D1061&lt;=$A$15,0,D1061-$A$15)</f>
        <v>729</v>
      </c>
      <c r="K1061" s="5">
        <f>IF(D1061&lt;$E$11,H1061,0)</f>
        <v>0</v>
      </c>
      <c r="L1061">
        <f>IF(D1061&lt;$A$15,$C$11,$C$11*(1-$G$11))</f>
        <v>200</v>
      </c>
      <c r="M1061">
        <f>IF(D1061&lt;$A$15,0,1)</f>
        <v>1</v>
      </c>
    </row>
    <row r="1062" spans="4:13" x14ac:dyDescent="0.2">
      <c r="D1062">
        <f t="shared" si="61"/>
        <v>1039</v>
      </c>
      <c r="E1062" s="1">
        <f t="shared" si="59"/>
        <v>210.14450812463653</v>
      </c>
      <c r="F1062" s="1">
        <f t="shared" si="62"/>
        <v>-56.181560029358337</v>
      </c>
      <c r="G1062" s="1">
        <f t="shared" si="60"/>
        <v>3.9871125430105046E-25</v>
      </c>
      <c r="H1062" s="1">
        <f>G1062/$G$21</f>
        <v>2.7959011412702136E-26</v>
      </c>
      <c r="I1062">
        <f>IF($E$11&lt;=D1062, IF(D1062&lt;=$A$15,D1062-$E$11,$F$11),0)</f>
        <v>300</v>
      </c>
      <c r="J1062">
        <f>IF(D1062&lt;=$A$15,0,D1062-$A$15)</f>
        <v>730</v>
      </c>
      <c r="K1062" s="5">
        <f>IF(D1062&lt;$E$11,H1062,0)</f>
        <v>0</v>
      </c>
      <c r="L1062">
        <f>IF(D1062&lt;$A$15,$C$11,$C$11*(1-$G$11))</f>
        <v>200</v>
      </c>
      <c r="M1062">
        <f>IF(D1062&lt;$A$15,0,1)</f>
        <v>1</v>
      </c>
    </row>
    <row r="1063" spans="4:13" x14ac:dyDescent="0.2">
      <c r="D1063">
        <f t="shared" si="61"/>
        <v>1040</v>
      </c>
      <c r="E1063" s="1">
        <f t="shared" si="59"/>
        <v>210.06754708350041</v>
      </c>
      <c r="F1063" s="1">
        <f t="shared" si="62"/>
        <v>-56.258521070494453</v>
      </c>
      <c r="G1063" s="1">
        <f t="shared" si="60"/>
        <v>3.691770873157921E-25</v>
      </c>
      <c r="H1063" s="1">
        <f>G1063/$G$21</f>
        <v>2.5887973530280079E-26</v>
      </c>
      <c r="I1063">
        <f>IF($E$11&lt;=D1063, IF(D1063&lt;=$A$15,D1063-$E$11,$F$11),0)</f>
        <v>300</v>
      </c>
      <c r="J1063">
        <f>IF(D1063&lt;=$A$15,0,D1063-$A$15)</f>
        <v>731</v>
      </c>
      <c r="K1063" s="5">
        <f>IF(D1063&lt;$E$11,H1063,0)</f>
        <v>0</v>
      </c>
      <c r="L1063">
        <f>IF(D1063&lt;$A$15,$C$11,$C$11*(1-$G$11))</f>
        <v>200</v>
      </c>
      <c r="M1063">
        <f>IF(D1063&lt;$A$15,0,1)</f>
        <v>1</v>
      </c>
    </row>
    <row r="1064" spans="4:13" x14ac:dyDescent="0.2">
      <c r="D1064">
        <f t="shared" si="61"/>
        <v>1041</v>
      </c>
      <c r="E1064" s="1">
        <f t="shared" si="59"/>
        <v>209.9905860423643</v>
      </c>
      <c r="F1064" s="1">
        <f t="shared" si="62"/>
        <v>-56.335482111630569</v>
      </c>
      <c r="G1064" s="1">
        <f t="shared" si="60"/>
        <v>3.4183063640351555E-25</v>
      </c>
      <c r="H1064" s="1">
        <f>G1064/$G$21</f>
        <v>2.3970345861370748E-26</v>
      </c>
      <c r="I1064">
        <f>IF($E$11&lt;=D1064, IF(D1064&lt;=$A$15,D1064-$E$11,$F$11),0)</f>
        <v>300</v>
      </c>
      <c r="J1064">
        <f>IF(D1064&lt;=$A$15,0,D1064-$A$15)</f>
        <v>732</v>
      </c>
      <c r="K1064" s="5">
        <f>IF(D1064&lt;$E$11,H1064,0)</f>
        <v>0</v>
      </c>
      <c r="L1064">
        <f>IF(D1064&lt;$A$15,$C$11,$C$11*(1-$G$11))</f>
        <v>200</v>
      </c>
      <c r="M1064">
        <f>IF(D1064&lt;$A$15,0,1)</f>
        <v>1</v>
      </c>
    </row>
    <row r="1065" spans="4:13" x14ac:dyDescent="0.2">
      <c r="D1065">
        <f t="shared" si="61"/>
        <v>1042</v>
      </c>
      <c r="E1065" s="1">
        <f t="shared" si="59"/>
        <v>209.91362500122818</v>
      </c>
      <c r="F1065" s="1">
        <f t="shared" si="62"/>
        <v>-56.412443152766684</v>
      </c>
      <c r="G1065" s="1">
        <f t="shared" si="60"/>
        <v>3.1650984852177763E-25</v>
      </c>
      <c r="H1065" s="1">
        <f>G1065/$G$21</f>
        <v>2.2194764686454675E-26</v>
      </c>
      <c r="I1065">
        <f>IF($E$11&lt;=D1065, IF(D1065&lt;=$A$15,D1065-$E$11,$F$11),0)</f>
        <v>300</v>
      </c>
      <c r="J1065">
        <f>IF(D1065&lt;=$A$15,0,D1065-$A$15)</f>
        <v>733</v>
      </c>
      <c r="K1065" s="5">
        <f>IF(D1065&lt;$E$11,H1065,0)</f>
        <v>0</v>
      </c>
      <c r="L1065">
        <f>IF(D1065&lt;$A$15,$C$11,$C$11*(1-$G$11))</f>
        <v>200</v>
      </c>
      <c r="M1065">
        <f>IF(D1065&lt;$A$15,0,1)</f>
        <v>1</v>
      </c>
    </row>
    <row r="1066" spans="4:13" x14ac:dyDescent="0.2">
      <c r="D1066">
        <f t="shared" si="61"/>
        <v>1043</v>
      </c>
      <c r="E1066" s="1">
        <f t="shared" si="59"/>
        <v>209.83666396009207</v>
      </c>
      <c r="F1066" s="1">
        <f t="shared" si="62"/>
        <v>-56.4894041939028</v>
      </c>
      <c r="G1066" s="1">
        <f t="shared" si="60"/>
        <v>2.9306467455720523E-25</v>
      </c>
      <c r="H1066" s="1">
        <f>G1066/$G$21</f>
        <v>2.0550708043013849E-26</v>
      </c>
      <c r="I1066">
        <f>IF($E$11&lt;=D1066, IF(D1066&lt;=$A$15,D1066-$E$11,$F$11),0)</f>
        <v>300</v>
      </c>
      <c r="J1066">
        <f>IF(D1066&lt;=$A$15,0,D1066-$A$15)</f>
        <v>734</v>
      </c>
      <c r="K1066" s="5">
        <f>IF(D1066&lt;$E$11,H1066,0)</f>
        <v>0</v>
      </c>
      <c r="L1066">
        <f>IF(D1066&lt;$A$15,$C$11,$C$11*(1-$G$11))</f>
        <v>200</v>
      </c>
      <c r="M1066">
        <f>IF(D1066&lt;$A$15,0,1)</f>
        <v>1</v>
      </c>
    </row>
    <row r="1067" spans="4:13" x14ac:dyDescent="0.2">
      <c r="D1067">
        <f t="shared" si="61"/>
        <v>1044</v>
      </c>
      <c r="E1067" s="1">
        <f t="shared" si="59"/>
        <v>209.75970291895595</v>
      </c>
      <c r="F1067" s="1">
        <f t="shared" si="62"/>
        <v>-56.566365235038916</v>
      </c>
      <c r="G1067" s="1">
        <f t="shared" si="60"/>
        <v>2.7135618014556384E-25</v>
      </c>
      <c r="H1067" s="1">
        <f>G1067/$G$21</f>
        <v>1.9028433373161213E-26</v>
      </c>
      <c r="I1067">
        <f>IF($E$11&lt;=D1067, IF(D1067&lt;=$A$15,D1067-$E$11,$F$11),0)</f>
        <v>300</v>
      </c>
      <c r="J1067">
        <f>IF(D1067&lt;=$A$15,0,D1067-$A$15)</f>
        <v>735</v>
      </c>
      <c r="K1067" s="5">
        <f>IF(D1067&lt;$E$11,H1067,0)</f>
        <v>0</v>
      </c>
      <c r="L1067">
        <f>IF(D1067&lt;$A$15,$C$11,$C$11*(1-$G$11))</f>
        <v>200</v>
      </c>
      <c r="M1067">
        <f>IF(D1067&lt;$A$15,0,1)</f>
        <v>1</v>
      </c>
    </row>
    <row r="1068" spans="4:13" x14ac:dyDescent="0.2">
      <c r="D1068">
        <f t="shared" si="61"/>
        <v>1045</v>
      </c>
      <c r="E1068" s="1">
        <f t="shared" si="59"/>
        <v>209.68274187781984</v>
      </c>
      <c r="F1068" s="1">
        <f t="shared" si="62"/>
        <v>-56.643326276175031</v>
      </c>
      <c r="G1068" s="1">
        <f t="shared" si="60"/>
        <v>2.5125572235700673E-25</v>
      </c>
      <c r="H1068" s="1">
        <f>G1068/$G$21</f>
        <v>1.7618919789964308E-26</v>
      </c>
      <c r="I1068">
        <f>IF($E$11&lt;=D1068, IF(D1068&lt;=$A$15,D1068-$E$11,$F$11),0)</f>
        <v>300</v>
      </c>
      <c r="J1068">
        <f>IF(D1068&lt;=$A$15,0,D1068-$A$15)</f>
        <v>736</v>
      </c>
      <c r="K1068" s="5">
        <f>IF(D1068&lt;$E$11,H1068,0)</f>
        <v>0</v>
      </c>
      <c r="L1068">
        <f>IF(D1068&lt;$A$15,$C$11,$C$11*(1-$G$11))</f>
        <v>200</v>
      </c>
      <c r="M1068">
        <f>IF(D1068&lt;$A$15,0,1)</f>
        <v>1</v>
      </c>
    </row>
    <row r="1069" spans="4:13" x14ac:dyDescent="0.2">
      <c r="D1069">
        <f t="shared" si="61"/>
        <v>1046</v>
      </c>
      <c r="E1069" s="1">
        <f t="shared" si="59"/>
        <v>209.60578083668372</v>
      </c>
      <c r="F1069" s="1">
        <f t="shared" si="62"/>
        <v>-56.720287317311147</v>
      </c>
      <c r="G1069" s="1">
        <f t="shared" si="60"/>
        <v>2.3264418736760174E-25</v>
      </c>
      <c r="H1069" s="1">
        <f>G1069/$G$21</f>
        <v>1.6313814620337528E-26</v>
      </c>
      <c r="I1069">
        <f>IF($E$11&lt;=D1069, IF(D1069&lt;=$A$15,D1069-$E$11,$F$11),0)</f>
        <v>300</v>
      </c>
      <c r="J1069">
        <f>IF(D1069&lt;=$A$15,0,D1069-$A$15)</f>
        <v>737</v>
      </c>
      <c r="K1069" s="5">
        <f>IF(D1069&lt;$E$11,H1069,0)</f>
        <v>0</v>
      </c>
      <c r="L1069">
        <f>IF(D1069&lt;$A$15,$C$11,$C$11*(1-$G$11))</f>
        <v>200</v>
      </c>
      <c r="M1069">
        <f>IF(D1069&lt;$A$15,0,1)</f>
        <v>1</v>
      </c>
    </row>
    <row r="1070" spans="4:13" x14ac:dyDescent="0.2">
      <c r="D1070">
        <f t="shared" si="61"/>
        <v>1047</v>
      </c>
      <c r="E1070" s="1">
        <f t="shared" si="59"/>
        <v>209.52881979554761</v>
      </c>
      <c r="F1070" s="1">
        <f t="shared" si="62"/>
        <v>-56.797248358447263</v>
      </c>
      <c r="G1070" s="1">
        <f t="shared" si="60"/>
        <v>2.1541128459963396E-25</v>
      </c>
      <c r="H1070" s="1">
        <f>G1070/$G$21</f>
        <v>1.5105383907720123E-26</v>
      </c>
      <c r="I1070">
        <f>IF($E$11&lt;=D1070, IF(D1070&lt;=$A$15,D1070-$E$11,$F$11),0)</f>
        <v>300</v>
      </c>
      <c r="J1070">
        <f>IF(D1070&lt;=$A$15,0,D1070-$A$15)</f>
        <v>738</v>
      </c>
      <c r="K1070" s="5">
        <f>IF(D1070&lt;$E$11,H1070,0)</f>
        <v>0</v>
      </c>
      <c r="L1070">
        <f>IF(D1070&lt;$A$15,$C$11,$C$11*(1-$G$11))</f>
        <v>200</v>
      </c>
      <c r="M1070">
        <f>IF(D1070&lt;$A$15,0,1)</f>
        <v>1</v>
      </c>
    </row>
    <row r="1071" spans="4:13" x14ac:dyDescent="0.2">
      <c r="D1071">
        <f t="shared" si="61"/>
        <v>1048</v>
      </c>
      <c r="E1071" s="1">
        <f t="shared" si="59"/>
        <v>209.45185875441149</v>
      </c>
      <c r="F1071" s="1">
        <f t="shared" si="62"/>
        <v>-56.874209399583378</v>
      </c>
      <c r="G1071" s="1">
        <f t="shared" si="60"/>
        <v>1.9945489314781176E-25</v>
      </c>
      <c r="H1071" s="1">
        <f>G1071/$G$21</f>
        <v>1.3986466581222516E-26</v>
      </c>
      <c r="I1071">
        <f>IF($E$11&lt;=D1071, IF(D1071&lt;=$A$15,D1071-$E$11,$F$11),0)</f>
        <v>300</v>
      </c>
      <c r="J1071">
        <f>IF(D1071&lt;=$A$15,0,D1071-$A$15)</f>
        <v>739</v>
      </c>
      <c r="K1071" s="5">
        <f>IF(D1071&lt;$E$11,H1071,0)</f>
        <v>0</v>
      </c>
      <c r="L1071">
        <f>IF(D1071&lt;$A$15,$C$11,$C$11*(1-$G$11))</f>
        <v>200</v>
      </c>
      <c r="M1071">
        <f>IF(D1071&lt;$A$15,0,1)</f>
        <v>1</v>
      </c>
    </row>
    <row r="1072" spans="4:13" x14ac:dyDescent="0.2">
      <c r="D1072">
        <f t="shared" si="61"/>
        <v>1049</v>
      </c>
      <c r="E1072" s="1">
        <f t="shared" si="59"/>
        <v>209.37489771327537</v>
      </c>
      <c r="F1072" s="1">
        <f t="shared" si="62"/>
        <v>-56.951170440719494</v>
      </c>
      <c r="G1072" s="1">
        <f t="shared" si="60"/>
        <v>1.8468045661834656E-25</v>
      </c>
      <c r="H1072" s="1">
        <f>G1072/$G$21</f>
        <v>1.2950432019650641E-26</v>
      </c>
      <c r="I1072">
        <f>IF($E$11&lt;=D1072, IF(D1072&lt;=$A$15,D1072-$E$11,$F$11),0)</f>
        <v>300</v>
      </c>
      <c r="J1072">
        <f>IF(D1072&lt;=$A$15,0,D1072-$A$15)</f>
        <v>740</v>
      </c>
      <c r="K1072" s="5">
        <f>IF(D1072&lt;$E$11,H1072,0)</f>
        <v>0</v>
      </c>
      <c r="L1072">
        <f>IF(D1072&lt;$A$15,$C$11,$C$11*(1-$G$11))</f>
        <v>200</v>
      </c>
      <c r="M1072">
        <f>IF(D1072&lt;$A$15,0,1)</f>
        <v>1</v>
      </c>
    </row>
    <row r="1073" spans="4:13" x14ac:dyDescent="0.2">
      <c r="D1073">
        <f t="shared" si="61"/>
        <v>1050</v>
      </c>
      <c r="E1073" s="1">
        <f t="shared" si="59"/>
        <v>209.29793667213926</v>
      </c>
      <c r="F1073" s="1">
        <f t="shared" si="62"/>
        <v>-57.02813148185561</v>
      </c>
      <c r="G1073" s="1">
        <f t="shared" si="60"/>
        <v>1.7100042279476749E-25</v>
      </c>
      <c r="H1073" s="1">
        <f>G1073/$G$21</f>
        <v>1.1991140758935929E-26</v>
      </c>
      <c r="I1073">
        <f>IF($E$11&lt;=D1073, IF(D1073&lt;=$A$15,D1073-$E$11,$F$11),0)</f>
        <v>300</v>
      </c>
      <c r="J1073">
        <f>IF(D1073&lt;=$A$15,0,D1073-$A$15)</f>
        <v>741</v>
      </c>
      <c r="K1073" s="5">
        <f>IF(D1073&lt;$E$11,H1073,0)</f>
        <v>0</v>
      </c>
      <c r="L1073">
        <f>IF(D1073&lt;$A$15,$C$11,$C$11*(1-$G$11))</f>
        <v>200</v>
      </c>
      <c r="M1073">
        <f>IF(D1073&lt;$A$15,0,1)</f>
        <v>1</v>
      </c>
    </row>
    <row r="1074" spans="4:13" x14ac:dyDescent="0.2">
      <c r="D1074">
        <f t="shared" si="61"/>
        <v>1051</v>
      </c>
      <c r="E1074" s="1">
        <f t="shared" si="59"/>
        <v>209.22097563100314</v>
      </c>
      <c r="F1074" s="1">
        <f t="shared" si="62"/>
        <v>-57.105092522991725</v>
      </c>
      <c r="G1074" s="1">
        <f t="shared" si="60"/>
        <v>1.5833372480997191E-25</v>
      </c>
      <c r="H1074" s="1">
        <f>G1074/$G$21</f>
        <v>1.1102908110126001E-26</v>
      </c>
      <c r="I1074">
        <f>IF($E$11&lt;=D1074, IF(D1074&lt;=$A$15,D1074-$E$11,$F$11),0)</f>
        <v>300</v>
      </c>
      <c r="J1074">
        <f>IF(D1074&lt;=$A$15,0,D1074-$A$15)</f>
        <v>742</v>
      </c>
      <c r="K1074" s="5">
        <f>IF(D1074&lt;$E$11,H1074,0)</f>
        <v>0</v>
      </c>
      <c r="L1074">
        <f>IF(D1074&lt;$A$15,$C$11,$C$11*(1-$G$11))</f>
        <v>200</v>
      </c>
      <c r="M1074">
        <f>IF(D1074&lt;$A$15,0,1)</f>
        <v>1</v>
      </c>
    </row>
    <row r="1075" spans="4:13" x14ac:dyDescent="0.2">
      <c r="D1075">
        <f t="shared" si="61"/>
        <v>1052</v>
      </c>
      <c r="E1075" s="1">
        <f t="shared" si="59"/>
        <v>209.14401458986703</v>
      </c>
      <c r="F1075" s="1">
        <f t="shared" si="62"/>
        <v>-57.182053564127841</v>
      </c>
      <c r="G1075" s="1">
        <f t="shared" si="60"/>
        <v>1.4660530074997584E-25</v>
      </c>
      <c r="H1075" s="1">
        <f>G1075/$G$21</f>
        <v>1.028047047233902E-26</v>
      </c>
      <c r="I1075">
        <f>IF($E$11&lt;=D1075, IF(D1075&lt;=$A$15,D1075-$E$11,$F$11),0)</f>
        <v>300</v>
      </c>
      <c r="J1075">
        <f>IF(D1075&lt;=$A$15,0,D1075-$A$15)</f>
        <v>743</v>
      </c>
      <c r="K1075" s="5">
        <f>IF(D1075&lt;$E$11,H1075,0)</f>
        <v>0</v>
      </c>
      <c r="L1075">
        <f>IF(D1075&lt;$A$15,$C$11,$C$11*(1-$G$11))</f>
        <v>200</v>
      </c>
      <c r="M1075">
        <f>IF(D1075&lt;$A$15,0,1)</f>
        <v>1</v>
      </c>
    </row>
    <row r="1076" spans="4:13" x14ac:dyDescent="0.2">
      <c r="D1076">
        <f t="shared" si="61"/>
        <v>1053</v>
      </c>
      <c r="E1076" s="1">
        <f t="shared" si="59"/>
        <v>209.06705354873091</v>
      </c>
      <c r="F1076" s="1">
        <f t="shared" si="62"/>
        <v>-57.259014605263957</v>
      </c>
      <c r="G1076" s="1">
        <f t="shared" si="60"/>
        <v>1.3574564884257194E-25</v>
      </c>
      <c r="H1076" s="1">
        <f>G1076/$G$21</f>
        <v>9.5189541410547685E-27</v>
      </c>
      <c r="I1076">
        <f>IF($E$11&lt;=D1076, IF(D1076&lt;=$A$15,D1076-$E$11,$F$11),0)</f>
        <v>300</v>
      </c>
      <c r="J1076">
        <f>IF(D1076&lt;=$A$15,0,D1076-$A$15)</f>
        <v>744</v>
      </c>
      <c r="K1076" s="5">
        <f>IF(D1076&lt;$E$11,H1076,0)</f>
        <v>0</v>
      </c>
      <c r="L1076">
        <f>IF(D1076&lt;$A$15,$C$11,$C$11*(1-$G$11))</f>
        <v>200</v>
      </c>
      <c r="M1076">
        <f>IF(D1076&lt;$A$15,0,1)</f>
        <v>1</v>
      </c>
    </row>
    <row r="1077" spans="4:13" x14ac:dyDescent="0.2">
      <c r="D1077">
        <f t="shared" si="61"/>
        <v>1054</v>
      </c>
      <c r="E1077" s="1">
        <f t="shared" si="59"/>
        <v>208.9900925075948</v>
      </c>
      <c r="F1077" s="1">
        <f t="shared" si="62"/>
        <v>-57.335975646400072</v>
      </c>
      <c r="G1077" s="1">
        <f t="shared" si="60"/>
        <v>1.256904155949756E-25</v>
      </c>
      <c r="H1077" s="1">
        <f>G1077/$G$21</f>
        <v>8.8138464269026754E-27</v>
      </c>
      <c r="I1077">
        <f>IF($E$11&lt;=D1077, IF(D1077&lt;=$A$15,D1077-$E$11,$F$11),0)</f>
        <v>300</v>
      </c>
      <c r="J1077">
        <f>IF(D1077&lt;=$A$15,0,D1077-$A$15)</f>
        <v>745</v>
      </c>
      <c r="K1077" s="5">
        <f>IF(D1077&lt;$E$11,H1077,0)</f>
        <v>0</v>
      </c>
      <c r="L1077">
        <f>IF(D1077&lt;$A$15,$C$11,$C$11*(1-$G$11))</f>
        <v>200</v>
      </c>
      <c r="M1077">
        <f>IF(D1077&lt;$A$15,0,1)</f>
        <v>1</v>
      </c>
    </row>
    <row r="1078" spans="4:13" x14ac:dyDescent="0.2">
      <c r="D1078">
        <f t="shared" si="61"/>
        <v>1055</v>
      </c>
      <c r="E1078" s="1">
        <f t="shared" si="59"/>
        <v>208.91313146645868</v>
      </c>
      <c r="F1078" s="1">
        <f t="shared" si="62"/>
        <v>-57.412936687536188</v>
      </c>
      <c r="G1078" s="1">
        <f t="shared" si="60"/>
        <v>1.1638001443979371E-25</v>
      </c>
      <c r="H1078" s="1">
        <f>G1078/$G$21</f>
        <v>8.1609689137988771E-27</v>
      </c>
      <c r="I1078">
        <f>IF($E$11&lt;=D1078, IF(D1078&lt;=$A$15,D1078-$E$11,$F$11),0)</f>
        <v>300</v>
      </c>
      <c r="J1078">
        <f>IF(D1078&lt;=$A$15,0,D1078-$A$15)</f>
        <v>746</v>
      </c>
      <c r="K1078" s="5">
        <f>IF(D1078&lt;$E$11,H1078,0)</f>
        <v>0</v>
      </c>
      <c r="L1078">
        <f>IF(D1078&lt;$A$15,$C$11,$C$11*(1-$G$11))</f>
        <v>200</v>
      </c>
      <c r="M1078">
        <f>IF(D1078&lt;$A$15,0,1)</f>
        <v>1</v>
      </c>
    </row>
    <row r="1079" spans="4:13" x14ac:dyDescent="0.2">
      <c r="D1079">
        <f t="shared" si="61"/>
        <v>1056</v>
      </c>
      <c r="E1079" s="1">
        <f t="shared" si="59"/>
        <v>208.83617042532256</v>
      </c>
      <c r="F1079" s="1">
        <f t="shared" si="62"/>
        <v>-57.489897728672304</v>
      </c>
      <c r="G1079" s="1">
        <f t="shared" si="60"/>
        <v>1.0775927262943996E-25</v>
      </c>
      <c r="H1079" s="1">
        <f>G1079/$G$21</f>
        <v>7.556452697962017E-27</v>
      </c>
      <c r="I1079">
        <f>IF($E$11&lt;=D1079, IF(D1079&lt;=$A$15,D1079-$E$11,$F$11),0)</f>
        <v>300</v>
      </c>
      <c r="J1079">
        <f>IF(D1079&lt;=$A$15,0,D1079-$A$15)</f>
        <v>747</v>
      </c>
      <c r="K1079" s="5">
        <f>IF(D1079&lt;$E$11,H1079,0)</f>
        <v>0</v>
      </c>
      <c r="L1079">
        <f>IF(D1079&lt;$A$15,$C$11,$C$11*(1-$G$11))</f>
        <v>200</v>
      </c>
      <c r="M1079">
        <f>IF(D1079&lt;$A$15,0,1)</f>
        <v>1</v>
      </c>
    </row>
    <row r="1080" spans="4:13" x14ac:dyDescent="0.2">
      <c r="D1080">
        <f t="shared" si="61"/>
        <v>1057</v>
      </c>
      <c r="E1080" s="1">
        <f t="shared" si="59"/>
        <v>208.75920938418645</v>
      </c>
      <c r="F1080" s="1">
        <f t="shared" si="62"/>
        <v>-57.56685876980842</v>
      </c>
      <c r="G1080" s="1">
        <f t="shared" si="60"/>
        <v>9.9777104286519757E-26</v>
      </c>
      <c r="H1080" s="1">
        <f>G1080/$G$21</f>
        <v>6.9967154610760317E-27</v>
      </c>
      <c r="I1080">
        <f>IF($E$11&lt;=D1080, IF(D1080&lt;=$A$15,D1080-$E$11,$F$11),0)</f>
        <v>300</v>
      </c>
      <c r="J1080">
        <f>IF(D1080&lt;=$A$15,0,D1080-$A$15)</f>
        <v>748</v>
      </c>
      <c r="K1080" s="5">
        <f>IF(D1080&lt;$E$11,H1080,0)</f>
        <v>0</v>
      </c>
      <c r="L1080">
        <f>IF(D1080&lt;$A$15,$C$11,$C$11*(1-$G$11))</f>
        <v>200</v>
      </c>
      <c r="M1080">
        <f>IF(D1080&lt;$A$15,0,1)</f>
        <v>1</v>
      </c>
    </row>
    <row r="1081" spans="4:13" x14ac:dyDescent="0.2">
      <c r="D1081">
        <f t="shared" si="61"/>
        <v>1058</v>
      </c>
      <c r="E1081" s="1">
        <f t="shared" si="59"/>
        <v>208.68224834305033</v>
      </c>
      <c r="F1081" s="1">
        <f t="shared" si="62"/>
        <v>-57.643819810944535</v>
      </c>
      <c r="G1081" s="1">
        <f t="shared" si="60"/>
        <v>9.238620767270464E-26</v>
      </c>
      <c r="H1081" s="1">
        <f>G1081/$G$21</f>
        <v>6.4784402417371476E-27</v>
      </c>
      <c r="I1081">
        <f>IF($E$11&lt;=D1081, IF(D1081&lt;=$A$15,D1081-$E$11,$F$11),0)</f>
        <v>300</v>
      </c>
      <c r="J1081">
        <f>IF(D1081&lt;=$A$15,0,D1081-$A$15)</f>
        <v>749</v>
      </c>
      <c r="K1081" s="5">
        <f>IF(D1081&lt;$E$11,H1081,0)</f>
        <v>0</v>
      </c>
      <c r="L1081">
        <f>IF(D1081&lt;$A$15,$C$11,$C$11*(1-$G$11))</f>
        <v>200</v>
      </c>
      <c r="M1081">
        <f>IF(D1081&lt;$A$15,0,1)</f>
        <v>1</v>
      </c>
    </row>
    <row r="1082" spans="4:13" x14ac:dyDescent="0.2">
      <c r="D1082">
        <f t="shared" si="61"/>
        <v>1059</v>
      </c>
      <c r="E1082" s="1">
        <f t="shared" si="59"/>
        <v>208.60528730191422</v>
      </c>
      <c r="F1082" s="1">
        <f t="shared" si="62"/>
        <v>-57.720780852080651</v>
      </c>
      <c r="G1082" s="1">
        <f t="shared" si="60"/>
        <v>8.5542784882135013E-26</v>
      </c>
      <c r="H1082" s="1">
        <f>G1082/$G$21</f>
        <v>5.9985557793863238E-27</v>
      </c>
      <c r="I1082">
        <f>IF($E$11&lt;=D1082, IF(D1082&lt;=$A$15,D1082-$E$11,$F$11),0)</f>
        <v>300</v>
      </c>
      <c r="J1082">
        <f>IF(D1082&lt;=$A$15,0,D1082-$A$15)</f>
        <v>750</v>
      </c>
      <c r="K1082" s="5">
        <f>IF(D1082&lt;$E$11,H1082,0)</f>
        <v>0</v>
      </c>
      <c r="L1082">
        <f>IF(D1082&lt;$A$15,$C$11,$C$11*(1-$G$11))</f>
        <v>200</v>
      </c>
      <c r="M1082">
        <f>IF(D1082&lt;$A$15,0,1)</f>
        <v>1</v>
      </c>
    </row>
    <row r="1083" spans="4:13" x14ac:dyDescent="0.2">
      <c r="D1083">
        <f t="shared" si="61"/>
        <v>1060</v>
      </c>
      <c r="E1083" s="1">
        <f t="shared" si="59"/>
        <v>208.5283262607781</v>
      </c>
      <c r="F1083" s="1">
        <f t="shared" si="62"/>
        <v>-57.797741893216767</v>
      </c>
      <c r="G1083" s="1">
        <f t="shared" si="60"/>
        <v>7.9206282298274163E-26</v>
      </c>
      <c r="H1083" s="1">
        <f>G1083/$G$21</f>
        <v>5.5542183142466665E-27</v>
      </c>
      <c r="I1083">
        <f>IF($E$11&lt;=D1083, IF(D1083&lt;=$A$15,D1083-$E$11,$F$11),0)</f>
        <v>300</v>
      </c>
      <c r="J1083">
        <f>IF(D1083&lt;=$A$15,0,D1083-$A$15)</f>
        <v>751</v>
      </c>
      <c r="K1083" s="5">
        <f>IF(D1083&lt;$E$11,H1083,0)</f>
        <v>0</v>
      </c>
      <c r="L1083">
        <f>IF(D1083&lt;$A$15,$C$11,$C$11*(1-$G$11))</f>
        <v>200</v>
      </c>
      <c r="M1083">
        <f>IF(D1083&lt;$A$15,0,1)</f>
        <v>1</v>
      </c>
    </row>
    <row r="1084" spans="4:13" x14ac:dyDescent="0.2">
      <c r="D1084">
        <f t="shared" si="61"/>
        <v>1061</v>
      </c>
      <c r="E1084" s="1">
        <f t="shared" si="59"/>
        <v>208.45136521964199</v>
      </c>
      <c r="F1084" s="1">
        <f t="shared" si="62"/>
        <v>-57.874702934352882</v>
      </c>
      <c r="G1084" s="1">
        <f t="shared" si="60"/>
        <v>7.3339150276180705E-26</v>
      </c>
      <c r="H1084" s="1">
        <f>G1084/$G$21</f>
        <v>5.1427947354136445E-27</v>
      </c>
      <c r="I1084">
        <f>IF($E$11&lt;=D1084, IF(D1084&lt;=$A$15,D1084-$E$11,$F$11),0)</f>
        <v>300</v>
      </c>
      <c r="J1084">
        <f>IF(D1084&lt;=$A$15,0,D1084-$A$15)</f>
        <v>752</v>
      </c>
      <c r="K1084" s="5">
        <f>IF(D1084&lt;$E$11,H1084,0)</f>
        <v>0</v>
      </c>
      <c r="L1084">
        <f>IF(D1084&lt;$A$15,$C$11,$C$11*(1-$G$11))</f>
        <v>200</v>
      </c>
      <c r="M1084">
        <f>IF(D1084&lt;$A$15,0,1)</f>
        <v>1</v>
      </c>
    </row>
    <row r="1085" spans="4:13" x14ac:dyDescent="0.2">
      <c r="D1085">
        <f t="shared" si="61"/>
        <v>1062</v>
      </c>
      <c r="E1085" s="1">
        <f t="shared" si="59"/>
        <v>208.37440417850587</v>
      </c>
      <c r="F1085" s="1">
        <f t="shared" si="62"/>
        <v>-57.951663975488998</v>
      </c>
      <c r="G1085" s="1">
        <f t="shared" si="60"/>
        <v>6.7906620626094109E-26</v>
      </c>
      <c r="H1085" s="1">
        <f>G1085/$G$21</f>
        <v>4.761846977234917E-27</v>
      </c>
      <c r="I1085">
        <f>IF($E$11&lt;=D1085, IF(D1085&lt;=$A$15,D1085-$E$11,$F$11),0)</f>
        <v>300</v>
      </c>
      <c r="J1085">
        <f>IF(D1085&lt;=$A$15,0,D1085-$A$15)</f>
        <v>753</v>
      </c>
      <c r="K1085" s="5">
        <f>IF(D1085&lt;$E$11,H1085,0)</f>
        <v>0</v>
      </c>
      <c r="L1085">
        <f>IF(D1085&lt;$A$15,$C$11,$C$11*(1-$G$11))</f>
        <v>200</v>
      </c>
      <c r="M1085">
        <f>IF(D1085&lt;$A$15,0,1)</f>
        <v>1</v>
      </c>
    </row>
    <row r="1086" spans="4:13" x14ac:dyDescent="0.2">
      <c r="D1086">
        <f t="shared" si="61"/>
        <v>1063</v>
      </c>
      <c r="E1086" s="1">
        <f t="shared" si="59"/>
        <v>208.29744313736975</v>
      </c>
      <c r="F1086" s="1">
        <f t="shared" si="62"/>
        <v>-58.028625016625114</v>
      </c>
      <c r="G1086" s="1">
        <f t="shared" si="60"/>
        <v>6.287650057971756E-26</v>
      </c>
      <c r="H1086" s="1">
        <f>G1086/$G$21</f>
        <v>4.4091175715138674E-27</v>
      </c>
      <c r="I1086">
        <f>IF($E$11&lt;=D1086, IF(D1086&lt;=$A$15,D1086-$E$11,$F$11),0)</f>
        <v>300</v>
      </c>
      <c r="J1086">
        <f>IF(D1086&lt;=$A$15,0,D1086-$A$15)</f>
        <v>754</v>
      </c>
      <c r="K1086" s="5">
        <f>IF(D1086&lt;$E$11,H1086,0)</f>
        <v>0</v>
      </c>
      <c r="L1086">
        <f>IF(D1086&lt;$A$15,$C$11,$C$11*(1-$G$11))</f>
        <v>200</v>
      </c>
      <c r="M1086">
        <f>IF(D1086&lt;$A$15,0,1)</f>
        <v>1</v>
      </c>
    </row>
    <row r="1087" spans="4:13" x14ac:dyDescent="0.2">
      <c r="D1087">
        <f t="shared" si="61"/>
        <v>1064</v>
      </c>
      <c r="E1087" s="1">
        <f t="shared" si="59"/>
        <v>208.22048209623364</v>
      </c>
      <c r="F1087" s="1">
        <f t="shared" si="62"/>
        <v>-58.105586057761229</v>
      </c>
      <c r="G1087" s="1">
        <f t="shared" si="60"/>
        <v>5.8218982018257734E-26</v>
      </c>
      <c r="H1087" s="1">
        <f>G1087/$G$21</f>
        <v>4.0825162699202989E-27</v>
      </c>
      <c r="I1087">
        <f>IF($E$11&lt;=D1087, IF(D1087&lt;=$A$15,D1087-$E$11,$F$11),0)</f>
        <v>300</v>
      </c>
      <c r="J1087">
        <f>IF(D1087&lt;=$A$15,0,D1087-$A$15)</f>
        <v>755</v>
      </c>
      <c r="K1087" s="5">
        <f>IF(D1087&lt;$E$11,H1087,0)</f>
        <v>0</v>
      </c>
      <c r="L1087">
        <f>IF(D1087&lt;$A$15,$C$11,$C$11*(1-$G$11))</f>
        <v>200</v>
      </c>
      <c r="M1087">
        <f>IF(D1087&lt;$A$15,0,1)</f>
        <v>1</v>
      </c>
    </row>
    <row r="1088" spans="4:13" x14ac:dyDescent="0.2">
      <c r="D1088">
        <f t="shared" si="61"/>
        <v>1065</v>
      </c>
      <c r="E1088" s="1">
        <f t="shared" si="59"/>
        <v>208.14352105509752</v>
      </c>
      <c r="F1088" s="1">
        <f t="shared" si="62"/>
        <v>-58.182547098897345</v>
      </c>
      <c r="G1088" s="1">
        <f t="shared" si="60"/>
        <v>5.3906464831720808E-26</v>
      </c>
      <c r="H1088" s="1">
        <f>G1088/$G$21</f>
        <v>3.780107657333658E-27</v>
      </c>
      <c r="I1088">
        <f>IF($E$11&lt;=D1088, IF(D1088&lt;=$A$15,D1088-$E$11,$F$11),0)</f>
        <v>300</v>
      </c>
      <c r="J1088">
        <f>IF(D1088&lt;=$A$15,0,D1088-$A$15)</f>
        <v>756</v>
      </c>
      <c r="K1088" s="5">
        <f>IF(D1088&lt;$E$11,H1088,0)</f>
        <v>0</v>
      </c>
      <c r="L1088">
        <f>IF(D1088&lt;$A$15,$C$11,$C$11*(1-$G$11))</f>
        <v>200</v>
      </c>
      <c r="M1088">
        <f>IF(D1088&lt;$A$15,0,1)</f>
        <v>1</v>
      </c>
    </row>
    <row r="1089" spans="4:13" x14ac:dyDescent="0.2">
      <c r="D1089">
        <f t="shared" si="61"/>
        <v>1066</v>
      </c>
      <c r="E1089" s="1">
        <f t="shared" si="59"/>
        <v>208.06656001396141</v>
      </c>
      <c r="F1089" s="1">
        <f t="shared" si="62"/>
        <v>-58.259508140033461</v>
      </c>
      <c r="G1089" s="1">
        <f t="shared" si="60"/>
        <v>4.991339336270508E-26</v>
      </c>
      <c r="H1089" s="1">
        <f>G1089/$G$21</f>
        <v>3.5000996827163945E-27</v>
      </c>
      <c r="I1089">
        <f>IF($E$11&lt;=D1089, IF(D1089&lt;=$A$15,D1089-$E$11,$F$11),0)</f>
        <v>300</v>
      </c>
      <c r="J1089">
        <f>IF(D1089&lt;=$A$15,0,D1089-$A$15)</f>
        <v>757</v>
      </c>
      <c r="K1089" s="5">
        <f>IF(D1089&lt;$E$11,H1089,0)</f>
        <v>0</v>
      </c>
      <c r="L1089">
        <f>IF(D1089&lt;$A$15,$C$11,$C$11*(1-$G$11))</f>
        <v>200</v>
      </c>
      <c r="M1089">
        <f>IF(D1089&lt;$A$15,0,1)</f>
        <v>1</v>
      </c>
    </row>
    <row r="1090" spans="4:13" x14ac:dyDescent="0.2">
      <c r="D1090">
        <f t="shared" si="61"/>
        <v>1067</v>
      </c>
      <c r="E1090" s="1">
        <f t="shared" si="59"/>
        <v>207.98959897282529</v>
      </c>
      <c r="F1090" s="1">
        <f t="shared" si="62"/>
        <v>-58.336469181169576</v>
      </c>
      <c r="G1090" s="1">
        <f t="shared" si="60"/>
        <v>4.6216104965468253E-26</v>
      </c>
      <c r="H1090" s="1">
        <f>G1090/$G$21</f>
        <v>3.2408330395522584E-27</v>
      </c>
      <c r="I1090">
        <f>IF($E$11&lt;=D1090, IF(D1090&lt;=$A$15,D1090-$E$11,$F$11),0)</f>
        <v>300</v>
      </c>
      <c r="J1090">
        <f>IF(D1090&lt;=$A$15,0,D1090-$A$15)</f>
        <v>758</v>
      </c>
      <c r="K1090" s="5">
        <f>IF(D1090&lt;$E$11,H1090,0)</f>
        <v>0</v>
      </c>
      <c r="L1090">
        <f>IF(D1090&lt;$A$15,$C$11,$C$11*(1-$G$11))</f>
        <v>200</v>
      </c>
      <c r="M1090">
        <f>IF(D1090&lt;$A$15,0,1)</f>
        <v>1</v>
      </c>
    </row>
    <row r="1091" spans="4:13" x14ac:dyDescent="0.2">
      <c r="D1091">
        <f t="shared" si="61"/>
        <v>1068</v>
      </c>
      <c r="E1091" s="1">
        <f t="shared" si="59"/>
        <v>207.91263793168918</v>
      </c>
      <c r="F1091" s="1">
        <f t="shared" si="62"/>
        <v>-58.413430222305692</v>
      </c>
      <c r="G1091" s="1">
        <f t="shared" si="60"/>
        <v>4.2792689782841517E-26</v>
      </c>
      <c r="H1091" s="1">
        <f>G1091/$G$21</f>
        <v>3.0007713329187956E-27</v>
      </c>
      <c r="I1091">
        <f>IF($E$11&lt;=D1091, IF(D1091&lt;=$A$15,D1091-$E$11,$F$11),0)</f>
        <v>300</v>
      </c>
      <c r="J1091">
        <f>IF(D1091&lt;=$A$15,0,D1091-$A$15)</f>
        <v>759</v>
      </c>
      <c r="K1091" s="5">
        <f>IF(D1091&lt;$E$11,H1091,0)</f>
        <v>0</v>
      </c>
      <c r="L1091">
        <f>IF(D1091&lt;$A$15,$C$11,$C$11*(1-$G$11))</f>
        <v>200</v>
      </c>
      <c r="M1091">
        <f>IF(D1091&lt;$A$15,0,1)</f>
        <v>1</v>
      </c>
    </row>
    <row r="1092" spans="4:13" x14ac:dyDescent="0.2">
      <c r="D1092">
        <f t="shared" si="61"/>
        <v>1069</v>
      </c>
      <c r="E1092" s="1">
        <f t="shared" ref="E1092:F1155" si="63">IF($G$11=1,IF(D1092&lt;=$A$15, E1091+LN($C$11)-LN(60/$D$11)-LN(MIN(D1092,$E$11)), E1091-LN(60/$D$11)-LN(MIN(D1092,$E$11))), IF(D1092&lt;=$A$15, E1091+LN($C$11)-LN(60/$D$11)-LN(MIN(D1092,$E$11)), E1091+LN($C$11)+LN(1-$G$11)-LN(60/$D$11)-LN(MIN(D1092,$E$11))))</f>
        <v>207.83567689055306</v>
      </c>
      <c r="F1092" s="1">
        <f t="shared" si="62"/>
        <v>-58.490391263441808</v>
      </c>
      <c r="G1092" s="1">
        <f t="shared" si="60"/>
        <v>3.9622860910038938E-26</v>
      </c>
      <c r="H1092" s="1">
        <f>G1092/$G$21</f>
        <v>2.7784919749248456E-27</v>
      </c>
      <c r="I1092">
        <f>IF($E$11&lt;=D1092, IF(D1092&lt;=$A$15,D1092-$E$11,$F$11),0)</f>
        <v>300</v>
      </c>
      <c r="J1092">
        <f>IF(D1092&lt;=$A$15,0,D1092-$A$15)</f>
        <v>760</v>
      </c>
      <c r="K1092" s="5">
        <f>IF(D1092&lt;$E$11,H1092,0)</f>
        <v>0</v>
      </c>
      <c r="L1092">
        <f>IF(D1092&lt;$A$15,$C$11,$C$11*(1-$G$11))</f>
        <v>200</v>
      </c>
      <c r="M1092">
        <f>IF(D1092&lt;$A$15,0,1)</f>
        <v>1</v>
      </c>
    </row>
    <row r="1093" spans="4:13" x14ac:dyDescent="0.2">
      <c r="D1093">
        <f t="shared" si="61"/>
        <v>1070</v>
      </c>
      <c r="E1093" s="1">
        <f t="shared" si="63"/>
        <v>207.75871584941694</v>
      </c>
      <c r="F1093" s="1">
        <f t="shared" si="62"/>
        <v>-58.567352304577923</v>
      </c>
      <c r="G1093" s="1">
        <f t="shared" si="60"/>
        <v>3.6687834175962444E-26</v>
      </c>
      <c r="H1093" s="1">
        <f>G1093/$G$21</f>
        <v>2.5726777545600746E-27</v>
      </c>
      <c r="I1093">
        <f>IF($E$11&lt;=D1093, IF(D1093&lt;=$A$15,D1093-$E$11,$F$11),0)</f>
        <v>300</v>
      </c>
      <c r="J1093">
        <f>IF(D1093&lt;=$A$15,0,D1093-$A$15)</f>
        <v>761</v>
      </c>
      <c r="K1093" s="5">
        <f>IF(D1093&lt;$E$11,H1093,0)</f>
        <v>0</v>
      </c>
      <c r="L1093">
        <f>IF(D1093&lt;$A$15,$C$11,$C$11*(1-$G$11))</f>
        <v>200</v>
      </c>
      <c r="M1093">
        <f>IF(D1093&lt;$A$15,0,1)</f>
        <v>1</v>
      </c>
    </row>
    <row r="1094" spans="4:13" x14ac:dyDescent="0.2">
      <c r="D1094">
        <f t="shared" si="61"/>
        <v>1071</v>
      </c>
      <c r="E1094" s="1">
        <f t="shared" si="63"/>
        <v>207.68175480828083</v>
      </c>
      <c r="F1094" s="1">
        <f t="shared" si="62"/>
        <v>-58.644313345714039</v>
      </c>
      <c r="G1094" s="1">
        <f t="shared" si="60"/>
        <v>3.3970216829595285E-26</v>
      </c>
      <c r="H1094" s="1">
        <f>G1094/$G$21</f>
        <v>2.3821090320000991E-27</v>
      </c>
      <c r="I1094">
        <f>IF($E$11&lt;=D1094, IF(D1094&lt;=$A$15,D1094-$E$11,$F$11),0)</f>
        <v>300</v>
      </c>
      <c r="J1094">
        <f>IF(D1094&lt;=$A$15,0,D1094-$A$15)</f>
        <v>762</v>
      </c>
      <c r="K1094" s="5">
        <f>IF(D1094&lt;$E$11,H1094,0)</f>
        <v>0</v>
      </c>
      <c r="L1094">
        <f>IF(D1094&lt;$A$15,$C$11,$C$11*(1-$G$11))</f>
        <v>200</v>
      </c>
      <c r="M1094">
        <f>IF(D1094&lt;$A$15,0,1)</f>
        <v>1</v>
      </c>
    </row>
    <row r="1095" spans="4:13" x14ac:dyDescent="0.2">
      <c r="D1095">
        <f t="shared" si="61"/>
        <v>1072</v>
      </c>
      <c r="E1095" s="1">
        <f t="shared" si="63"/>
        <v>207.60479376714471</v>
      </c>
      <c r="F1095" s="1">
        <f t="shared" si="62"/>
        <v>-58.721274386850155</v>
      </c>
      <c r="G1095" s="1">
        <f t="shared" si="60"/>
        <v>3.1453904471847888E-26</v>
      </c>
      <c r="H1095" s="1">
        <f>G1095/$G$21</f>
        <v>2.2056565111112311E-27</v>
      </c>
      <c r="I1095">
        <f>IF($E$11&lt;=D1095, IF(D1095&lt;=$A$15,D1095-$E$11,$F$11),0)</f>
        <v>300</v>
      </c>
      <c r="J1095">
        <f>IF(D1095&lt;=$A$15,0,D1095-$A$15)</f>
        <v>763</v>
      </c>
      <c r="K1095" s="5">
        <f>IF(D1095&lt;$E$11,H1095,0)</f>
        <v>0</v>
      </c>
      <c r="L1095">
        <f>IF(D1095&lt;$A$15,$C$11,$C$11*(1-$G$11))</f>
        <v>200</v>
      </c>
      <c r="M1095">
        <f>IF(D1095&lt;$A$15,0,1)</f>
        <v>1</v>
      </c>
    </row>
    <row r="1096" spans="4:13" x14ac:dyDescent="0.2">
      <c r="D1096">
        <f t="shared" si="61"/>
        <v>1073</v>
      </c>
      <c r="E1096" s="1">
        <f t="shared" si="63"/>
        <v>207.5278327260086</v>
      </c>
      <c r="F1096" s="1">
        <f t="shared" si="62"/>
        <v>-58.79823542798627</v>
      </c>
      <c r="G1096" s="1">
        <f t="shared" si="60"/>
        <v>2.9123985622081742E-26</v>
      </c>
      <c r="H1096" s="1">
        <f>G1096/$G$21</f>
        <v>2.0422745473252396E-27</v>
      </c>
      <c r="I1096">
        <f>IF($E$11&lt;=D1096, IF(D1096&lt;=$A$15,D1096-$E$11,$F$11),0)</f>
        <v>300</v>
      </c>
      <c r="J1096">
        <f>IF(D1096&lt;=$A$15,0,D1096-$A$15)</f>
        <v>764</v>
      </c>
      <c r="K1096" s="5">
        <f>IF(D1096&lt;$E$11,H1096,0)</f>
        <v>0</v>
      </c>
      <c r="L1096">
        <f>IF(D1096&lt;$A$15,$C$11,$C$11*(1-$G$11))</f>
        <v>200</v>
      </c>
      <c r="M1096">
        <f>IF(D1096&lt;$A$15,0,1)</f>
        <v>1</v>
      </c>
    </row>
    <row r="1097" spans="4:13" x14ac:dyDescent="0.2">
      <c r="D1097">
        <f t="shared" si="61"/>
        <v>1074</v>
      </c>
      <c r="E1097" s="1">
        <f t="shared" si="63"/>
        <v>207.45087168487248</v>
      </c>
      <c r="F1097" s="1">
        <f t="shared" si="62"/>
        <v>-58.875196469122386</v>
      </c>
      <c r="G1097" s="1">
        <f t="shared" si="60"/>
        <v>2.6966653353779733E-26</v>
      </c>
      <c r="H1097" s="1">
        <f>G1097/$G$21</f>
        <v>1.8909949512270978E-27</v>
      </c>
      <c r="I1097">
        <f>IF($E$11&lt;=D1097, IF(D1097&lt;=$A$15,D1097-$E$11,$F$11),0)</f>
        <v>300</v>
      </c>
      <c r="J1097">
        <f>IF(D1097&lt;=$A$15,0,D1097-$A$15)</f>
        <v>765</v>
      </c>
      <c r="K1097" s="5">
        <f>IF(D1097&lt;$E$11,H1097,0)</f>
        <v>0</v>
      </c>
      <c r="L1097">
        <f>IF(D1097&lt;$A$15,$C$11,$C$11*(1-$G$11))</f>
        <v>200</v>
      </c>
      <c r="M1097">
        <f>IF(D1097&lt;$A$15,0,1)</f>
        <v>1</v>
      </c>
    </row>
    <row r="1098" spans="4:13" x14ac:dyDescent="0.2">
      <c r="D1098">
        <f t="shared" si="61"/>
        <v>1075</v>
      </c>
      <c r="E1098" s="1">
        <f t="shared" si="63"/>
        <v>207.37391064373637</v>
      </c>
      <c r="F1098" s="1">
        <f t="shared" si="62"/>
        <v>-58.952157510258502</v>
      </c>
      <c r="G1098" s="1">
        <f t="shared" si="60"/>
        <v>2.4969123475722292E-26</v>
      </c>
      <c r="H1098" s="1">
        <f>G1098/$G$21</f>
        <v>1.7509212511362239E-27</v>
      </c>
      <c r="I1098">
        <f>IF($E$11&lt;=D1098, IF(D1098&lt;=$A$15,D1098-$E$11,$F$11),0)</f>
        <v>300</v>
      </c>
      <c r="J1098">
        <f>IF(D1098&lt;=$A$15,0,D1098-$A$15)</f>
        <v>766</v>
      </c>
      <c r="K1098" s="5">
        <f>IF(D1098&lt;$E$11,H1098,0)</f>
        <v>0</v>
      </c>
      <c r="L1098">
        <f>IF(D1098&lt;$A$15,$C$11,$C$11*(1-$G$11))</f>
        <v>200</v>
      </c>
      <c r="M1098">
        <f>IF(D1098&lt;$A$15,0,1)</f>
        <v>1</v>
      </c>
    </row>
    <row r="1099" spans="4:13" x14ac:dyDescent="0.2">
      <c r="D1099">
        <f t="shared" si="61"/>
        <v>1076</v>
      </c>
      <c r="E1099" s="1">
        <f t="shared" si="63"/>
        <v>207.29694960260025</v>
      </c>
      <c r="F1099" s="1">
        <f t="shared" si="62"/>
        <v>-59.029118551394617</v>
      </c>
      <c r="G1099" s="1">
        <f t="shared" si="60"/>
        <v>2.3119558773817229E-26</v>
      </c>
      <c r="H1099" s="1">
        <f>G1099/$G$21</f>
        <v>1.6212233806817091E-27</v>
      </c>
      <c r="I1099">
        <f>IF($E$11&lt;=D1099, IF(D1099&lt;=$A$15,D1099-$E$11,$F$11),0)</f>
        <v>300</v>
      </c>
      <c r="J1099">
        <f>IF(D1099&lt;=$A$15,0,D1099-$A$15)</f>
        <v>767</v>
      </c>
      <c r="K1099" s="5">
        <f>IF(D1099&lt;$E$11,H1099,0)</f>
        <v>0</v>
      </c>
      <c r="L1099">
        <f>IF(D1099&lt;$A$15,$C$11,$C$11*(1-$G$11))</f>
        <v>200</v>
      </c>
      <c r="M1099">
        <f>IF(D1099&lt;$A$15,0,1)</f>
        <v>1</v>
      </c>
    </row>
    <row r="1100" spans="4:13" x14ac:dyDescent="0.2">
      <c r="D1100">
        <f t="shared" si="61"/>
        <v>1077</v>
      </c>
      <c r="E1100" s="1">
        <f t="shared" si="63"/>
        <v>207.21998856146413</v>
      </c>
      <c r="F1100" s="1">
        <f t="shared" si="62"/>
        <v>-59.106079592530733</v>
      </c>
      <c r="G1100" s="1">
        <f t="shared" si="60"/>
        <v>2.1406998864645853E-26</v>
      </c>
      <c r="H1100" s="1">
        <f>G1100/$G$21</f>
        <v>1.5011327598904904E-27</v>
      </c>
      <c r="I1100">
        <f>IF($E$11&lt;=D1100, IF(D1100&lt;=$A$15,D1100-$E$11,$F$11),0)</f>
        <v>300</v>
      </c>
      <c r="J1100">
        <f>IF(D1100&lt;=$A$15,0,D1100-$A$15)</f>
        <v>768</v>
      </c>
      <c r="K1100" s="5">
        <f>IF(D1100&lt;$E$11,H1100,0)</f>
        <v>0</v>
      </c>
      <c r="L1100">
        <f>IF(D1100&lt;$A$15,$C$11,$C$11*(1-$G$11))</f>
        <v>200</v>
      </c>
      <c r="M1100">
        <f>IF(D1100&lt;$A$15,0,1)</f>
        <v>1</v>
      </c>
    </row>
    <row r="1101" spans="4:13" x14ac:dyDescent="0.2">
      <c r="D1101">
        <f t="shared" si="61"/>
        <v>1078</v>
      </c>
      <c r="E1101" s="1">
        <f t="shared" si="63"/>
        <v>207.14302752032802</v>
      </c>
      <c r="F1101" s="1">
        <f t="shared" si="62"/>
        <v>-59.183040633666849</v>
      </c>
      <c r="G1101" s="1">
        <f t="shared" si="60"/>
        <v>1.9821295245042706E-26</v>
      </c>
      <c r="H1101" s="1">
        <f>G1101/$G$21</f>
        <v>1.3899377406393604E-27</v>
      </c>
      <c r="I1101">
        <f>IF($E$11&lt;=D1101, IF(D1101&lt;=$A$15,D1101-$E$11,$F$11),0)</f>
        <v>300</v>
      </c>
      <c r="J1101">
        <f>IF(D1101&lt;=$A$15,0,D1101-$A$15)</f>
        <v>769</v>
      </c>
      <c r="K1101" s="5">
        <f>IF(D1101&lt;$E$11,H1101,0)</f>
        <v>0</v>
      </c>
      <c r="L1101">
        <f>IF(D1101&lt;$A$15,$C$11,$C$11*(1-$G$11))</f>
        <v>200</v>
      </c>
      <c r="M1101">
        <f>IF(D1101&lt;$A$15,0,1)</f>
        <v>1</v>
      </c>
    </row>
    <row r="1102" spans="4:13" x14ac:dyDescent="0.2">
      <c r="D1102">
        <f t="shared" si="61"/>
        <v>1079</v>
      </c>
      <c r="E1102" s="1">
        <f t="shared" si="63"/>
        <v>207.0660664791919</v>
      </c>
      <c r="F1102" s="1">
        <f t="shared" si="62"/>
        <v>-59.260001674802965</v>
      </c>
      <c r="G1102" s="1">
        <f t="shared" si="60"/>
        <v>1.8353051152817554E-26</v>
      </c>
      <c r="H1102" s="1">
        <f>G1102/$G$21</f>
        <v>1.2869793894809057E-27</v>
      </c>
      <c r="I1102">
        <f>IF($E$11&lt;=D1102, IF(D1102&lt;=$A$15,D1102-$E$11,$F$11),0)</f>
        <v>300</v>
      </c>
      <c r="J1102">
        <f>IF(D1102&lt;=$A$15,0,D1102-$A$15)</f>
        <v>770</v>
      </c>
      <c r="K1102" s="5">
        <f>IF(D1102&lt;$E$11,H1102,0)</f>
        <v>0</v>
      </c>
      <c r="L1102">
        <f>IF(D1102&lt;$A$15,$C$11,$C$11*(1-$G$11))</f>
        <v>200</v>
      </c>
      <c r="M1102">
        <f>IF(D1102&lt;$A$15,0,1)</f>
        <v>1</v>
      </c>
    </row>
    <row r="1103" spans="4:13" x14ac:dyDescent="0.2">
      <c r="D1103">
        <f t="shared" si="61"/>
        <v>1080</v>
      </c>
      <c r="E1103" s="1">
        <f t="shared" si="63"/>
        <v>206.98910543805579</v>
      </c>
      <c r="F1103" s="1">
        <f t="shared" si="62"/>
        <v>-59.33696271593908</v>
      </c>
      <c r="G1103" s="1">
        <f t="shared" si="60"/>
        <v>1.6993565882238689E-26</v>
      </c>
      <c r="H1103" s="1">
        <f>G1103/$G$21</f>
        <v>1.1916475828527054E-27</v>
      </c>
      <c r="I1103">
        <f>IF($E$11&lt;=D1103, IF(D1103&lt;=$A$15,D1103-$E$11,$F$11),0)</f>
        <v>300</v>
      </c>
      <c r="J1103">
        <f>IF(D1103&lt;=$A$15,0,D1103-$A$15)</f>
        <v>771</v>
      </c>
      <c r="K1103" s="5">
        <f>IF(D1103&lt;$E$11,H1103,0)</f>
        <v>0</v>
      </c>
      <c r="L1103">
        <f>IF(D1103&lt;$A$15,$C$11,$C$11*(1-$G$11))</f>
        <v>200</v>
      </c>
      <c r="M1103">
        <f>IF(D1103&lt;$A$15,0,1)</f>
        <v>1</v>
      </c>
    </row>
    <row r="1104" spans="4:13" x14ac:dyDescent="0.2">
      <c r="D1104">
        <f t="shared" si="61"/>
        <v>1081</v>
      </c>
      <c r="E1104" s="1">
        <f t="shared" si="63"/>
        <v>206.91214439691967</v>
      </c>
      <c r="F1104" s="1">
        <f t="shared" si="62"/>
        <v>-59.413923757075196</v>
      </c>
      <c r="G1104" s="1">
        <f t="shared" si="60"/>
        <v>1.5734783224295282E-26</v>
      </c>
      <c r="H1104" s="1">
        <f>G1104/$G$21</f>
        <v>1.1033773915302967E-27</v>
      </c>
      <c r="I1104">
        <f>IF($E$11&lt;=D1104, IF(D1104&lt;=$A$15,D1104-$E$11,$F$11),0)</f>
        <v>300</v>
      </c>
      <c r="J1104">
        <f>IF(D1104&lt;=$A$15,0,D1104-$A$15)</f>
        <v>772</v>
      </c>
      <c r="K1104" s="5">
        <f>IF(D1104&lt;$E$11,H1104,0)</f>
        <v>0</v>
      </c>
      <c r="L1104">
        <f>IF(D1104&lt;$A$15,$C$11,$C$11*(1-$G$11))</f>
        <v>200</v>
      </c>
      <c r="M1104">
        <f>IF(D1104&lt;$A$15,0,1)</f>
        <v>1</v>
      </c>
    </row>
    <row r="1105" spans="4:13" x14ac:dyDescent="0.2">
      <c r="D1105">
        <f t="shared" si="61"/>
        <v>1082</v>
      </c>
      <c r="E1105" s="1">
        <f t="shared" si="63"/>
        <v>206.83518335578356</v>
      </c>
      <c r="F1105" s="1">
        <f t="shared" si="62"/>
        <v>-59.490884798211312</v>
      </c>
      <c r="G1105" s="1">
        <f t="shared" si="60"/>
        <v>1.4569243726199521E-26</v>
      </c>
      <c r="H1105" s="1">
        <f>G1105/$G$21</f>
        <v>1.021645732898436E-27</v>
      </c>
      <c r="I1105">
        <f>IF($E$11&lt;=D1105, IF(D1105&lt;=$A$15,D1105-$E$11,$F$11),0)</f>
        <v>300</v>
      </c>
      <c r="J1105">
        <f>IF(D1105&lt;=$A$15,0,D1105-$A$15)</f>
        <v>773</v>
      </c>
      <c r="K1105" s="5">
        <f>IF(D1105&lt;$E$11,H1105,0)</f>
        <v>0</v>
      </c>
      <c r="L1105">
        <f>IF(D1105&lt;$A$15,$C$11,$C$11*(1-$G$11))</f>
        <v>200</v>
      </c>
      <c r="M1105">
        <f>IF(D1105&lt;$A$15,0,1)</f>
        <v>1</v>
      </c>
    </row>
    <row r="1106" spans="4:13" x14ac:dyDescent="0.2">
      <c r="D1106">
        <f t="shared" si="61"/>
        <v>1083</v>
      </c>
      <c r="E1106" s="1">
        <f t="shared" si="63"/>
        <v>206.75822231464744</v>
      </c>
      <c r="F1106" s="1">
        <f t="shared" si="62"/>
        <v>-59.567845839347427</v>
      </c>
      <c r="G1106" s="1">
        <f t="shared" si="60"/>
        <v>1.3490040487221949E-26</v>
      </c>
      <c r="H1106" s="1">
        <f>G1106/$G$21</f>
        <v>9.4596827120226744E-28</v>
      </c>
      <c r="I1106">
        <f>IF($E$11&lt;=D1106, IF(D1106&lt;=$A$15,D1106-$E$11,$F$11),0)</f>
        <v>300</v>
      </c>
      <c r="J1106">
        <f>IF(D1106&lt;=$A$15,0,D1106-$A$15)</f>
        <v>774</v>
      </c>
      <c r="K1106" s="5">
        <f>IF(D1106&lt;$E$11,H1106,0)</f>
        <v>0</v>
      </c>
      <c r="L1106">
        <f>IF(D1106&lt;$A$15,$C$11,$C$11*(1-$G$11))</f>
        <v>200</v>
      </c>
      <c r="M1106">
        <f>IF(D1106&lt;$A$15,0,1)</f>
        <v>1</v>
      </c>
    </row>
    <row r="1107" spans="4:13" x14ac:dyDescent="0.2">
      <c r="D1107">
        <f t="shared" si="61"/>
        <v>1084</v>
      </c>
      <c r="E1107" s="1">
        <f t="shared" si="63"/>
        <v>206.68126127351132</v>
      </c>
      <c r="F1107" s="1">
        <f t="shared" si="62"/>
        <v>-59.644806880483543</v>
      </c>
      <c r="G1107" s="1">
        <f t="shared" si="60"/>
        <v>1.2490778228909368E-26</v>
      </c>
      <c r="H1107" s="1">
        <f>G1107/$G$21</f>
        <v>8.7589654740951787E-28</v>
      </c>
      <c r="I1107">
        <f>IF($E$11&lt;=D1107, IF(D1107&lt;=$A$15,D1107-$E$11,$F$11),0)</f>
        <v>300</v>
      </c>
      <c r="J1107">
        <f>IF(D1107&lt;=$A$15,0,D1107-$A$15)</f>
        <v>775</v>
      </c>
      <c r="K1107" s="5">
        <f>IF(D1107&lt;$E$11,H1107,0)</f>
        <v>0</v>
      </c>
      <c r="L1107">
        <f>IF(D1107&lt;$A$15,$C$11,$C$11*(1-$G$11))</f>
        <v>200</v>
      </c>
      <c r="M1107">
        <f>IF(D1107&lt;$A$15,0,1)</f>
        <v>1</v>
      </c>
    </row>
    <row r="1108" spans="4:13" x14ac:dyDescent="0.2">
      <c r="D1108">
        <f t="shared" si="61"/>
        <v>1085</v>
      </c>
      <c r="E1108" s="1">
        <f t="shared" si="63"/>
        <v>206.60430023237521</v>
      </c>
      <c r="F1108" s="1">
        <f t="shared" si="62"/>
        <v>-59.721767921619659</v>
      </c>
      <c r="G1108" s="1">
        <f t="shared" si="60"/>
        <v>1.1565535397138451E-26</v>
      </c>
      <c r="H1108" s="1">
        <f>G1108/$G$21</f>
        <v>8.110153216754898E-28</v>
      </c>
      <c r="I1108">
        <f>IF($E$11&lt;=D1108, IF(D1108&lt;=$A$15,D1108-$E$11,$F$11),0)</f>
        <v>300</v>
      </c>
      <c r="J1108">
        <f>IF(D1108&lt;=$A$15,0,D1108-$A$15)</f>
        <v>776</v>
      </c>
      <c r="K1108" s="5">
        <f>IF(D1108&lt;$E$11,H1108,0)</f>
        <v>0</v>
      </c>
      <c r="L1108">
        <f>IF(D1108&lt;$A$15,$C$11,$C$11*(1-$G$11))</f>
        <v>200</v>
      </c>
      <c r="M1108">
        <f>IF(D1108&lt;$A$15,0,1)</f>
        <v>1</v>
      </c>
    </row>
    <row r="1109" spans="4:13" x14ac:dyDescent="0.2">
      <c r="D1109">
        <f t="shared" si="61"/>
        <v>1086</v>
      </c>
      <c r="E1109" s="1">
        <f t="shared" si="63"/>
        <v>206.52733919123909</v>
      </c>
      <c r="F1109" s="1">
        <f t="shared" si="62"/>
        <v>-59.798728962755774</v>
      </c>
      <c r="G1109" s="1">
        <f t="shared" si="60"/>
        <v>1.0708829071424626E-26</v>
      </c>
      <c r="H1109" s="1">
        <f>G1109/$G$21</f>
        <v>7.509401126625E-28</v>
      </c>
      <c r="I1109">
        <f>IF($E$11&lt;=D1109, IF(D1109&lt;=$A$15,D1109-$E$11,$F$11),0)</f>
        <v>300</v>
      </c>
      <c r="J1109">
        <f>IF(D1109&lt;=$A$15,0,D1109-$A$15)</f>
        <v>777</v>
      </c>
      <c r="K1109" s="5">
        <f>IF(D1109&lt;$E$11,H1109,0)</f>
        <v>0</v>
      </c>
      <c r="L1109">
        <f>IF(D1109&lt;$A$15,$C$11,$C$11*(1-$G$11))</f>
        <v>200</v>
      </c>
      <c r="M1109">
        <f>IF(D1109&lt;$A$15,0,1)</f>
        <v>1</v>
      </c>
    </row>
    <row r="1110" spans="4:13" x14ac:dyDescent="0.2">
      <c r="D1110">
        <f t="shared" si="61"/>
        <v>1087</v>
      </c>
      <c r="E1110" s="1">
        <f t="shared" si="63"/>
        <v>206.45037815010298</v>
      </c>
      <c r="F1110" s="1">
        <f t="shared" si="62"/>
        <v>-59.87569000389189</v>
      </c>
      <c r="G1110" s="1">
        <f t="shared" si="60"/>
        <v>9.9155824735414463E-27</v>
      </c>
      <c r="H1110" s="1">
        <f>G1110/$G$21</f>
        <v>6.953149191319533E-28</v>
      </c>
      <c r="I1110">
        <f>IF($E$11&lt;=D1110, IF(D1110&lt;=$A$15,D1110-$E$11,$F$11),0)</f>
        <v>300</v>
      </c>
      <c r="J1110">
        <f>IF(D1110&lt;=$A$15,0,D1110-$A$15)</f>
        <v>778</v>
      </c>
      <c r="K1110" s="5">
        <f>IF(D1110&lt;$E$11,H1110,0)</f>
        <v>0</v>
      </c>
      <c r="L1110">
        <f>IF(D1110&lt;$A$15,$C$11,$C$11*(1-$G$11))</f>
        <v>200</v>
      </c>
      <c r="M1110">
        <f>IF(D1110&lt;$A$15,0,1)</f>
        <v>1</v>
      </c>
    </row>
    <row r="1111" spans="4:13" x14ac:dyDescent="0.2">
      <c r="D1111">
        <f t="shared" si="61"/>
        <v>1088</v>
      </c>
      <c r="E1111" s="1">
        <f t="shared" si="63"/>
        <v>206.37341710896686</v>
      </c>
      <c r="F1111" s="1">
        <f t="shared" si="62"/>
        <v>-59.952651045028006</v>
      </c>
      <c r="G1111" s="1">
        <f t="shared" si="60"/>
        <v>9.1810948829088632E-27</v>
      </c>
      <c r="H1111" s="1">
        <f>G1111/$G$21</f>
        <v>6.4381011030737231E-28</v>
      </c>
      <c r="I1111">
        <f>IF($E$11&lt;=D1111, IF(D1111&lt;=$A$15,D1111-$E$11,$F$11),0)</f>
        <v>300</v>
      </c>
      <c r="J1111">
        <f>IF(D1111&lt;=$A$15,0,D1111-$A$15)</f>
        <v>779</v>
      </c>
      <c r="K1111" s="5">
        <f>IF(D1111&lt;$E$11,H1111,0)</f>
        <v>0</v>
      </c>
      <c r="L1111">
        <f>IF(D1111&lt;$A$15,$C$11,$C$11*(1-$G$11))</f>
        <v>200</v>
      </c>
      <c r="M1111">
        <f>IF(D1111&lt;$A$15,0,1)</f>
        <v>1</v>
      </c>
    </row>
    <row r="1112" spans="4:13" x14ac:dyDescent="0.2">
      <c r="D1112">
        <f t="shared" si="61"/>
        <v>1089</v>
      </c>
      <c r="E1112" s="1">
        <f t="shared" si="63"/>
        <v>206.29645606783075</v>
      </c>
      <c r="F1112" s="1">
        <f t="shared" si="62"/>
        <v>-60.029612086164121</v>
      </c>
      <c r="G1112" s="1">
        <f t="shared" ref="G1112:G1175" si="64">EXP(F1112)</f>
        <v>8.5010137804712768E-27</v>
      </c>
      <c r="H1112" s="1">
        <f>G1112/$G$21</f>
        <v>5.9612047250683379E-28</v>
      </c>
      <c r="I1112">
        <f>IF($E$11&lt;=D1112, IF(D1112&lt;=$A$15,D1112-$E$11,$F$11),0)</f>
        <v>300</v>
      </c>
      <c r="J1112">
        <f>IF(D1112&lt;=$A$15,0,D1112-$A$15)</f>
        <v>780</v>
      </c>
      <c r="K1112" s="5">
        <f>IF(D1112&lt;$E$11,H1112,0)</f>
        <v>0</v>
      </c>
      <c r="L1112">
        <f>IF(D1112&lt;$A$15,$C$11,$C$11*(1-$G$11))</f>
        <v>200</v>
      </c>
      <c r="M1112">
        <f>IF(D1112&lt;$A$15,0,1)</f>
        <v>1</v>
      </c>
    </row>
    <row r="1113" spans="4:13" x14ac:dyDescent="0.2">
      <c r="D1113">
        <f t="shared" ref="D1113:D1176" si="65">1+D1112</f>
        <v>1090</v>
      </c>
      <c r="E1113" s="1">
        <f t="shared" si="63"/>
        <v>206.21949502669463</v>
      </c>
      <c r="F1113" s="1">
        <f t="shared" ref="F1113:F1176" si="66">E1113-$E$21</f>
        <v>-60.106573127300237</v>
      </c>
      <c r="G1113" s="1">
        <f t="shared" si="64"/>
        <v>7.8713090559920223E-27</v>
      </c>
      <c r="H1113" s="1">
        <f>G1113/$G$21</f>
        <v>5.5196340046929751E-28</v>
      </c>
      <c r="I1113">
        <f>IF($E$11&lt;=D1113, IF(D1113&lt;=$A$15,D1113-$E$11,$F$11),0)</f>
        <v>300</v>
      </c>
      <c r="J1113">
        <f>IF(D1113&lt;=$A$15,0,D1113-$A$15)</f>
        <v>781</v>
      </c>
      <c r="K1113" s="5">
        <f>IF(D1113&lt;$E$11,H1113,0)</f>
        <v>0</v>
      </c>
      <c r="L1113">
        <f>IF(D1113&lt;$A$15,$C$11,$C$11*(1-$G$11))</f>
        <v>200</v>
      </c>
      <c r="M1113">
        <f>IF(D1113&lt;$A$15,0,1)</f>
        <v>1</v>
      </c>
    </row>
    <row r="1114" spans="4:13" x14ac:dyDescent="0.2">
      <c r="D1114">
        <f t="shared" si="65"/>
        <v>1091</v>
      </c>
      <c r="E1114" s="1">
        <f t="shared" si="63"/>
        <v>206.14253398555852</v>
      </c>
      <c r="F1114" s="1">
        <f t="shared" si="66"/>
        <v>-60.183534168436353</v>
      </c>
      <c r="G1114" s="1">
        <f t="shared" si="64"/>
        <v>7.2882491259186313E-27</v>
      </c>
      <c r="H1114" s="1">
        <f>G1114/$G$21</f>
        <v>5.1107722265676337E-28</v>
      </c>
      <c r="I1114">
        <f>IF($E$11&lt;=D1114, IF(D1114&lt;=$A$15,D1114-$E$11,$F$11),0)</f>
        <v>300</v>
      </c>
      <c r="J1114">
        <f>IF(D1114&lt;=$A$15,0,D1114-$A$15)</f>
        <v>782</v>
      </c>
      <c r="K1114" s="5">
        <f>IF(D1114&lt;$E$11,H1114,0)</f>
        <v>0</v>
      </c>
      <c r="L1114">
        <f>IF(D1114&lt;$A$15,$C$11,$C$11*(1-$G$11))</f>
        <v>200</v>
      </c>
      <c r="M1114">
        <f>IF(D1114&lt;$A$15,0,1)</f>
        <v>1</v>
      </c>
    </row>
    <row r="1115" spans="4:13" x14ac:dyDescent="0.2">
      <c r="D1115">
        <f t="shared" si="65"/>
        <v>1092</v>
      </c>
      <c r="E1115" s="1">
        <f t="shared" si="63"/>
        <v>206.0655729444224</v>
      </c>
      <c r="F1115" s="1">
        <f t="shared" si="66"/>
        <v>-60.260495209572468</v>
      </c>
      <c r="G1115" s="1">
        <f t="shared" si="64"/>
        <v>6.7483788202951141E-27</v>
      </c>
      <c r="H1115" s="1">
        <f>G1115/$G$21</f>
        <v>4.7321965060812022E-28</v>
      </c>
      <c r="I1115">
        <f>IF($E$11&lt;=D1115, IF(D1115&lt;=$A$15,D1115-$E$11,$F$11),0)</f>
        <v>300</v>
      </c>
      <c r="J1115">
        <f>IF(D1115&lt;=$A$15,0,D1115-$A$15)</f>
        <v>783</v>
      </c>
      <c r="K1115" s="5">
        <f>IF(D1115&lt;$E$11,H1115,0)</f>
        <v>0</v>
      </c>
      <c r="L1115">
        <f>IF(D1115&lt;$A$15,$C$11,$C$11*(1-$G$11))</f>
        <v>200</v>
      </c>
      <c r="M1115">
        <f>IF(D1115&lt;$A$15,0,1)</f>
        <v>1</v>
      </c>
    </row>
    <row r="1116" spans="4:13" x14ac:dyDescent="0.2">
      <c r="D1116">
        <f t="shared" si="65"/>
        <v>1093</v>
      </c>
      <c r="E1116" s="1">
        <f t="shared" si="63"/>
        <v>205.98861190328628</v>
      </c>
      <c r="F1116" s="1">
        <f t="shared" si="66"/>
        <v>-60.337456250708584</v>
      </c>
      <c r="G1116" s="1">
        <f t="shared" si="64"/>
        <v>6.2484989076807406E-27</v>
      </c>
      <c r="H1116" s="1">
        <f>G1116/$G$21</f>
        <v>4.3816634315567246E-28</v>
      </c>
      <c r="I1116">
        <f>IF($E$11&lt;=D1116, IF(D1116&lt;=$A$15,D1116-$E$11,$F$11),0)</f>
        <v>300</v>
      </c>
      <c r="J1116">
        <f>IF(D1116&lt;=$A$15,0,D1116-$A$15)</f>
        <v>784</v>
      </c>
      <c r="K1116" s="5">
        <f>IF(D1116&lt;$E$11,H1116,0)</f>
        <v>0</v>
      </c>
      <c r="L1116">
        <f>IF(D1116&lt;$A$15,$C$11,$C$11*(1-$G$11))</f>
        <v>200</v>
      </c>
      <c r="M1116">
        <f>IF(D1116&lt;$A$15,0,1)</f>
        <v>1</v>
      </c>
    </row>
    <row r="1117" spans="4:13" x14ac:dyDescent="0.2">
      <c r="D1117">
        <f t="shared" si="65"/>
        <v>1094</v>
      </c>
      <c r="E1117" s="1">
        <f t="shared" si="63"/>
        <v>205.91165086215017</v>
      </c>
      <c r="F1117" s="1">
        <f t="shared" si="66"/>
        <v>-60.4144172918447</v>
      </c>
      <c r="G1117" s="1">
        <f t="shared" si="64"/>
        <v>5.7856471367414997E-27</v>
      </c>
      <c r="H1117" s="1">
        <f>G1117/$G$21</f>
        <v>4.0570957699599815E-28</v>
      </c>
      <c r="I1117">
        <f>IF($E$11&lt;=D1117, IF(D1117&lt;=$A$15,D1117-$E$11,$F$11),0)</f>
        <v>300</v>
      </c>
      <c r="J1117">
        <f>IF(D1117&lt;=$A$15,0,D1117-$A$15)</f>
        <v>785</v>
      </c>
      <c r="K1117" s="5">
        <f>IF(D1117&lt;$E$11,H1117,0)</f>
        <v>0</v>
      </c>
      <c r="L1117">
        <f>IF(D1117&lt;$A$15,$C$11,$C$11*(1-$G$11))</f>
        <v>200</v>
      </c>
      <c r="M1117">
        <f>IF(D1117&lt;$A$15,0,1)</f>
        <v>1</v>
      </c>
    </row>
    <row r="1118" spans="4:13" x14ac:dyDescent="0.2">
      <c r="D1118">
        <f t="shared" si="65"/>
        <v>1095</v>
      </c>
      <c r="E1118" s="1">
        <f t="shared" si="63"/>
        <v>205.83468982101405</v>
      </c>
      <c r="F1118" s="1">
        <f t="shared" si="66"/>
        <v>-60.491378332980815</v>
      </c>
      <c r="G1118" s="1">
        <f t="shared" si="64"/>
        <v>5.3570806821681228E-27</v>
      </c>
      <c r="H1118" s="1">
        <f>G1118/$G$21</f>
        <v>3.7565701573704002E-28</v>
      </c>
      <c r="I1118">
        <f>IF($E$11&lt;=D1118, IF(D1118&lt;=$A$15,D1118-$E$11,$F$11),0)</f>
        <v>300</v>
      </c>
      <c r="J1118">
        <f>IF(D1118&lt;=$A$15,0,D1118-$A$15)</f>
        <v>786</v>
      </c>
      <c r="K1118" s="5">
        <f>IF(D1118&lt;$E$11,H1118,0)</f>
        <v>0</v>
      </c>
      <c r="L1118">
        <f>IF(D1118&lt;$A$15,$C$11,$C$11*(1-$G$11))</f>
        <v>200</v>
      </c>
      <c r="M1118">
        <f>IF(D1118&lt;$A$15,0,1)</f>
        <v>1</v>
      </c>
    </row>
    <row r="1119" spans="4:13" x14ac:dyDescent="0.2">
      <c r="D1119">
        <f t="shared" si="65"/>
        <v>1096</v>
      </c>
      <c r="E1119" s="1">
        <f t="shared" si="63"/>
        <v>205.75772877987794</v>
      </c>
      <c r="F1119" s="1">
        <f t="shared" si="66"/>
        <v>-60.568339374116931</v>
      </c>
      <c r="G1119" s="1">
        <f t="shared" si="64"/>
        <v>4.960259890896473E-27</v>
      </c>
      <c r="H1119" s="1">
        <f>G1119/$G$21</f>
        <v>3.4783057012689335E-28</v>
      </c>
      <c r="I1119">
        <f>IF($E$11&lt;=D1119, IF(D1119&lt;=$A$15,D1119-$E$11,$F$11),0)</f>
        <v>300</v>
      </c>
      <c r="J1119">
        <f>IF(D1119&lt;=$A$15,0,D1119-$A$15)</f>
        <v>787</v>
      </c>
      <c r="K1119" s="5">
        <f>IF(D1119&lt;$E$11,H1119,0)</f>
        <v>0</v>
      </c>
      <c r="L1119">
        <f>IF(D1119&lt;$A$15,$C$11,$C$11*(1-$G$11))</f>
        <v>200</v>
      </c>
      <c r="M1119">
        <f>IF(D1119&lt;$A$15,0,1)</f>
        <v>1</v>
      </c>
    </row>
    <row r="1120" spans="4:13" x14ac:dyDescent="0.2">
      <c r="D1120">
        <f t="shared" si="65"/>
        <v>1097</v>
      </c>
      <c r="E1120" s="1">
        <f t="shared" si="63"/>
        <v>205.68076773874182</v>
      </c>
      <c r="F1120" s="1">
        <f t="shared" si="66"/>
        <v>-60.645300415253047</v>
      </c>
      <c r="G1120" s="1">
        <f t="shared" si="64"/>
        <v>4.5928332323116066E-27</v>
      </c>
      <c r="H1120" s="1">
        <f>G1120/$G$21</f>
        <v>3.2206534271009048E-28</v>
      </c>
      <c r="I1120">
        <f>IF($E$11&lt;=D1120, IF(D1120&lt;=$A$15,D1120-$E$11,$F$11),0)</f>
        <v>300</v>
      </c>
      <c r="J1120">
        <f>IF(D1120&lt;=$A$15,0,D1120-$A$15)</f>
        <v>788</v>
      </c>
      <c r="K1120" s="5">
        <f>IF(D1120&lt;$E$11,H1120,0)</f>
        <v>0</v>
      </c>
      <c r="L1120">
        <f>IF(D1120&lt;$A$15,$C$11,$C$11*(1-$G$11))</f>
        <v>200</v>
      </c>
      <c r="M1120">
        <f>IF(D1120&lt;$A$15,0,1)</f>
        <v>1</v>
      </c>
    </row>
    <row r="1121" spans="4:13" x14ac:dyDescent="0.2">
      <c r="D1121">
        <f t="shared" si="65"/>
        <v>1098</v>
      </c>
      <c r="E1121" s="1">
        <f t="shared" si="63"/>
        <v>205.60380669760571</v>
      </c>
      <c r="F1121" s="1">
        <f t="shared" si="66"/>
        <v>-60.722261456389163</v>
      </c>
      <c r="G1121" s="1">
        <f t="shared" si="64"/>
        <v>4.2526233632515413E-27</v>
      </c>
      <c r="H1121" s="1">
        <f>G1121/$G$21</f>
        <v>2.9820865065749493E-28</v>
      </c>
      <c r="I1121">
        <f>IF($E$11&lt;=D1121, IF(D1121&lt;=$A$15,D1121-$E$11,$F$11),0)</f>
        <v>300</v>
      </c>
      <c r="J1121">
        <f>IF(D1121&lt;=$A$15,0,D1121-$A$15)</f>
        <v>789</v>
      </c>
      <c r="K1121" s="5">
        <f>IF(D1121&lt;$E$11,H1121,0)</f>
        <v>0</v>
      </c>
      <c r="L1121">
        <f>IF(D1121&lt;$A$15,$C$11,$C$11*(1-$G$11))</f>
        <v>200</v>
      </c>
      <c r="M1121">
        <f>IF(D1121&lt;$A$15,0,1)</f>
        <v>1</v>
      </c>
    </row>
    <row r="1122" spans="4:13" x14ac:dyDescent="0.2">
      <c r="D1122">
        <f t="shared" si="65"/>
        <v>1099</v>
      </c>
      <c r="E1122" s="1">
        <f t="shared" si="63"/>
        <v>205.52684565646959</v>
      </c>
      <c r="F1122" s="1">
        <f t="shared" si="66"/>
        <v>-60.799222497525278</v>
      </c>
      <c r="G1122" s="1">
        <f t="shared" si="64"/>
        <v>3.9376142252329591E-27</v>
      </c>
      <c r="H1122" s="1">
        <f>G1122/$G$21</f>
        <v>2.7611912097916553E-28</v>
      </c>
      <c r="I1122">
        <f>IF($E$11&lt;=D1122, IF(D1122&lt;=$A$15,D1122-$E$11,$F$11),0)</f>
        <v>300</v>
      </c>
      <c r="J1122">
        <f>IF(D1122&lt;=$A$15,0,D1122-$A$15)</f>
        <v>790</v>
      </c>
      <c r="K1122" s="5">
        <f>IF(D1122&lt;$E$11,H1122,0)</f>
        <v>0</v>
      </c>
      <c r="L1122">
        <f>IF(D1122&lt;$A$15,$C$11,$C$11*(1-$G$11))</f>
        <v>200</v>
      </c>
      <c r="M1122">
        <f>IF(D1122&lt;$A$15,0,1)</f>
        <v>1</v>
      </c>
    </row>
    <row r="1123" spans="4:13" x14ac:dyDescent="0.2">
      <c r="D1123">
        <f t="shared" si="65"/>
        <v>1100</v>
      </c>
      <c r="E1123" s="1">
        <f t="shared" si="63"/>
        <v>205.44988461533347</v>
      </c>
      <c r="F1123" s="1">
        <f t="shared" si="66"/>
        <v>-60.876183538661394</v>
      </c>
      <c r="G1123" s="1">
        <f t="shared" si="64"/>
        <v>3.6459390974379706E-27</v>
      </c>
      <c r="H1123" s="1">
        <f>G1123/$G$21</f>
        <v>2.5566585275848977E-28</v>
      </c>
      <c r="I1123">
        <f>IF($E$11&lt;=D1123, IF(D1123&lt;=$A$15,D1123-$E$11,$F$11),0)</f>
        <v>300</v>
      </c>
      <c r="J1123">
        <f>IF(D1123&lt;=$A$15,0,D1123-$A$15)</f>
        <v>791</v>
      </c>
      <c r="K1123" s="5">
        <f>IF(D1123&lt;$E$11,H1123,0)</f>
        <v>0</v>
      </c>
      <c r="L1123">
        <f>IF(D1123&lt;$A$15,$C$11,$C$11*(1-$G$11))</f>
        <v>200</v>
      </c>
      <c r="M1123">
        <f>IF(D1123&lt;$A$15,0,1)</f>
        <v>1</v>
      </c>
    </row>
    <row r="1124" spans="4:13" x14ac:dyDescent="0.2">
      <c r="D1124">
        <f t="shared" si="65"/>
        <v>1101</v>
      </c>
      <c r="E1124" s="1">
        <f t="shared" si="63"/>
        <v>205.37292357419736</v>
      </c>
      <c r="F1124" s="1">
        <f t="shared" si="66"/>
        <v>-60.95314457979751</v>
      </c>
      <c r="G1124" s="1">
        <f t="shared" si="64"/>
        <v>3.3758695346648305E-27</v>
      </c>
      <c r="H1124" s="1">
        <f>G1124/$G$21</f>
        <v>2.3672764144304909E-28</v>
      </c>
      <c r="I1124">
        <f>IF($E$11&lt;=D1124, IF(D1124&lt;=$A$15,D1124-$E$11,$F$11),0)</f>
        <v>300</v>
      </c>
      <c r="J1124">
        <f>IF(D1124&lt;=$A$15,0,D1124-$A$15)</f>
        <v>792</v>
      </c>
      <c r="K1124" s="5">
        <f>IF(D1124&lt;$E$11,H1124,0)</f>
        <v>0</v>
      </c>
      <c r="L1124">
        <f>IF(D1124&lt;$A$15,$C$11,$C$11*(1-$G$11))</f>
        <v>200</v>
      </c>
      <c r="M1124">
        <f>IF(D1124&lt;$A$15,0,1)</f>
        <v>1</v>
      </c>
    </row>
    <row r="1125" spans="4:13" x14ac:dyDescent="0.2">
      <c r="D1125">
        <f t="shared" si="65"/>
        <v>1102</v>
      </c>
      <c r="E1125" s="1">
        <f t="shared" si="63"/>
        <v>205.29596253306124</v>
      </c>
      <c r="F1125" s="1">
        <f t="shared" si="66"/>
        <v>-61.030105620933625</v>
      </c>
      <c r="G1125" s="1">
        <f t="shared" si="64"/>
        <v>3.1258051246896974E-27</v>
      </c>
      <c r="H1125" s="1">
        <f>G1125/$G$21</f>
        <v>2.1919226059541862E-28</v>
      </c>
      <c r="I1125">
        <f>IF($E$11&lt;=D1125, IF(D1125&lt;=$A$15,D1125-$E$11,$F$11),0)</f>
        <v>300</v>
      </c>
      <c r="J1125">
        <f>IF(D1125&lt;=$A$15,0,D1125-$A$15)</f>
        <v>793</v>
      </c>
      <c r="K1125" s="5">
        <f>IF(D1125&lt;$E$11,H1125,0)</f>
        <v>0</v>
      </c>
      <c r="L1125">
        <f>IF(D1125&lt;$A$15,$C$11,$C$11*(1-$G$11))</f>
        <v>200</v>
      </c>
      <c r="M1125">
        <f>IF(D1125&lt;$A$15,0,1)</f>
        <v>1</v>
      </c>
    </row>
    <row r="1126" spans="4:13" x14ac:dyDescent="0.2">
      <c r="D1126">
        <f t="shared" si="65"/>
        <v>1103</v>
      </c>
      <c r="E1126" s="1">
        <f t="shared" si="63"/>
        <v>205.21900149192513</v>
      </c>
      <c r="F1126" s="1">
        <f t="shared" si="66"/>
        <v>-61.107066662069741</v>
      </c>
      <c r="G1126" s="1">
        <f t="shared" si="64"/>
        <v>2.8942640043423491E-27</v>
      </c>
      <c r="H1126" s="1">
        <f>G1126/$G$21</f>
        <v>2.0295579684761241E-28</v>
      </c>
      <c r="I1126">
        <f>IF($E$11&lt;=D1126, IF(D1126&lt;=$A$15,D1126-$E$11,$F$11),0)</f>
        <v>300</v>
      </c>
      <c r="J1126">
        <f>IF(D1126&lt;=$A$15,0,D1126-$A$15)</f>
        <v>794</v>
      </c>
      <c r="K1126" s="5">
        <f>IF(D1126&lt;$E$11,H1126,0)</f>
        <v>0</v>
      </c>
      <c r="L1126">
        <f>IF(D1126&lt;$A$15,$C$11,$C$11*(1-$G$11))</f>
        <v>200</v>
      </c>
      <c r="M1126">
        <f>IF(D1126&lt;$A$15,0,1)</f>
        <v>1</v>
      </c>
    </row>
    <row r="1127" spans="4:13" x14ac:dyDescent="0.2">
      <c r="D1127">
        <f t="shared" si="65"/>
        <v>1104</v>
      </c>
      <c r="E1127" s="1">
        <f t="shared" si="63"/>
        <v>205.14204045078901</v>
      </c>
      <c r="F1127" s="1">
        <f t="shared" si="66"/>
        <v>-61.184027703205857</v>
      </c>
      <c r="G1127" s="1">
        <f t="shared" si="64"/>
        <v>2.6798740780948013E-27</v>
      </c>
      <c r="H1127" s="1">
        <f>G1127/$G$21</f>
        <v>1.8792203411816197E-28</v>
      </c>
      <c r="I1127">
        <f>IF($E$11&lt;=D1127, IF(D1127&lt;=$A$15,D1127-$E$11,$F$11),0)</f>
        <v>300</v>
      </c>
      <c r="J1127">
        <f>IF(D1127&lt;=$A$15,0,D1127-$A$15)</f>
        <v>795</v>
      </c>
      <c r="K1127" s="5">
        <f>IF(D1127&lt;$E$11,H1127,0)</f>
        <v>0</v>
      </c>
      <c r="L1127">
        <f>IF(D1127&lt;$A$15,$C$11,$C$11*(1-$G$11))</f>
        <v>200</v>
      </c>
      <c r="M1127">
        <f>IF(D1127&lt;$A$15,0,1)</f>
        <v>1</v>
      </c>
    </row>
    <row r="1128" spans="4:13" x14ac:dyDescent="0.2">
      <c r="D1128">
        <f t="shared" si="65"/>
        <v>1105</v>
      </c>
      <c r="E1128" s="1">
        <f t="shared" si="63"/>
        <v>205.0650794096529</v>
      </c>
      <c r="F1128" s="1">
        <f t="shared" si="66"/>
        <v>-61.260988744341972</v>
      </c>
      <c r="G1128" s="1">
        <f t="shared" si="64"/>
        <v>2.4813648871248477E-27</v>
      </c>
      <c r="H1128" s="1">
        <f>G1128/$G$21</f>
        <v>1.7400188344274479E-28</v>
      </c>
      <c r="I1128">
        <f>IF($E$11&lt;=D1128, IF(D1128&lt;=$A$15,D1128-$E$11,$F$11),0)</f>
        <v>300</v>
      </c>
      <c r="J1128">
        <f>IF(D1128&lt;=$A$15,0,D1128-$A$15)</f>
        <v>796</v>
      </c>
      <c r="K1128" s="5">
        <f>IF(D1128&lt;$E$11,H1128,0)</f>
        <v>0</v>
      </c>
      <c r="L1128">
        <f>IF(D1128&lt;$A$15,$C$11,$C$11*(1-$G$11))</f>
        <v>200</v>
      </c>
      <c r="M1128">
        <f>IF(D1128&lt;$A$15,0,1)</f>
        <v>1</v>
      </c>
    </row>
    <row r="1129" spans="4:13" x14ac:dyDescent="0.2">
      <c r="D1129">
        <f t="shared" si="65"/>
        <v>1106</v>
      </c>
      <c r="E1129" s="1">
        <f t="shared" si="63"/>
        <v>204.98811836851678</v>
      </c>
      <c r="F1129" s="1">
        <f t="shared" si="66"/>
        <v>-61.337949785478088</v>
      </c>
      <c r="G1129" s="1">
        <f t="shared" si="64"/>
        <v>2.2975600806711843E-27</v>
      </c>
      <c r="H1129" s="1">
        <f>G1129/$G$21</f>
        <v>1.6111285503958054E-28</v>
      </c>
      <c r="I1129">
        <f>IF($E$11&lt;=D1129, IF(D1129&lt;=$A$15,D1129-$E$11,$F$11),0)</f>
        <v>300</v>
      </c>
      <c r="J1129">
        <f>IF(D1129&lt;=$A$15,0,D1129-$A$15)</f>
        <v>797</v>
      </c>
      <c r="K1129" s="5">
        <f>IF(D1129&lt;$E$11,H1129,0)</f>
        <v>0</v>
      </c>
      <c r="L1129">
        <f>IF(D1129&lt;$A$15,$C$11,$C$11*(1-$G$11))</f>
        <v>200</v>
      </c>
      <c r="M1129">
        <f>IF(D1129&lt;$A$15,0,1)</f>
        <v>1</v>
      </c>
    </row>
    <row r="1130" spans="4:13" x14ac:dyDescent="0.2">
      <c r="D1130">
        <f t="shared" si="65"/>
        <v>1107</v>
      </c>
      <c r="E1130" s="1">
        <f t="shared" si="63"/>
        <v>204.91115732738066</v>
      </c>
      <c r="F1130" s="1">
        <f t="shared" si="66"/>
        <v>-61.414910826614204</v>
      </c>
      <c r="G1130" s="1">
        <f t="shared" si="64"/>
        <v>2.1273704450659382E-27</v>
      </c>
      <c r="H1130" s="1">
        <f>G1130/$G$21</f>
        <v>1.4917856948109499E-28</v>
      </c>
      <c r="I1130">
        <f>IF($E$11&lt;=D1130, IF(D1130&lt;=$A$15,D1130-$E$11,$F$11),0)</f>
        <v>300</v>
      </c>
      <c r="J1130">
        <f>IF(D1130&lt;=$A$15,0,D1130-$A$15)</f>
        <v>798</v>
      </c>
      <c r="K1130" s="5">
        <f>IF(D1130&lt;$E$11,H1130,0)</f>
        <v>0</v>
      </c>
      <c r="L1130">
        <f>IF(D1130&lt;$A$15,$C$11,$C$11*(1-$G$11))</f>
        <v>200</v>
      </c>
      <c r="M1130">
        <f>IF(D1130&lt;$A$15,0,1)</f>
        <v>1</v>
      </c>
    </row>
    <row r="1131" spans="4:13" x14ac:dyDescent="0.2">
      <c r="D1131">
        <f t="shared" si="65"/>
        <v>1108</v>
      </c>
      <c r="E1131" s="1">
        <f t="shared" si="63"/>
        <v>204.83419628624455</v>
      </c>
      <c r="F1131" s="1">
        <f t="shared" si="66"/>
        <v>-61.491871867750319</v>
      </c>
      <c r="G1131" s="1">
        <f t="shared" si="64"/>
        <v>1.9697874491351527E-27</v>
      </c>
      <c r="H1131" s="1">
        <f>G1131/$G$21</f>
        <v>1.3812830507508969E-28</v>
      </c>
      <c r="I1131">
        <f>IF($E$11&lt;=D1131, IF(D1131&lt;=$A$15,D1131-$E$11,$F$11),0)</f>
        <v>300</v>
      </c>
      <c r="J1131">
        <f>IF(D1131&lt;=$A$15,0,D1131-$A$15)</f>
        <v>799</v>
      </c>
      <c r="K1131" s="5">
        <f>IF(D1131&lt;$E$11,H1131,0)</f>
        <v>0</v>
      </c>
      <c r="L1131">
        <f>IF(D1131&lt;$A$15,$C$11,$C$11*(1-$G$11))</f>
        <v>200</v>
      </c>
      <c r="M1131">
        <f>IF(D1131&lt;$A$15,0,1)</f>
        <v>1</v>
      </c>
    </row>
    <row r="1132" spans="4:13" x14ac:dyDescent="0.2">
      <c r="D1132">
        <f t="shared" si="65"/>
        <v>1109</v>
      </c>
      <c r="E1132" s="1">
        <f t="shared" si="63"/>
        <v>204.75723524510843</v>
      </c>
      <c r="F1132" s="1">
        <f t="shared" si="66"/>
        <v>-61.568832908886435</v>
      </c>
      <c r="G1132" s="1">
        <f t="shared" si="64"/>
        <v>1.8238772677177573E-27</v>
      </c>
      <c r="H1132" s="1">
        <f>G1132/$G$21</f>
        <v>1.2789657877323282E-28</v>
      </c>
      <c r="I1132">
        <f>IF($E$11&lt;=D1132, IF(D1132&lt;=$A$15,D1132-$E$11,$F$11),0)</f>
        <v>300</v>
      </c>
      <c r="J1132">
        <f>IF(D1132&lt;=$A$15,0,D1132-$A$15)</f>
        <v>800</v>
      </c>
      <c r="K1132" s="5">
        <f>IF(D1132&lt;$E$11,H1132,0)</f>
        <v>0</v>
      </c>
      <c r="L1132">
        <f>IF(D1132&lt;$A$15,$C$11,$C$11*(1-$G$11))</f>
        <v>200</v>
      </c>
      <c r="M1132">
        <f>IF(D1132&lt;$A$15,0,1)</f>
        <v>1</v>
      </c>
    </row>
    <row r="1133" spans="4:13" x14ac:dyDescent="0.2">
      <c r="D1133">
        <f t="shared" si="65"/>
        <v>1110</v>
      </c>
      <c r="E1133" s="1">
        <f t="shared" si="63"/>
        <v>204.68027420397232</v>
      </c>
      <c r="F1133" s="1">
        <f t="shared" si="66"/>
        <v>-61.645793950022551</v>
      </c>
      <c r="G1133" s="1">
        <f t="shared" si="64"/>
        <v>1.6887752478868335E-27</v>
      </c>
      <c r="H1133" s="1">
        <f>G1133/$G$21</f>
        <v>1.1842275812336521E-28</v>
      </c>
      <c r="I1133">
        <f>IF($E$11&lt;=D1133, IF(D1133&lt;=$A$15,D1133-$E$11,$F$11),0)</f>
        <v>300</v>
      </c>
      <c r="J1133">
        <f>IF(D1133&lt;=$A$15,0,D1133-$A$15)</f>
        <v>801</v>
      </c>
      <c r="K1133" s="5">
        <f>IF(D1133&lt;$E$11,H1133,0)</f>
        <v>0</v>
      </c>
      <c r="L1133">
        <f>IF(D1133&lt;$A$15,$C$11,$C$11*(1-$G$11))</f>
        <v>200</v>
      </c>
      <c r="M1133">
        <f>IF(D1133&lt;$A$15,0,1)</f>
        <v>1</v>
      </c>
    </row>
    <row r="1134" spans="4:13" x14ac:dyDescent="0.2">
      <c r="D1134">
        <f t="shared" si="65"/>
        <v>1111</v>
      </c>
      <c r="E1134" s="1">
        <f t="shared" si="63"/>
        <v>204.6033131628362</v>
      </c>
      <c r="F1134" s="1">
        <f t="shared" si="66"/>
        <v>-61.722754991158666</v>
      </c>
      <c r="G1134" s="1">
        <f t="shared" si="64"/>
        <v>1.5636807850804213E-27</v>
      </c>
      <c r="H1134" s="1">
        <f>G1134/$G$21</f>
        <v>1.096507019660803E-28</v>
      </c>
      <c r="I1134">
        <f>IF($E$11&lt;=D1134, IF(D1134&lt;=$A$15,D1134-$E$11,$F$11),0)</f>
        <v>300</v>
      </c>
      <c r="J1134">
        <f>IF(D1134&lt;=$A$15,0,D1134-$A$15)</f>
        <v>802</v>
      </c>
      <c r="K1134" s="5">
        <f>IF(D1134&lt;$E$11,H1134,0)</f>
        <v>0</v>
      </c>
      <c r="L1134">
        <f>IF(D1134&lt;$A$15,$C$11,$C$11*(1-$G$11))</f>
        <v>200</v>
      </c>
      <c r="M1134">
        <f>IF(D1134&lt;$A$15,0,1)</f>
        <v>1</v>
      </c>
    </row>
    <row r="1135" spans="4:13" x14ac:dyDescent="0.2">
      <c r="D1135">
        <f t="shared" si="65"/>
        <v>1112</v>
      </c>
      <c r="E1135" s="1">
        <f t="shared" si="63"/>
        <v>204.52635212170009</v>
      </c>
      <c r="F1135" s="1">
        <f t="shared" si="66"/>
        <v>-61.799716032294782</v>
      </c>
      <c r="G1135" s="1">
        <f t="shared" si="64"/>
        <v>1.4478525787781862E-27</v>
      </c>
      <c r="H1135" s="1">
        <f>G1135/$G$21</f>
        <v>1.0152842774637192E-28</v>
      </c>
      <c r="I1135">
        <f>IF($E$11&lt;=D1135, IF(D1135&lt;=$A$15,D1135-$E$11,$F$11),0)</f>
        <v>300</v>
      </c>
      <c r="J1135">
        <f>IF(D1135&lt;=$A$15,0,D1135-$A$15)</f>
        <v>803</v>
      </c>
      <c r="K1135" s="5">
        <f>IF(D1135&lt;$E$11,H1135,0)</f>
        <v>0</v>
      </c>
      <c r="L1135">
        <f>IF(D1135&lt;$A$15,$C$11,$C$11*(1-$G$11))</f>
        <v>200</v>
      </c>
      <c r="M1135">
        <f>IF(D1135&lt;$A$15,0,1)</f>
        <v>1</v>
      </c>
    </row>
    <row r="1136" spans="4:13" x14ac:dyDescent="0.2">
      <c r="D1136">
        <f t="shared" si="65"/>
        <v>1113</v>
      </c>
      <c r="E1136" s="1">
        <f t="shared" si="63"/>
        <v>204.44939108056397</v>
      </c>
      <c r="F1136" s="1">
        <f t="shared" si="66"/>
        <v>-61.876677073430898</v>
      </c>
      <c r="G1136" s="1">
        <f t="shared" si="64"/>
        <v>1.3406042396094484E-27</v>
      </c>
      <c r="H1136" s="1">
        <f>G1136/$G$21</f>
        <v>9.4007803468864076E-29</v>
      </c>
      <c r="I1136">
        <f>IF($E$11&lt;=D1136, IF(D1136&lt;=$A$15,D1136-$E$11,$F$11),0)</f>
        <v>300</v>
      </c>
      <c r="J1136">
        <f>IF(D1136&lt;=$A$15,0,D1136-$A$15)</f>
        <v>804</v>
      </c>
      <c r="K1136" s="5">
        <f>IF(D1136&lt;$E$11,H1136,0)</f>
        <v>0</v>
      </c>
      <c r="L1136">
        <f>IF(D1136&lt;$A$15,$C$11,$C$11*(1-$G$11))</f>
        <v>200</v>
      </c>
      <c r="M1136">
        <f>IF(D1136&lt;$A$15,0,1)</f>
        <v>1</v>
      </c>
    </row>
    <row r="1137" spans="4:13" x14ac:dyDescent="0.2">
      <c r="D1137">
        <f t="shared" si="65"/>
        <v>1114</v>
      </c>
      <c r="E1137" s="1">
        <f t="shared" si="63"/>
        <v>204.37243003942785</v>
      </c>
      <c r="F1137" s="1">
        <f t="shared" si="66"/>
        <v>-61.953638114567013</v>
      </c>
      <c r="G1137" s="1">
        <f t="shared" si="64"/>
        <v>1.2413002218606161E-27</v>
      </c>
      <c r="H1137" s="1">
        <f>G1137/$G$21</f>
        <v>8.7044262471171538E-29</v>
      </c>
      <c r="I1137">
        <f>IF($E$11&lt;=D1137, IF(D1137&lt;=$A$15,D1137-$E$11,$F$11),0)</f>
        <v>300</v>
      </c>
      <c r="J1137">
        <f>IF(D1137&lt;=$A$15,0,D1137-$A$15)</f>
        <v>805</v>
      </c>
      <c r="K1137" s="5">
        <f>IF(D1137&lt;$E$11,H1137,0)</f>
        <v>0</v>
      </c>
      <c r="L1137">
        <f>IF(D1137&lt;$A$15,$C$11,$C$11*(1-$G$11))</f>
        <v>200</v>
      </c>
      <c r="M1137">
        <f>IF(D1137&lt;$A$15,0,1)</f>
        <v>1</v>
      </c>
    </row>
    <row r="1138" spans="4:13" x14ac:dyDescent="0.2">
      <c r="D1138">
        <f t="shared" si="65"/>
        <v>1115</v>
      </c>
      <c r="E1138" s="1">
        <f t="shared" si="63"/>
        <v>204.29546899829174</v>
      </c>
      <c r="F1138" s="1">
        <f t="shared" si="66"/>
        <v>-62.030599155703129</v>
      </c>
      <c r="G1138" s="1">
        <f t="shared" si="64"/>
        <v>1.1493520572783628E-27</v>
      </c>
      <c r="H1138" s="1">
        <f>G1138/$G$21</f>
        <v>8.0596539325159858E-29</v>
      </c>
      <c r="I1138">
        <f>IF($E$11&lt;=D1138, IF(D1138&lt;=$A$15,D1138-$E$11,$F$11),0)</f>
        <v>300</v>
      </c>
      <c r="J1138">
        <f>IF(D1138&lt;=$A$15,0,D1138-$A$15)</f>
        <v>806</v>
      </c>
      <c r="K1138" s="5">
        <f>IF(D1138&lt;$E$11,H1138,0)</f>
        <v>0</v>
      </c>
      <c r="L1138">
        <f>IF(D1138&lt;$A$15,$C$11,$C$11*(1-$G$11))</f>
        <v>200</v>
      </c>
      <c r="M1138">
        <f>IF(D1138&lt;$A$15,0,1)</f>
        <v>1</v>
      </c>
    </row>
    <row r="1139" spans="4:13" x14ac:dyDescent="0.2">
      <c r="D1139">
        <f t="shared" si="65"/>
        <v>1116</v>
      </c>
      <c r="E1139" s="1">
        <f t="shared" si="63"/>
        <v>204.21850795715562</v>
      </c>
      <c r="F1139" s="1">
        <f t="shared" si="66"/>
        <v>-62.107560196839245</v>
      </c>
      <c r="G1139" s="1">
        <f t="shared" si="64"/>
        <v>1.0642148678503494E-27</v>
      </c>
      <c r="H1139" s="1">
        <f>G1139/$G$21</f>
        <v>7.4626425301074876E-29</v>
      </c>
      <c r="I1139">
        <f>IF($E$11&lt;=D1139, IF(D1139&lt;=$A$15,D1139-$E$11,$F$11),0)</f>
        <v>300</v>
      </c>
      <c r="J1139">
        <f>IF(D1139&lt;=$A$15,0,D1139-$A$15)</f>
        <v>807</v>
      </c>
      <c r="K1139" s="5">
        <f>IF(D1139&lt;$E$11,H1139,0)</f>
        <v>0</v>
      </c>
      <c r="L1139">
        <f>IF(D1139&lt;$A$15,$C$11,$C$11*(1-$G$11))</f>
        <v>200</v>
      </c>
      <c r="M1139">
        <f>IF(D1139&lt;$A$15,0,1)</f>
        <v>1</v>
      </c>
    </row>
    <row r="1140" spans="4:13" x14ac:dyDescent="0.2">
      <c r="D1140">
        <f t="shared" si="65"/>
        <v>1117</v>
      </c>
      <c r="E1140" s="1">
        <f t="shared" si="63"/>
        <v>204.14154691601951</v>
      </c>
      <c r="F1140" s="1">
        <f t="shared" si="66"/>
        <v>-62.18452123797536</v>
      </c>
      <c r="G1140" s="1">
        <f t="shared" si="64"/>
        <v>9.8538413689848412E-28</v>
      </c>
      <c r="H1140" s="1">
        <f>G1140/$G$21</f>
        <v>6.9098541945440574E-29</v>
      </c>
      <c r="I1140">
        <f>IF($E$11&lt;=D1140, IF(D1140&lt;=$A$15,D1140-$E$11,$F$11),0)</f>
        <v>300</v>
      </c>
      <c r="J1140">
        <f>IF(D1140&lt;=$A$15,0,D1140-$A$15)</f>
        <v>808</v>
      </c>
      <c r="K1140" s="5">
        <f>IF(D1140&lt;$E$11,H1140,0)</f>
        <v>0</v>
      </c>
      <c r="L1140">
        <f>IF(D1140&lt;$A$15,$C$11,$C$11*(1-$G$11))</f>
        <v>200</v>
      </c>
      <c r="M1140">
        <f>IF(D1140&lt;$A$15,0,1)</f>
        <v>1</v>
      </c>
    </row>
    <row r="1141" spans="4:13" x14ac:dyDescent="0.2">
      <c r="D1141">
        <f t="shared" si="65"/>
        <v>1118</v>
      </c>
      <c r="E1141" s="1">
        <f t="shared" si="63"/>
        <v>204.06458587488339</v>
      </c>
      <c r="F1141" s="1">
        <f t="shared" si="66"/>
        <v>-62.261482279111476</v>
      </c>
      <c r="G1141" s="1">
        <f t="shared" si="64"/>
        <v>9.1239271935045977E-28</v>
      </c>
      <c r="H1141" s="1">
        <f>G1141/$G$21</f>
        <v>6.3980131430964308E-29</v>
      </c>
      <c r="I1141">
        <f>IF($E$11&lt;=D1141, IF(D1141&lt;=$A$15,D1141-$E$11,$F$11),0)</f>
        <v>300</v>
      </c>
      <c r="J1141">
        <f>IF(D1141&lt;=$A$15,0,D1141-$A$15)</f>
        <v>809</v>
      </c>
      <c r="K1141" s="5">
        <f>IF(D1141&lt;$E$11,H1141,0)</f>
        <v>0</v>
      </c>
      <c r="L1141">
        <f>IF(D1141&lt;$A$15,$C$11,$C$11*(1-$G$11))</f>
        <v>200</v>
      </c>
      <c r="M1141">
        <f>IF(D1141&lt;$A$15,0,1)</f>
        <v>1</v>
      </c>
    </row>
    <row r="1142" spans="4:13" x14ac:dyDescent="0.2">
      <c r="D1142">
        <f t="shared" si="65"/>
        <v>1119</v>
      </c>
      <c r="E1142" s="1">
        <f t="shared" si="63"/>
        <v>203.98762483374728</v>
      </c>
      <c r="F1142" s="1">
        <f t="shared" si="66"/>
        <v>-62.338443320247592</v>
      </c>
      <c r="G1142" s="1">
        <f t="shared" si="64"/>
        <v>8.4480807347265873E-28</v>
      </c>
      <c r="H1142" s="1">
        <f>G1142/$G$21</f>
        <v>5.9240862436078813E-29</v>
      </c>
      <c r="I1142">
        <f>IF($E$11&lt;=D1142, IF(D1142&lt;=$A$15,D1142-$E$11,$F$11),0)</f>
        <v>300</v>
      </c>
      <c r="J1142">
        <f>IF(D1142&lt;=$A$15,0,D1142-$A$15)</f>
        <v>810</v>
      </c>
      <c r="K1142" s="5">
        <f>IF(D1142&lt;$E$11,H1142,0)</f>
        <v>0</v>
      </c>
      <c r="L1142">
        <f>IF(D1142&lt;$A$15,$C$11,$C$11*(1-$G$11))</f>
        <v>200</v>
      </c>
      <c r="M1142">
        <f>IF(D1142&lt;$A$15,0,1)</f>
        <v>1</v>
      </c>
    </row>
    <row r="1143" spans="4:13" x14ac:dyDescent="0.2">
      <c r="D1143">
        <f t="shared" si="65"/>
        <v>1120</v>
      </c>
      <c r="E1143" s="1">
        <f t="shared" si="63"/>
        <v>203.91066379261116</v>
      </c>
      <c r="F1143" s="1">
        <f t="shared" si="66"/>
        <v>-62.415404361383708</v>
      </c>
      <c r="G1143" s="1">
        <f t="shared" si="64"/>
        <v>7.8222969765987902E-28</v>
      </c>
      <c r="H1143" s="1">
        <f>G1143/$G$21</f>
        <v>5.4852650403777369E-29</v>
      </c>
      <c r="I1143">
        <f>IF($E$11&lt;=D1143, IF(D1143&lt;=$A$15,D1143-$E$11,$F$11),0)</f>
        <v>300</v>
      </c>
      <c r="J1143">
        <f>IF(D1143&lt;=$A$15,0,D1143-$A$15)</f>
        <v>811</v>
      </c>
      <c r="K1143" s="5">
        <f>IF(D1143&lt;$E$11,H1143,0)</f>
        <v>0</v>
      </c>
      <c r="L1143">
        <f>IF(D1143&lt;$A$15,$C$11,$C$11*(1-$G$11))</f>
        <v>200</v>
      </c>
      <c r="M1143">
        <f>IF(D1143&lt;$A$15,0,1)</f>
        <v>1</v>
      </c>
    </row>
    <row r="1144" spans="4:13" x14ac:dyDescent="0.2">
      <c r="D1144">
        <f t="shared" si="65"/>
        <v>1121</v>
      </c>
      <c r="E1144" s="1">
        <f t="shared" si="63"/>
        <v>203.83370275147504</v>
      </c>
      <c r="F1144" s="1">
        <f t="shared" si="66"/>
        <v>-62.492365402519823</v>
      </c>
      <c r="G1144" s="1">
        <f t="shared" si="64"/>
        <v>7.2428675709248973E-28</v>
      </c>
      <c r="H1144" s="1">
        <f>G1144/$G$21</f>
        <v>5.0789491114609318E-29</v>
      </c>
      <c r="I1144">
        <f>IF($E$11&lt;=D1144, IF(D1144&lt;=$A$15,D1144-$E$11,$F$11),0)</f>
        <v>300</v>
      </c>
      <c r="J1144">
        <f>IF(D1144&lt;=$A$15,0,D1144-$A$15)</f>
        <v>812</v>
      </c>
      <c r="K1144" s="5">
        <f>IF(D1144&lt;$E$11,H1144,0)</f>
        <v>0</v>
      </c>
      <c r="L1144">
        <f>IF(D1144&lt;$A$15,$C$11,$C$11*(1-$G$11))</f>
        <v>200</v>
      </c>
      <c r="M1144">
        <f>IF(D1144&lt;$A$15,0,1)</f>
        <v>1</v>
      </c>
    </row>
    <row r="1145" spans="4:13" x14ac:dyDescent="0.2">
      <c r="D1145">
        <f t="shared" si="65"/>
        <v>1122</v>
      </c>
      <c r="E1145" s="1">
        <f t="shared" si="63"/>
        <v>203.75674171033893</v>
      </c>
      <c r="F1145" s="1">
        <f t="shared" si="66"/>
        <v>-62.569326443655939</v>
      </c>
      <c r="G1145" s="1">
        <f t="shared" si="64"/>
        <v>6.7063588619675825E-28</v>
      </c>
      <c r="H1145" s="1">
        <f>G1145/$G$21</f>
        <v>4.7027306587601816E-29</v>
      </c>
      <c r="I1145">
        <f>IF($E$11&lt;=D1145, IF(D1145&lt;=$A$15,D1145-$E$11,$F$11),0)</f>
        <v>300</v>
      </c>
      <c r="J1145">
        <f>IF(D1145&lt;=$A$15,0,D1145-$A$15)</f>
        <v>813</v>
      </c>
      <c r="K1145" s="5">
        <f>IF(D1145&lt;$E$11,H1145,0)</f>
        <v>0</v>
      </c>
      <c r="L1145">
        <f>IF(D1145&lt;$A$15,$C$11,$C$11*(1-$G$11))</f>
        <v>200</v>
      </c>
      <c r="M1145">
        <f>IF(D1145&lt;$A$15,0,1)</f>
        <v>1</v>
      </c>
    </row>
    <row r="1146" spans="4:13" x14ac:dyDescent="0.2">
      <c r="D1146">
        <f t="shared" si="65"/>
        <v>1123</v>
      </c>
      <c r="E1146" s="1">
        <f t="shared" si="63"/>
        <v>203.67978066920281</v>
      </c>
      <c r="F1146" s="1">
        <f t="shared" si="66"/>
        <v>-62.646287484792055</v>
      </c>
      <c r="G1146" s="1">
        <f t="shared" si="64"/>
        <v>6.2095915388589512E-28</v>
      </c>
      <c r="H1146" s="1">
        <f>G1146/$G$21</f>
        <v>4.3543802395928159E-29</v>
      </c>
      <c r="I1146">
        <f>IF($E$11&lt;=D1146, IF(D1146&lt;=$A$15,D1146-$E$11,$F$11),0)</f>
        <v>300</v>
      </c>
      <c r="J1146">
        <f>IF(D1146&lt;=$A$15,0,D1146-$A$15)</f>
        <v>814</v>
      </c>
      <c r="K1146" s="5">
        <f>IF(D1146&lt;$E$11,H1146,0)</f>
        <v>0</v>
      </c>
      <c r="L1146">
        <f>IF(D1146&lt;$A$15,$C$11,$C$11*(1-$G$11))</f>
        <v>200</v>
      </c>
      <c r="M1146">
        <f>IF(D1146&lt;$A$15,0,1)</f>
        <v>1</v>
      </c>
    </row>
    <row r="1147" spans="4:13" x14ac:dyDescent="0.2">
      <c r="D1147">
        <f t="shared" si="65"/>
        <v>1124</v>
      </c>
      <c r="E1147" s="1">
        <f t="shared" si="63"/>
        <v>203.6028196280667</v>
      </c>
      <c r="F1147" s="1">
        <f t="shared" si="66"/>
        <v>-62.72324852592817</v>
      </c>
      <c r="G1147" s="1">
        <f t="shared" si="64"/>
        <v>5.7496217952398416E-28</v>
      </c>
      <c r="H1147" s="1">
        <f>G1147/$G$21</f>
        <v>4.0318335551785836E-29</v>
      </c>
      <c r="I1147">
        <f>IF($E$11&lt;=D1147, IF(D1147&lt;=$A$15,D1147-$E$11,$F$11),0)</f>
        <v>300</v>
      </c>
      <c r="J1147">
        <f>IF(D1147&lt;=$A$15,0,D1147-$A$15)</f>
        <v>815</v>
      </c>
      <c r="K1147" s="5">
        <f>IF(D1147&lt;$E$11,H1147,0)</f>
        <v>0</v>
      </c>
      <c r="L1147">
        <f>IF(D1147&lt;$A$15,$C$11,$C$11*(1-$G$11))</f>
        <v>200</v>
      </c>
      <c r="M1147">
        <f>IF(D1147&lt;$A$15,0,1)</f>
        <v>1</v>
      </c>
    </row>
    <row r="1148" spans="4:13" x14ac:dyDescent="0.2">
      <c r="D1148">
        <f t="shared" si="65"/>
        <v>1125</v>
      </c>
      <c r="E1148" s="1">
        <f t="shared" si="63"/>
        <v>203.52585858693058</v>
      </c>
      <c r="F1148" s="1">
        <f t="shared" si="66"/>
        <v>-62.800209567064286</v>
      </c>
      <c r="G1148" s="1">
        <f t="shared" si="64"/>
        <v>5.3237238844814027E-28</v>
      </c>
      <c r="H1148" s="1">
        <f>G1148/$G$21</f>
        <v>3.7331792177579955E-29</v>
      </c>
      <c r="I1148">
        <f>IF($E$11&lt;=D1148, IF(D1148&lt;=$A$15,D1148-$E$11,$F$11),0)</f>
        <v>300</v>
      </c>
      <c r="J1148">
        <f>IF(D1148&lt;=$A$15,0,D1148-$A$15)</f>
        <v>816</v>
      </c>
      <c r="K1148" s="5">
        <f>IF(D1148&lt;$E$11,H1148,0)</f>
        <v>0</v>
      </c>
      <c r="L1148">
        <f>IF(D1148&lt;$A$15,$C$11,$C$11*(1-$G$11))</f>
        <v>200</v>
      </c>
      <c r="M1148">
        <f>IF(D1148&lt;$A$15,0,1)</f>
        <v>1</v>
      </c>
    </row>
    <row r="1149" spans="4:13" x14ac:dyDescent="0.2">
      <c r="D1149">
        <f t="shared" si="65"/>
        <v>1126</v>
      </c>
      <c r="E1149" s="1">
        <f t="shared" si="63"/>
        <v>203.44889754579447</v>
      </c>
      <c r="F1149" s="1">
        <f t="shared" si="66"/>
        <v>-62.877170608200402</v>
      </c>
      <c r="G1149" s="1">
        <f t="shared" si="64"/>
        <v>4.9293739671124725E-28</v>
      </c>
      <c r="H1149" s="1">
        <f>G1149/$G$21</f>
        <v>3.4566474238500399E-29</v>
      </c>
      <c r="I1149">
        <f>IF($E$11&lt;=D1149, IF(D1149&lt;=$A$15,D1149-$E$11,$F$11),0)</f>
        <v>300</v>
      </c>
      <c r="J1149">
        <f>IF(D1149&lt;=$A$15,0,D1149-$A$15)</f>
        <v>817</v>
      </c>
      <c r="K1149" s="5">
        <f>IF(D1149&lt;$E$11,H1149,0)</f>
        <v>0</v>
      </c>
      <c r="L1149">
        <f>IF(D1149&lt;$A$15,$C$11,$C$11*(1-$G$11))</f>
        <v>200</v>
      </c>
      <c r="M1149">
        <f>IF(D1149&lt;$A$15,0,1)</f>
        <v>1</v>
      </c>
    </row>
    <row r="1150" spans="4:13" x14ac:dyDescent="0.2">
      <c r="D1150">
        <f t="shared" si="65"/>
        <v>1127</v>
      </c>
      <c r="E1150" s="1">
        <f t="shared" si="63"/>
        <v>203.37193650465835</v>
      </c>
      <c r="F1150" s="1">
        <f t="shared" si="66"/>
        <v>-62.954131649336517</v>
      </c>
      <c r="G1150" s="1">
        <f t="shared" si="64"/>
        <v>4.5642351547338284E-28</v>
      </c>
      <c r="H1150" s="1">
        <f>G1150/$G$21</f>
        <v>3.2005994665278551E-29</v>
      </c>
      <c r="I1150">
        <f>IF($E$11&lt;=D1150, IF(D1150&lt;=$A$15,D1150-$E$11,$F$11),0)</f>
        <v>300</v>
      </c>
      <c r="J1150">
        <f>IF(D1150&lt;=$A$15,0,D1150-$A$15)</f>
        <v>818</v>
      </c>
      <c r="K1150" s="5">
        <f>IF(D1150&lt;$E$11,H1150,0)</f>
        <v>0</v>
      </c>
      <c r="L1150">
        <f>IF(D1150&lt;$A$15,$C$11,$C$11*(1-$G$11))</f>
        <v>200</v>
      </c>
      <c r="M1150">
        <f>IF(D1150&lt;$A$15,0,1)</f>
        <v>1</v>
      </c>
    </row>
    <row r="1151" spans="4:13" x14ac:dyDescent="0.2">
      <c r="D1151">
        <f t="shared" si="65"/>
        <v>1128</v>
      </c>
      <c r="E1151" s="1">
        <f t="shared" si="63"/>
        <v>203.29497546352223</v>
      </c>
      <c r="F1151" s="1">
        <f t="shared" si="66"/>
        <v>-63.031092690472633</v>
      </c>
      <c r="G1151" s="1">
        <f t="shared" si="64"/>
        <v>4.2261436617906355E-28</v>
      </c>
      <c r="H1151" s="1">
        <f>G1151/$G$21</f>
        <v>2.9635180245628664E-29</v>
      </c>
      <c r="I1151">
        <f>IF($E$11&lt;=D1151, IF(D1151&lt;=$A$15,D1151-$E$11,$F$11),0)</f>
        <v>300</v>
      </c>
      <c r="J1151">
        <f>IF(D1151&lt;=$A$15,0,D1151-$A$15)</f>
        <v>819</v>
      </c>
      <c r="K1151" s="5">
        <f>IF(D1151&lt;$E$11,H1151,0)</f>
        <v>0</v>
      </c>
      <c r="L1151">
        <f>IF(D1151&lt;$A$15,$C$11,$C$11*(1-$G$11))</f>
        <v>200</v>
      </c>
      <c r="M1151">
        <f>IF(D1151&lt;$A$15,0,1)</f>
        <v>1</v>
      </c>
    </row>
    <row r="1152" spans="4:13" x14ac:dyDescent="0.2">
      <c r="D1152">
        <f t="shared" si="65"/>
        <v>1129</v>
      </c>
      <c r="E1152" s="1">
        <f t="shared" si="63"/>
        <v>203.21801442238612</v>
      </c>
      <c r="F1152" s="1">
        <f t="shared" si="66"/>
        <v>-63.108053731608749</v>
      </c>
      <c r="G1152" s="1">
        <f t="shared" si="64"/>
        <v>3.9130959831395263E-28</v>
      </c>
      <c r="H1152" s="1">
        <f>G1152/$G$21</f>
        <v>2.7439981708915771E-29</v>
      </c>
      <c r="I1152">
        <f>IF($E$11&lt;=D1152, IF(D1152&lt;=$A$15,D1152-$E$11,$F$11),0)</f>
        <v>300</v>
      </c>
      <c r="J1152">
        <f>IF(D1152&lt;=$A$15,0,D1152-$A$15)</f>
        <v>820</v>
      </c>
      <c r="K1152" s="5">
        <f>IF(D1152&lt;$E$11,H1152,0)</f>
        <v>0</v>
      </c>
      <c r="L1152">
        <f>IF(D1152&lt;$A$15,$C$11,$C$11*(1-$G$11))</f>
        <v>200</v>
      </c>
      <c r="M1152">
        <f>IF(D1152&lt;$A$15,0,1)</f>
        <v>1</v>
      </c>
    </row>
    <row r="1153" spans="4:13" x14ac:dyDescent="0.2">
      <c r="D1153">
        <f t="shared" si="65"/>
        <v>1130</v>
      </c>
      <c r="E1153" s="1">
        <f t="shared" si="63"/>
        <v>203.14105338125</v>
      </c>
      <c r="F1153" s="1">
        <f t="shared" si="66"/>
        <v>-63.185014772744864</v>
      </c>
      <c r="G1153" s="1">
        <f t="shared" si="64"/>
        <v>3.6232370214255334E-28</v>
      </c>
      <c r="H1153" s="1">
        <f>G1153/$G$21</f>
        <v>2.5407390471218632E-29</v>
      </c>
      <c r="I1153">
        <f>IF($E$11&lt;=D1153, IF(D1153&lt;=$A$15,D1153-$E$11,$F$11),0)</f>
        <v>300</v>
      </c>
      <c r="J1153">
        <f>IF(D1153&lt;=$A$15,0,D1153-$A$15)</f>
        <v>821</v>
      </c>
      <c r="K1153" s="5">
        <f>IF(D1153&lt;$E$11,H1153,0)</f>
        <v>0</v>
      </c>
      <c r="L1153">
        <f>IF(D1153&lt;$A$15,$C$11,$C$11*(1-$G$11))</f>
        <v>200</v>
      </c>
      <c r="M1153">
        <f>IF(D1153&lt;$A$15,0,1)</f>
        <v>1</v>
      </c>
    </row>
    <row r="1154" spans="4:13" x14ac:dyDescent="0.2">
      <c r="D1154">
        <f t="shared" si="65"/>
        <v>1131</v>
      </c>
      <c r="E1154" s="1">
        <f t="shared" si="63"/>
        <v>203.06409234011389</v>
      </c>
      <c r="F1154" s="1">
        <f t="shared" si="66"/>
        <v>-63.26197581388098</v>
      </c>
      <c r="G1154" s="1">
        <f t="shared" si="64"/>
        <v>3.3548490939125733E-28</v>
      </c>
      <c r="H1154" s="1">
        <f>G1154/$G$21</f>
        <v>2.3525361547424954E-29</v>
      </c>
      <c r="I1154">
        <f>IF($E$11&lt;=D1154, IF(D1154&lt;=$A$15,D1154-$E$11,$F$11),0)</f>
        <v>300</v>
      </c>
      <c r="J1154">
        <f>IF(D1154&lt;=$A$15,0,D1154-$A$15)</f>
        <v>822</v>
      </c>
      <c r="K1154" s="5">
        <f>IF(D1154&lt;$E$11,H1154,0)</f>
        <v>0</v>
      </c>
      <c r="L1154">
        <f>IF(D1154&lt;$A$15,$C$11,$C$11*(1-$G$11))</f>
        <v>200</v>
      </c>
      <c r="M1154">
        <f>IF(D1154&lt;$A$15,0,1)</f>
        <v>1</v>
      </c>
    </row>
    <row r="1155" spans="4:13" x14ac:dyDescent="0.2">
      <c r="D1155">
        <f t="shared" si="65"/>
        <v>1132</v>
      </c>
      <c r="E1155" s="1">
        <f t="shared" si="63"/>
        <v>202.98713129897777</v>
      </c>
      <c r="F1155" s="1">
        <f t="shared" si="66"/>
        <v>-63.338936855017096</v>
      </c>
      <c r="G1155" s="1">
        <f t="shared" si="64"/>
        <v>3.1063417536227922E-28</v>
      </c>
      <c r="H1155" s="1">
        <f>G1155/$G$21</f>
        <v>2.1782742173541901E-29</v>
      </c>
      <c r="I1155">
        <f>IF($E$11&lt;=D1155, IF(D1155&lt;=$A$15,D1155-$E$11,$F$11),0)</f>
        <v>300</v>
      </c>
      <c r="J1155">
        <f>IF(D1155&lt;=$A$15,0,D1155-$A$15)</f>
        <v>823</v>
      </c>
      <c r="K1155" s="5">
        <f>IF(D1155&lt;$E$11,H1155,0)</f>
        <v>0</v>
      </c>
      <c r="L1155">
        <f>IF(D1155&lt;$A$15,$C$11,$C$11*(1-$G$11))</f>
        <v>200</v>
      </c>
      <c r="M1155">
        <f>IF(D1155&lt;$A$15,0,1)</f>
        <v>1</v>
      </c>
    </row>
    <row r="1156" spans="4:13" x14ac:dyDescent="0.2">
      <c r="D1156">
        <f t="shared" si="65"/>
        <v>1133</v>
      </c>
      <c r="E1156" s="1">
        <f t="shared" ref="E1156:F1219" si="67">IF($G$11=1,IF(D1156&lt;=$A$15, E1155+LN($C$11)-LN(60/$D$11)-LN(MIN(D1156,$E$11)), E1155-LN(60/$D$11)-LN(MIN(D1156,$E$11))), IF(D1156&lt;=$A$15, E1155+LN($C$11)-LN(60/$D$11)-LN(MIN(D1156,$E$11)), E1155+LN($C$11)+LN(1-$G$11)-LN(60/$D$11)-LN(MIN(D1156,$E$11))))</f>
        <v>202.91017025784166</v>
      </c>
      <c r="F1156" s="1">
        <f t="shared" si="66"/>
        <v>-63.415897896153211</v>
      </c>
      <c r="G1156" s="1">
        <f t="shared" si="64"/>
        <v>2.8762423644655845E-28</v>
      </c>
      <c r="H1156" s="1">
        <f>G1156/$G$21</f>
        <v>2.0169205716242754E-29</v>
      </c>
      <c r="I1156">
        <f>IF($E$11&lt;=D1156, IF(D1156&lt;=$A$15,D1156-$E$11,$F$11),0)</f>
        <v>300</v>
      </c>
      <c r="J1156">
        <f>IF(D1156&lt;=$A$15,0,D1156-$A$15)</f>
        <v>824</v>
      </c>
      <c r="K1156" s="5">
        <f>IF(D1156&lt;$E$11,H1156,0)</f>
        <v>0</v>
      </c>
      <c r="L1156">
        <f>IF(D1156&lt;$A$15,$C$11,$C$11*(1-$G$11))</f>
        <v>200</v>
      </c>
      <c r="M1156">
        <f>IF(D1156&lt;$A$15,0,1)</f>
        <v>1</v>
      </c>
    </row>
    <row r="1157" spans="4:13" x14ac:dyDescent="0.2">
      <c r="D1157">
        <f t="shared" si="65"/>
        <v>1134</v>
      </c>
      <c r="E1157" s="1">
        <f t="shared" si="67"/>
        <v>202.83320921670554</v>
      </c>
      <c r="F1157" s="1">
        <f t="shared" si="66"/>
        <v>-63.492858937289327</v>
      </c>
      <c r="G1157" s="1">
        <f t="shared" si="64"/>
        <v>2.6631873745052047E-28</v>
      </c>
      <c r="H1157" s="1">
        <f>G1157/$G$21</f>
        <v>1.8675190478002786E-29</v>
      </c>
      <c r="I1157">
        <f>IF($E$11&lt;=D1157, IF(D1157&lt;=$A$15,D1157-$E$11,$F$11),0)</f>
        <v>300</v>
      </c>
      <c r="J1157">
        <f>IF(D1157&lt;=$A$15,0,D1157-$A$15)</f>
        <v>825</v>
      </c>
      <c r="K1157" s="5">
        <f>IF(D1157&lt;$E$11,H1157,0)</f>
        <v>0</v>
      </c>
      <c r="L1157">
        <f>IF(D1157&lt;$A$15,$C$11,$C$11*(1-$G$11))</f>
        <v>200</v>
      </c>
      <c r="M1157">
        <f>IF(D1157&lt;$A$15,0,1)</f>
        <v>1</v>
      </c>
    </row>
    <row r="1158" spans="4:13" x14ac:dyDescent="0.2">
      <c r="D1158">
        <f t="shared" si="65"/>
        <v>1135</v>
      </c>
      <c r="E1158" s="1">
        <f t="shared" si="67"/>
        <v>202.75624817556943</v>
      </c>
      <c r="F1158" s="1">
        <f t="shared" si="66"/>
        <v>-63.569819978425443</v>
      </c>
      <c r="G1158" s="1">
        <f t="shared" si="64"/>
        <v>2.4659142356529986E-28</v>
      </c>
      <c r="H1158" s="1">
        <f>G1158/$G$21</f>
        <v>1.7291843035187987E-29</v>
      </c>
      <c r="I1158">
        <f>IF($E$11&lt;=D1158, IF(D1158&lt;=$A$15,D1158-$E$11,$F$11),0)</f>
        <v>300</v>
      </c>
      <c r="J1158">
        <f>IF(D1158&lt;=$A$15,0,D1158-$A$15)</f>
        <v>826</v>
      </c>
      <c r="K1158" s="5">
        <f>IF(D1158&lt;$E$11,H1158,0)</f>
        <v>0</v>
      </c>
      <c r="L1158">
        <f>IF(D1158&lt;$A$15,$C$11,$C$11*(1-$G$11))</f>
        <v>200</v>
      </c>
      <c r="M1158">
        <f>IF(D1158&lt;$A$15,0,1)</f>
        <v>1</v>
      </c>
    </row>
    <row r="1159" spans="4:13" x14ac:dyDescent="0.2">
      <c r="D1159">
        <f t="shared" si="65"/>
        <v>1136</v>
      </c>
      <c r="E1159" s="1">
        <f t="shared" si="67"/>
        <v>202.67928713443331</v>
      </c>
      <c r="F1159" s="1">
        <f t="shared" si="66"/>
        <v>-63.646781019561558</v>
      </c>
      <c r="G1159" s="1">
        <f t="shared" si="64"/>
        <v>2.2832539219009534E-28</v>
      </c>
      <c r="H1159" s="1">
        <f>G1159/$G$21</f>
        <v>1.601096577332241E-29</v>
      </c>
      <c r="I1159">
        <f>IF($E$11&lt;=D1159, IF(D1159&lt;=$A$15,D1159-$E$11,$F$11),0)</f>
        <v>300</v>
      </c>
      <c r="J1159">
        <f>IF(D1159&lt;=$A$15,0,D1159-$A$15)</f>
        <v>827</v>
      </c>
      <c r="K1159" s="5">
        <f>IF(D1159&lt;$E$11,H1159,0)</f>
        <v>0</v>
      </c>
      <c r="L1159">
        <f>IF(D1159&lt;$A$15,$C$11,$C$11*(1-$G$11))</f>
        <v>200</v>
      </c>
      <c r="M1159">
        <f>IF(D1159&lt;$A$15,0,1)</f>
        <v>1</v>
      </c>
    </row>
    <row r="1160" spans="4:13" x14ac:dyDescent="0.2">
      <c r="D1160">
        <f t="shared" si="65"/>
        <v>1137</v>
      </c>
      <c r="E1160" s="1">
        <f t="shared" si="67"/>
        <v>202.60232609329719</v>
      </c>
      <c r="F1160" s="1">
        <f t="shared" si="66"/>
        <v>-63.723742060697674</v>
      </c>
      <c r="G1160" s="1">
        <f t="shared" si="64"/>
        <v>2.1141240017601688E-28</v>
      </c>
      <c r="H1160" s="1">
        <f>G1160/$G$21</f>
        <v>1.4824968308632049E-29</v>
      </c>
      <c r="I1160">
        <f>IF($E$11&lt;=D1160, IF(D1160&lt;=$A$15,D1160-$E$11,$F$11),0)</f>
        <v>300</v>
      </c>
      <c r="J1160">
        <f>IF(D1160&lt;=$A$15,0,D1160-$A$15)</f>
        <v>828</v>
      </c>
      <c r="K1160" s="5">
        <f>IF(D1160&lt;$E$11,H1160,0)</f>
        <v>0</v>
      </c>
      <c r="L1160">
        <f>IF(D1160&lt;$A$15,$C$11,$C$11*(1-$G$11))</f>
        <v>200</v>
      </c>
      <c r="M1160">
        <f>IF(D1160&lt;$A$15,0,1)</f>
        <v>1</v>
      </c>
    </row>
    <row r="1161" spans="4:13" x14ac:dyDescent="0.2">
      <c r="D1161">
        <f t="shared" si="65"/>
        <v>1138</v>
      </c>
      <c r="E1161" s="1">
        <f t="shared" si="67"/>
        <v>202.52536505216108</v>
      </c>
      <c r="F1161" s="1">
        <f t="shared" si="66"/>
        <v>-63.80070310183379</v>
      </c>
      <c r="G1161" s="1">
        <f t="shared" si="64"/>
        <v>1.9575222238520329E-28</v>
      </c>
      <c r="H1161" s="1">
        <f>G1161/$G$21</f>
        <v>1.372682250799281E-29</v>
      </c>
      <c r="I1161">
        <f>IF($E$11&lt;=D1161, IF(D1161&lt;=$A$15,D1161-$E$11,$F$11),0)</f>
        <v>300</v>
      </c>
      <c r="J1161">
        <f>IF(D1161&lt;=$A$15,0,D1161-$A$15)</f>
        <v>829</v>
      </c>
      <c r="K1161" s="5">
        <f>IF(D1161&lt;$E$11,H1161,0)</f>
        <v>0</v>
      </c>
      <c r="L1161">
        <f>IF(D1161&lt;$A$15,$C$11,$C$11*(1-$G$11))</f>
        <v>200</v>
      </c>
      <c r="M1161">
        <f>IF(D1161&lt;$A$15,0,1)</f>
        <v>1</v>
      </c>
    </row>
    <row r="1162" spans="4:13" x14ac:dyDescent="0.2">
      <c r="D1162">
        <f t="shared" si="65"/>
        <v>1139</v>
      </c>
      <c r="E1162" s="1">
        <f t="shared" si="67"/>
        <v>202.44840401102496</v>
      </c>
      <c r="F1162" s="1">
        <f t="shared" si="66"/>
        <v>-63.877664142969905</v>
      </c>
      <c r="G1162" s="1">
        <f t="shared" si="64"/>
        <v>1.8125205776407941E-28</v>
      </c>
      <c r="H1162" s="1">
        <f>G1162/$G$21</f>
        <v>1.2710020840734245E-29</v>
      </c>
      <c r="I1162">
        <f>IF($E$11&lt;=D1162, IF(D1162&lt;=$A$15,D1162-$E$11,$F$11),0)</f>
        <v>300</v>
      </c>
      <c r="J1162">
        <f>IF(D1162&lt;=$A$15,0,D1162-$A$15)</f>
        <v>830</v>
      </c>
      <c r="K1162" s="5">
        <f>IF(D1162&lt;$E$11,H1162,0)</f>
        <v>0</v>
      </c>
      <c r="L1162">
        <f>IF(D1162&lt;$A$15,$C$11,$C$11*(1-$G$11))</f>
        <v>200</v>
      </c>
      <c r="M1162">
        <f>IF(D1162&lt;$A$15,0,1)</f>
        <v>1</v>
      </c>
    </row>
    <row r="1163" spans="4:13" x14ac:dyDescent="0.2">
      <c r="D1163">
        <f t="shared" si="65"/>
        <v>1140</v>
      </c>
      <c r="E1163" s="1">
        <f t="shared" si="67"/>
        <v>202.37144296988885</v>
      </c>
      <c r="F1163" s="1">
        <f t="shared" si="66"/>
        <v>-63.954625184106021</v>
      </c>
      <c r="G1163" s="1">
        <f t="shared" si="64"/>
        <v>1.6782597941118677E-28</v>
      </c>
      <c r="H1163" s="1">
        <f>G1163/$G$21</f>
        <v>1.1768537815494821E-29</v>
      </c>
      <c r="I1163">
        <f>IF($E$11&lt;=D1163, IF(D1163&lt;=$A$15,D1163-$E$11,$F$11),0)</f>
        <v>300</v>
      </c>
      <c r="J1163">
        <f>IF(D1163&lt;=$A$15,0,D1163-$A$15)</f>
        <v>831</v>
      </c>
      <c r="K1163" s="5">
        <f>IF(D1163&lt;$E$11,H1163,0)</f>
        <v>0</v>
      </c>
      <c r="L1163">
        <f>IF(D1163&lt;$A$15,$C$11,$C$11*(1-$G$11))</f>
        <v>200</v>
      </c>
      <c r="M1163">
        <f>IF(D1163&lt;$A$15,0,1)</f>
        <v>1</v>
      </c>
    </row>
    <row r="1164" spans="4:13" x14ac:dyDescent="0.2">
      <c r="D1164">
        <f t="shared" si="65"/>
        <v>1141</v>
      </c>
      <c r="E1164" s="1">
        <f t="shared" si="67"/>
        <v>202.29448192875273</v>
      </c>
      <c r="F1164" s="1">
        <f t="shared" si="66"/>
        <v>-64.031586225242137</v>
      </c>
      <c r="G1164" s="1">
        <f t="shared" si="64"/>
        <v>1.5539442538073044E-28</v>
      </c>
      <c r="H1164" s="1">
        <f>G1164/$G$21</f>
        <v>1.0896794273606453E-29</v>
      </c>
      <c r="I1164">
        <f>IF($E$11&lt;=D1164, IF(D1164&lt;=$A$15,D1164-$E$11,$F$11),0)</f>
        <v>300</v>
      </c>
      <c r="J1164">
        <f>IF(D1164&lt;=$A$15,0,D1164-$A$15)</f>
        <v>832</v>
      </c>
      <c r="K1164" s="5">
        <f>IF(D1164&lt;$E$11,H1164,0)</f>
        <v>0</v>
      </c>
      <c r="L1164">
        <f>IF(D1164&lt;$A$15,$C$11,$C$11*(1-$G$11))</f>
        <v>200</v>
      </c>
      <c r="M1164">
        <f>IF(D1164&lt;$A$15,0,1)</f>
        <v>1</v>
      </c>
    </row>
    <row r="1165" spans="4:13" x14ac:dyDescent="0.2">
      <c r="D1165">
        <f t="shared" si="65"/>
        <v>1142</v>
      </c>
      <c r="E1165" s="1">
        <f t="shared" si="67"/>
        <v>202.21752088761662</v>
      </c>
      <c r="F1165" s="1">
        <f t="shared" si="66"/>
        <v>-64.108547266378253</v>
      </c>
      <c r="G1165" s="1">
        <f t="shared" si="64"/>
        <v>1.4388372720438187E-28</v>
      </c>
      <c r="H1165" s="1">
        <f>G1165/$G$21</f>
        <v>1.0089624327413511E-29</v>
      </c>
      <c r="I1165">
        <f>IF($E$11&lt;=D1165, IF(D1165&lt;=$A$15,D1165-$E$11,$F$11),0)</f>
        <v>300</v>
      </c>
      <c r="J1165">
        <f>IF(D1165&lt;=$A$15,0,D1165-$A$15)</f>
        <v>833</v>
      </c>
      <c r="K1165" s="5">
        <f>IF(D1165&lt;$E$11,H1165,0)</f>
        <v>0</v>
      </c>
      <c r="L1165">
        <f>IF(D1165&lt;$A$15,$C$11,$C$11*(1-$G$11))</f>
        <v>200</v>
      </c>
      <c r="M1165">
        <f>IF(D1165&lt;$A$15,0,1)</f>
        <v>1</v>
      </c>
    </row>
    <row r="1166" spans="4:13" x14ac:dyDescent="0.2">
      <c r="D1166">
        <f t="shared" si="65"/>
        <v>1143</v>
      </c>
      <c r="E1166" s="1">
        <f t="shared" si="67"/>
        <v>202.1405598464805</v>
      </c>
      <c r="F1166" s="1">
        <f t="shared" si="66"/>
        <v>-64.185508307514368</v>
      </c>
      <c r="G1166" s="1">
        <f t="shared" si="64"/>
        <v>1.332256733373923E-28</v>
      </c>
      <c r="H1166" s="1">
        <f>G1166/$G$21</f>
        <v>9.3422447476052195E-30</v>
      </c>
      <c r="I1166">
        <f>IF($E$11&lt;=D1166, IF(D1166&lt;=$A$15,D1166-$E$11,$F$11),0)</f>
        <v>300</v>
      </c>
      <c r="J1166">
        <f>IF(D1166&lt;=$A$15,0,D1166-$A$15)</f>
        <v>834</v>
      </c>
      <c r="K1166" s="5">
        <f>IF(D1166&lt;$E$11,H1166,0)</f>
        <v>0</v>
      </c>
      <c r="L1166">
        <f>IF(D1166&lt;$A$15,$C$11,$C$11*(1-$G$11))</f>
        <v>200</v>
      </c>
      <c r="M1166">
        <f>IF(D1166&lt;$A$15,0,1)</f>
        <v>1</v>
      </c>
    </row>
    <row r="1167" spans="4:13" x14ac:dyDescent="0.2">
      <c r="D1167">
        <f t="shared" si="65"/>
        <v>1144</v>
      </c>
      <c r="E1167" s="1">
        <f t="shared" si="67"/>
        <v>202.06359880534438</v>
      </c>
      <c r="F1167" s="1">
        <f t="shared" si="66"/>
        <v>-64.262469348650484</v>
      </c>
      <c r="G1167" s="1">
        <f t="shared" si="64"/>
        <v>1.2335710494203147E-28</v>
      </c>
      <c r="H1167" s="1">
        <f>G1167/$G$21</f>
        <v>8.6502266181530914E-30</v>
      </c>
      <c r="I1167">
        <f>IF($E$11&lt;=D1167, IF(D1167&lt;=$A$15,D1167-$E$11,$F$11),0)</f>
        <v>300</v>
      </c>
      <c r="J1167">
        <f>IF(D1167&lt;=$A$15,0,D1167-$A$15)</f>
        <v>835</v>
      </c>
      <c r="K1167" s="5">
        <f>IF(D1167&lt;$E$11,H1167,0)</f>
        <v>0</v>
      </c>
      <c r="L1167">
        <f>IF(D1167&lt;$A$15,$C$11,$C$11*(1-$G$11))</f>
        <v>200</v>
      </c>
      <c r="M1167">
        <f>IF(D1167&lt;$A$15,0,1)</f>
        <v>1</v>
      </c>
    </row>
    <row r="1168" spans="4:13" x14ac:dyDescent="0.2">
      <c r="D1168">
        <f t="shared" si="65"/>
        <v>1145</v>
      </c>
      <c r="E1168" s="1">
        <f t="shared" si="67"/>
        <v>201.98663776420827</v>
      </c>
      <c r="F1168" s="1">
        <f t="shared" si="66"/>
        <v>-64.3394303897866</v>
      </c>
      <c r="G1168" s="1">
        <f t="shared" si="64"/>
        <v>1.1421954161299354E-28</v>
      </c>
      <c r="H1168" s="1">
        <f>G1168/$G$21</f>
        <v>8.0094690908825923E-30</v>
      </c>
      <c r="I1168">
        <f>IF($E$11&lt;=D1168, IF(D1168&lt;=$A$15,D1168-$E$11,$F$11),0)</f>
        <v>300</v>
      </c>
      <c r="J1168">
        <f>IF(D1168&lt;=$A$15,0,D1168-$A$15)</f>
        <v>836</v>
      </c>
      <c r="K1168" s="5">
        <f>IF(D1168&lt;$E$11,H1168,0)</f>
        <v>0</v>
      </c>
      <c r="L1168">
        <f>IF(D1168&lt;$A$15,$C$11,$C$11*(1-$G$11))</f>
        <v>200</v>
      </c>
      <c r="M1168">
        <f>IF(D1168&lt;$A$15,0,1)</f>
        <v>1</v>
      </c>
    </row>
    <row r="1169" spans="4:13" x14ac:dyDescent="0.2">
      <c r="D1169">
        <f t="shared" si="65"/>
        <v>1146</v>
      </c>
      <c r="E1169" s="1">
        <f t="shared" si="67"/>
        <v>201.90967672307215</v>
      </c>
      <c r="F1169" s="1">
        <f t="shared" si="66"/>
        <v>-64.416391430922715</v>
      </c>
      <c r="G1169" s="1">
        <f t="shared" si="64"/>
        <v>1.057588348268472E-28</v>
      </c>
      <c r="H1169" s="1">
        <f>G1169/$G$21</f>
        <v>7.4161750841506422E-30</v>
      </c>
      <c r="I1169">
        <f>IF($E$11&lt;=D1169, IF(D1169&lt;=$A$15,D1169-$E$11,$F$11),0)</f>
        <v>300</v>
      </c>
      <c r="J1169">
        <f>IF(D1169&lt;=$A$15,0,D1169-$A$15)</f>
        <v>837</v>
      </c>
      <c r="K1169" s="5">
        <f>IF(D1169&lt;$E$11,H1169,0)</f>
        <v>0</v>
      </c>
      <c r="L1169">
        <f>IF(D1169&lt;$A$15,$C$11,$C$11*(1-$G$11))</f>
        <v>200</v>
      </c>
      <c r="M1169">
        <f>IF(D1169&lt;$A$15,0,1)</f>
        <v>1</v>
      </c>
    </row>
    <row r="1170" spans="4:13" x14ac:dyDescent="0.2">
      <c r="D1170">
        <f t="shared" si="65"/>
        <v>1147</v>
      </c>
      <c r="E1170" s="1">
        <f t="shared" si="67"/>
        <v>201.83271568193604</v>
      </c>
      <c r="F1170" s="1">
        <f t="shared" si="66"/>
        <v>-64.493352472058831</v>
      </c>
      <c r="G1170" s="1">
        <f t="shared" si="64"/>
        <v>9.7924847061896804E-29</v>
      </c>
      <c r="H1170" s="1">
        <f>G1170/$G$21</f>
        <v>6.8668287816210519E-30</v>
      </c>
      <c r="I1170">
        <f>IF($E$11&lt;=D1170, IF(D1170&lt;=$A$15,D1170-$E$11,$F$11),0)</f>
        <v>300</v>
      </c>
      <c r="J1170">
        <f>IF(D1170&lt;=$A$15,0,D1170-$A$15)</f>
        <v>838</v>
      </c>
      <c r="K1170" s="5">
        <f>IF(D1170&lt;$E$11,H1170,0)</f>
        <v>0</v>
      </c>
      <c r="L1170">
        <f>IF(D1170&lt;$A$15,$C$11,$C$11*(1-$G$11))</f>
        <v>200</v>
      </c>
      <c r="M1170">
        <f>IF(D1170&lt;$A$15,0,1)</f>
        <v>1</v>
      </c>
    </row>
    <row r="1171" spans="4:13" x14ac:dyDescent="0.2">
      <c r="D1171">
        <f t="shared" si="65"/>
        <v>1148</v>
      </c>
      <c r="E1171" s="1">
        <f t="shared" si="67"/>
        <v>201.75575464079992</v>
      </c>
      <c r="F1171" s="1">
        <f t="shared" si="66"/>
        <v>-64.570313513194947</v>
      </c>
      <c r="G1171" s="1">
        <f t="shared" si="64"/>
        <v>9.0671154686942629E-29</v>
      </c>
      <c r="H1171" s="1">
        <f>G1171/$G$21</f>
        <v>6.3581747977973508E-30</v>
      </c>
      <c r="I1171">
        <f>IF($E$11&lt;=D1171, IF(D1171&lt;=$A$15,D1171-$E$11,$F$11),0)</f>
        <v>300</v>
      </c>
      <c r="J1171">
        <f>IF(D1171&lt;=$A$15,0,D1171-$A$15)</f>
        <v>839</v>
      </c>
      <c r="K1171" s="5">
        <f>IF(D1171&lt;$E$11,H1171,0)</f>
        <v>0</v>
      </c>
      <c r="L1171">
        <f>IF(D1171&lt;$A$15,$C$11,$C$11*(1-$G$11))</f>
        <v>200</v>
      </c>
      <c r="M1171">
        <f>IF(D1171&lt;$A$15,0,1)</f>
        <v>1</v>
      </c>
    </row>
    <row r="1172" spans="4:13" x14ac:dyDescent="0.2">
      <c r="D1172">
        <f t="shared" si="65"/>
        <v>1149</v>
      </c>
      <c r="E1172" s="1">
        <f t="shared" si="67"/>
        <v>201.67879359966381</v>
      </c>
      <c r="F1172" s="1">
        <f t="shared" si="66"/>
        <v>-64.647274554331062</v>
      </c>
      <c r="G1172" s="1">
        <f t="shared" si="64"/>
        <v>8.3954772858281276E-29</v>
      </c>
      <c r="H1172" s="1">
        <f>G1172/$G$21</f>
        <v>5.8871988868494739E-30</v>
      </c>
      <c r="I1172">
        <f>IF($E$11&lt;=D1172, IF(D1172&lt;=$A$15,D1172-$E$11,$F$11),0)</f>
        <v>300</v>
      </c>
      <c r="J1172">
        <f>IF(D1172&lt;=$A$15,0,D1172-$A$15)</f>
        <v>840</v>
      </c>
      <c r="K1172" s="5">
        <f>IF(D1172&lt;$E$11,H1172,0)</f>
        <v>0</v>
      </c>
      <c r="L1172">
        <f>IF(D1172&lt;$A$15,$C$11,$C$11*(1-$G$11))</f>
        <v>200</v>
      </c>
      <c r="M1172">
        <f>IF(D1172&lt;$A$15,0,1)</f>
        <v>1</v>
      </c>
    </row>
    <row r="1173" spans="4:13" x14ac:dyDescent="0.2">
      <c r="D1173">
        <f t="shared" si="65"/>
        <v>1150</v>
      </c>
      <c r="E1173" s="1">
        <f t="shared" si="67"/>
        <v>201.60183255852769</v>
      </c>
      <c r="F1173" s="1">
        <f t="shared" si="66"/>
        <v>-64.724235595467178</v>
      </c>
      <c r="G1173" s="1">
        <f t="shared" si="64"/>
        <v>7.7735900794705869E-29</v>
      </c>
      <c r="H1173" s="1">
        <f>G1173/$G$21</f>
        <v>5.4511100804162484E-30</v>
      </c>
      <c r="I1173">
        <f>IF($E$11&lt;=D1173, IF(D1173&lt;=$A$15,D1173-$E$11,$F$11),0)</f>
        <v>300</v>
      </c>
      <c r="J1173">
        <f>IF(D1173&lt;=$A$15,0,D1173-$A$15)</f>
        <v>841</v>
      </c>
      <c r="K1173" s="5">
        <f>IF(D1173&lt;$E$11,H1173,0)</f>
        <v>0</v>
      </c>
      <c r="L1173">
        <f>IF(D1173&lt;$A$15,$C$11,$C$11*(1-$G$11))</f>
        <v>200</v>
      </c>
      <c r="M1173">
        <f>IF(D1173&lt;$A$15,0,1)</f>
        <v>1</v>
      </c>
    </row>
    <row r="1174" spans="4:13" x14ac:dyDescent="0.2">
      <c r="D1174">
        <f t="shared" si="65"/>
        <v>1151</v>
      </c>
      <c r="E1174" s="1">
        <f t="shared" si="67"/>
        <v>201.52487151739157</v>
      </c>
      <c r="F1174" s="1">
        <f t="shared" si="66"/>
        <v>-64.801196636603294</v>
      </c>
      <c r="G1174" s="1">
        <f t="shared" si="64"/>
        <v>7.1977685921024854E-29</v>
      </c>
      <c r="H1174" s="1">
        <f>G1174/$G$21</f>
        <v>5.0473241485336265E-30</v>
      </c>
      <c r="I1174">
        <f>IF($E$11&lt;=D1174, IF(D1174&lt;=$A$15,D1174-$E$11,$F$11),0)</f>
        <v>300</v>
      </c>
      <c r="J1174">
        <f>IF(D1174&lt;=$A$15,0,D1174-$A$15)</f>
        <v>842</v>
      </c>
      <c r="K1174" s="5">
        <f>IF(D1174&lt;$E$11,H1174,0)</f>
        <v>0</v>
      </c>
      <c r="L1174">
        <f>IF(D1174&lt;$A$15,$C$11,$C$11*(1-$G$11))</f>
        <v>200</v>
      </c>
      <c r="M1174">
        <f>IF(D1174&lt;$A$15,0,1)</f>
        <v>1</v>
      </c>
    </row>
    <row r="1175" spans="4:13" x14ac:dyDescent="0.2">
      <c r="D1175">
        <f t="shared" si="65"/>
        <v>1152</v>
      </c>
      <c r="E1175" s="1">
        <f t="shared" si="67"/>
        <v>201.44791047625546</v>
      </c>
      <c r="F1175" s="1">
        <f t="shared" si="66"/>
        <v>-64.878157677739409</v>
      </c>
      <c r="G1175" s="1">
        <f t="shared" si="64"/>
        <v>6.6646005482431271E-29</v>
      </c>
      <c r="H1175" s="1">
        <f>G1175/$G$21</f>
        <v>4.673448285679343E-30</v>
      </c>
      <c r="I1175">
        <f>IF($E$11&lt;=D1175, IF(D1175&lt;=$A$15,D1175-$E$11,$F$11),0)</f>
        <v>300</v>
      </c>
      <c r="J1175">
        <f>IF(D1175&lt;=$A$15,0,D1175-$A$15)</f>
        <v>843</v>
      </c>
      <c r="K1175" s="5">
        <f>IF(D1175&lt;$E$11,H1175,0)</f>
        <v>0</v>
      </c>
      <c r="L1175">
        <f>IF(D1175&lt;$A$15,$C$11,$C$11*(1-$G$11))</f>
        <v>200</v>
      </c>
      <c r="M1175">
        <f>IF(D1175&lt;$A$15,0,1)</f>
        <v>1</v>
      </c>
    </row>
    <row r="1176" spans="4:13" x14ac:dyDescent="0.2">
      <c r="D1176">
        <f t="shared" si="65"/>
        <v>1153</v>
      </c>
      <c r="E1176" s="1">
        <f t="shared" si="67"/>
        <v>201.37094943511934</v>
      </c>
      <c r="F1176" s="1">
        <f t="shared" si="66"/>
        <v>-64.955118718875525</v>
      </c>
      <c r="G1176" s="1">
        <f t="shared" ref="G1176:G1239" si="68">EXP(F1176)</f>
        <v>6.1709264335585282E-29</v>
      </c>
      <c r="H1176" s="1">
        <f>G1176/$G$21</f>
        <v>4.3272669311846315E-30</v>
      </c>
      <c r="I1176">
        <f>IF($E$11&lt;=D1176, IF(D1176&lt;=$A$15,D1176-$E$11,$F$11),0)</f>
        <v>300</v>
      </c>
      <c r="J1176">
        <f>IF(D1176&lt;=$A$15,0,D1176-$A$15)</f>
        <v>844</v>
      </c>
      <c r="K1176" s="5">
        <f>IF(D1176&lt;$E$11,H1176,0)</f>
        <v>0</v>
      </c>
      <c r="L1176">
        <f>IF(D1176&lt;$A$15,$C$11,$C$11*(1-$G$11))</f>
        <v>200</v>
      </c>
      <c r="M1176">
        <f>IF(D1176&lt;$A$15,0,1)</f>
        <v>1</v>
      </c>
    </row>
    <row r="1177" spans="4:13" x14ac:dyDescent="0.2">
      <c r="D1177">
        <f t="shared" ref="D1177:D1240" si="69">1+D1176</f>
        <v>1154</v>
      </c>
      <c r="E1177" s="1">
        <f t="shared" si="67"/>
        <v>201.29398839398323</v>
      </c>
      <c r="F1177" s="1">
        <f t="shared" ref="F1177:F1240" si="70">E1177-$E$21</f>
        <v>-65.032079760011641</v>
      </c>
      <c r="G1177" s="1">
        <f t="shared" si="68"/>
        <v>5.7138207718135247E-29</v>
      </c>
      <c r="H1177" s="1">
        <f>G1177/$G$21</f>
        <v>4.0067286399858206E-30</v>
      </c>
      <c r="I1177">
        <f>IF($E$11&lt;=D1177, IF(D1177&lt;=$A$15,D1177-$E$11,$F$11),0)</f>
        <v>300</v>
      </c>
      <c r="J1177">
        <f>IF(D1177&lt;=$A$15,0,D1177-$A$15)</f>
        <v>845</v>
      </c>
      <c r="K1177" s="5">
        <f>IF(D1177&lt;$E$11,H1177,0)</f>
        <v>0</v>
      </c>
      <c r="L1177">
        <f>IF(D1177&lt;$A$15,$C$11,$C$11*(1-$G$11))</f>
        <v>200</v>
      </c>
      <c r="M1177">
        <f>IF(D1177&lt;$A$15,0,1)</f>
        <v>1</v>
      </c>
    </row>
    <row r="1178" spans="4:13" x14ac:dyDescent="0.2">
      <c r="D1178">
        <f t="shared" si="69"/>
        <v>1155</v>
      </c>
      <c r="E1178" s="1">
        <f t="shared" si="67"/>
        <v>201.21702735284711</v>
      </c>
      <c r="F1178" s="1">
        <f t="shared" si="70"/>
        <v>-65.109040801147756</v>
      </c>
      <c r="G1178" s="1">
        <f t="shared" si="68"/>
        <v>5.2905747887162936E-29</v>
      </c>
      <c r="H1178" s="1">
        <f>G1178/$G$21</f>
        <v>3.7099339259128439E-30</v>
      </c>
      <c r="I1178">
        <f>IF($E$11&lt;=D1178, IF(D1178&lt;=$A$15,D1178-$E$11,$F$11),0)</f>
        <v>300</v>
      </c>
      <c r="J1178">
        <f>IF(D1178&lt;=$A$15,0,D1178-$A$15)</f>
        <v>846</v>
      </c>
      <c r="K1178" s="5">
        <f>IF(D1178&lt;$E$11,H1178,0)</f>
        <v>0</v>
      </c>
      <c r="L1178">
        <f>IF(D1178&lt;$A$15,$C$11,$C$11*(1-$G$11))</f>
        <v>200</v>
      </c>
      <c r="M1178">
        <f>IF(D1178&lt;$A$15,0,1)</f>
        <v>1</v>
      </c>
    </row>
    <row r="1179" spans="4:13" x14ac:dyDescent="0.2">
      <c r="D1179">
        <f t="shared" si="69"/>
        <v>1156</v>
      </c>
      <c r="E1179" s="1">
        <f t="shared" si="67"/>
        <v>201.140066311711</v>
      </c>
      <c r="F1179" s="1">
        <f t="shared" si="70"/>
        <v>-65.186001842283872</v>
      </c>
      <c r="G1179" s="1">
        <f t="shared" si="68"/>
        <v>4.8986803599225558E-29</v>
      </c>
      <c r="H1179" s="1">
        <f>G1179/$G$21</f>
        <v>3.4351240054748985E-30</v>
      </c>
      <c r="I1179">
        <f>IF($E$11&lt;=D1179, IF(D1179&lt;=$A$15,D1179-$E$11,$F$11),0)</f>
        <v>300</v>
      </c>
      <c r="J1179">
        <f>IF(D1179&lt;=$A$15,0,D1179-$A$15)</f>
        <v>847</v>
      </c>
      <c r="K1179" s="5">
        <f>IF(D1179&lt;$E$11,H1179,0)</f>
        <v>0</v>
      </c>
      <c r="L1179">
        <f>IF(D1179&lt;$A$15,$C$11,$C$11*(1-$G$11))</f>
        <v>200</v>
      </c>
      <c r="M1179">
        <f>IF(D1179&lt;$A$15,0,1)</f>
        <v>1</v>
      </c>
    </row>
    <row r="1180" spans="4:13" x14ac:dyDescent="0.2">
      <c r="D1180">
        <f t="shared" si="69"/>
        <v>1157</v>
      </c>
      <c r="E1180" s="1">
        <f t="shared" si="67"/>
        <v>201.06310527057488</v>
      </c>
      <c r="F1180" s="1">
        <f t="shared" si="70"/>
        <v>-65.262962883419988</v>
      </c>
      <c r="G1180" s="1">
        <f t="shared" si="68"/>
        <v>4.5358151480764978E-29</v>
      </c>
      <c r="H1180" s="1">
        <f>G1180/$G$21</f>
        <v>3.180670375439761E-30</v>
      </c>
      <c r="I1180">
        <f>IF($E$11&lt;=D1180, IF(D1180&lt;=$A$15,D1180-$E$11,$F$11),0)</f>
        <v>300</v>
      </c>
      <c r="J1180">
        <f>IF(D1180&lt;=$A$15,0,D1180-$A$15)</f>
        <v>848</v>
      </c>
      <c r="K1180" s="5">
        <f>IF(D1180&lt;$E$11,H1180,0)</f>
        <v>0</v>
      </c>
      <c r="L1180">
        <f>IF(D1180&lt;$A$15,$C$11,$C$11*(1-$G$11))</f>
        <v>200</v>
      </c>
      <c r="M1180">
        <f>IF(D1180&lt;$A$15,0,1)</f>
        <v>1</v>
      </c>
    </row>
    <row r="1181" spans="4:13" x14ac:dyDescent="0.2">
      <c r="D1181">
        <f t="shared" si="69"/>
        <v>1158</v>
      </c>
      <c r="E1181" s="1">
        <f t="shared" si="67"/>
        <v>200.98614422943876</v>
      </c>
      <c r="F1181" s="1">
        <f t="shared" si="70"/>
        <v>-65.339923924556103</v>
      </c>
      <c r="G1181" s="1">
        <f t="shared" si="68"/>
        <v>4.1998288408116254E-29</v>
      </c>
      <c r="H1181" s="1">
        <f>G1181/$G$21</f>
        <v>2.9450651624442607E-30</v>
      </c>
      <c r="I1181">
        <f>IF($E$11&lt;=D1181, IF(D1181&lt;=$A$15,D1181-$E$11,$F$11),0)</f>
        <v>300</v>
      </c>
      <c r="J1181">
        <f>IF(D1181&lt;=$A$15,0,D1181-$A$15)</f>
        <v>849</v>
      </c>
      <c r="K1181" s="5">
        <f>IF(D1181&lt;$E$11,H1181,0)</f>
        <v>0</v>
      </c>
      <c r="L1181">
        <f>IF(D1181&lt;$A$15,$C$11,$C$11*(1-$G$11))</f>
        <v>200</v>
      </c>
      <c r="M1181">
        <f>IF(D1181&lt;$A$15,0,1)</f>
        <v>1</v>
      </c>
    </row>
    <row r="1182" spans="4:13" x14ac:dyDescent="0.2">
      <c r="D1182">
        <f t="shared" si="69"/>
        <v>1159</v>
      </c>
      <c r="E1182" s="1">
        <f t="shared" si="67"/>
        <v>200.90918318830265</v>
      </c>
      <c r="F1182" s="1">
        <f t="shared" si="70"/>
        <v>-65.416884965692219</v>
      </c>
      <c r="G1182" s="1">
        <f t="shared" si="68"/>
        <v>3.8887304081589613E-29</v>
      </c>
      <c r="H1182" s="1">
        <f>G1182/$G$21</f>
        <v>2.7269121874484239E-30</v>
      </c>
      <c r="I1182">
        <f>IF($E$11&lt;=D1182, IF(D1182&lt;=$A$15,D1182-$E$11,$F$11),0)</f>
        <v>300</v>
      </c>
      <c r="J1182">
        <f>IF(D1182&lt;=$A$15,0,D1182-$A$15)</f>
        <v>850</v>
      </c>
      <c r="K1182" s="5">
        <f>IF(D1182&lt;$E$11,H1182,0)</f>
        <v>0</v>
      </c>
      <c r="L1182">
        <f>IF(D1182&lt;$A$15,$C$11,$C$11*(1-$G$11))</f>
        <v>200</v>
      </c>
      <c r="M1182">
        <f>IF(D1182&lt;$A$15,0,1)</f>
        <v>1</v>
      </c>
    </row>
    <row r="1183" spans="4:13" x14ac:dyDescent="0.2">
      <c r="D1183">
        <f t="shared" si="69"/>
        <v>1160</v>
      </c>
      <c r="E1183" s="1">
        <f t="shared" si="67"/>
        <v>200.83222214716653</v>
      </c>
      <c r="F1183" s="1">
        <f t="shared" si="70"/>
        <v>-65.493846006828335</v>
      </c>
      <c r="G1183" s="1">
        <f t="shared" si="68"/>
        <v>3.6006763038509359E-29</v>
      </c>
      <c r="H1183" s="1">
        <f>G1183/$G$21</f>
        <v>2.5249186920819061E-30</v>
      </c>
      <c r="I1183">
        <f>IF($E$11&lt;=D1183, IF(D1183&lt;=$A$15,D1183-$E$11,$F$11),0)</f>
        <v>300</v>
      </c>
      <c r="J1183">
        <f>IF(D1183&lt;=$A$15,0,D1183-$A$15)</f>
        <v>851</v>
      </c>
      <c r="K1183" s="5">
        <f>IF(D1183&lt;$E$11,H1183,0)</f>
        <v>0</v>
      </c>
      <c r="L1183">
        <f>IF(D1183&lt;$A$15,$C$11,$C$11*(1-$G$11))</f>
        <v>200</v>
      </c>
      <c r="M1183">
        <f>IF(D1183&lt;$A$15,0,1)</f>
        <v>1</v>
      </c>
    </row>
    <row r="1184" spans="4:13" x14ac:dyDescent="0.2">
      <c r="D1184">
        <f t="shared" si="69"/>
        <v>1161</v>
      </c>
      <c r="E1184" s="1">
        <f t="shared" si="67"/>
        <v>200.75526110603042</v>
      </c>
      <c r="F1184" s="1">
        <f t="shared" si="70"/>
        <v>-65.57080704796445</v>
      </c>
      <c r="G1184" s="1">
        <f t="shared" si="68"/>
        <v>3.3339595406027606E-29</v>
      </c>
      <c r="H1184" s="1">
        <f>G1184/$G$21</f>
        <v>2.3378876778536462E-30</v>
      </c>
      <c r="I1184">
        <f>IF($E$11&lt;=D1184, IF(D1184&lt;=$A$15,D1184-$E$11,$F$11),0)</f>
        <v>300</v>
      </c>
      <c r="J1184">
        <f>IF(D1184&lt;=$A$15,0,D1184-$A$15)</f>
        <v>852</v>
      </c>
      <c r="K1184" s="5">
        <f>IF(D1184&lt;$E$11,H1184,0)</f>
        <v>0</v>
      </c>
      <c r="L1184">
        <f>IF(D1184&lt;$A$15,$C$11,$C$11*(1-$G$11))</f>
        <v>200</v>
      </c>
      <c r="M1184">
        <f>IF(D1184&lt;$A$15,0,1)</f>
        <v>1</v>
      </c>
    </row>
    <row r="1185" spans="4:13" x14ac:dyDescent="0.2">
      <c r="D1185">
        <f t="shared" si="69"/>
        <v>1162</v>
      </c>
      <c r="E1185" s="1">
        <f t="shared" si="67"/>
        <v>200.6783000648943</v>
      </c>
      <c r="F1185" s="1">
        <f t="shared" si="70"/>
        <v>-65.647768089100566</v>
      </c>
      <c r="G1185" s="1">
        <f t="shared" si="68"/>
        <v>3.0869995746322248E-29</v>
      </c>
      <c r="H1185" s="1">
        <f>G1185/$G$21</f>
        <v>2.1647108128274777E-30</v>
      </c>
      <c r="I1185">
        <f>IF($E$11&lt;=D1185, IF(D1185&lt;=$A$15,D1185-$E$11,$F$11),0)</f>
        <v>300</v>
      </c>
      <c r="J1185">
        <f>IF(D1185&lt;=$A$15,0,D1185-$A$15)</f>
        <v>853</v>
      </c>
      <c r="K1185" s="5">
        <f>IF(D1185&lt;$E$11,H1185,0)</f>
        <v>0</v>
      </c>
      <c r="L1185">
        <f>IF(D1185&lt;$A$15,$C$11,$C$11*(1-$G$11))</f>
        <v>200</v>
      </c>
      <c r="M1185">
        <f>IF(D1185&lt;$A$15,0,1)</f>
        <v>1</v>
      </c>
    </row>
    <row r="1186" spans="4:13" x14ac:dyDescent="0.2">
      <c r="D1186">
        <f t="shared" si="69"/>
        <v>1163</v>
      </c>
      <c r="E1186" s="1">
        <f t="shared" si="67"/>
        <v>200.60133902375819</v>
      </c>
      <c r="F1186" s="1">
        <f t="shared" si="70"/>
        <v>-65.724729130236682</v>
      </c>
      <c r="G1186" s="1">
        <f t="shared" si="68"/>
        <v>2.8583329394743183E-29</v>
      </c>
      <c r="H1186" s="1">
        <f>G1186/$G$21</f>
        <v>2.0043618637291714E-30</v>
      </c>
      <c r="I1186">
        <f>IF($E$11&lt;=D1186, IF(D1186&lt;=$A$15,D1186-$E$11,$F$11),0)</f>
        <v>300</v>
      </c>
      <c r="J1186">
        <f>IF(D1186&lt;=$A$15,0,D1186-$A$15)</f>
        <v>854</v>
      </c>
      <c r="K1186" s="5">
        <f>IF(D1186&lt;$E$11,H1186,0)</f>
        <v>0</v>
      </c>
      <c r="L1186">
        <f>IF(D1186&lt;$A$15,$C$11,$C$11*(1-$G$11))</f>
        <v>200</v>
      </c>
      <c r="M1186">
        <f>IF(D1186&lt;$A$15,0,1)</f>
        <v>1</v>
      </c>
    </row>
    <row r="1187" spans="4:13" x14ac:dyDescent="0.2">
      <c r="D1187">
        <f t="shared" si="69"/>
        <v>1164</v>
      </c>
      <c r="E1187" s="1">
        <f t="shared" si="67"/>
        <v>200.52437798262207</v>
      </c>
      <c r="F1187" s="1">
        <f t="shared" si="70"/>
        <v>-65.801690171372798</v>
      </c>
      <c r="G1187" s="1">
        <f t="shared" si="68"/>
        <v>2.6466045735873653E-29</v>
      </c>
      <c r="H1187" s="1">
        <f>G1187/$G$21</f>
        <v>1.8558906145640712E-30</v>
      </c>
      <c r="I1187">
        <f>IF($E$11&lt;=D1187, IF(D1187&lt;=$A$15,D1187-$E$11,$F$11),0)</f>
        <v>300</v>
      </c>
      <c r="J1187">
        <f>IF(D1187&lt;=$A$15,0,D1187-$A$15)</f>
        <v>855</v>
      </c>
      <c r="K1187" s="5">
        <f>IF(D1187&lt;$E$11,H1187,0)</f>
        <v>0</v>
      </c>
      <c r="L1187">
        <f>IF(D1187&lt;$A$15,$C$11,$C$11*(1-$G$11))</f>
        <v>200</v>
      </c>
      <c r="M1187">
        <f>IF(D1187&lt;$A$15,0,1)</f>
        <v>1</v>
      </c>
    </row>
    <row r="1188" spans="4:13" x14ac:dyDescent="0.2">
      <c r="D1188">
        <f t="shared" si="69"/>
        <v>1165</v>
      </c>
      <c r="E1188" s="1">
        <f t="shared" si="67"/>
        <v>200.44741694148595</v>
      </c>
      <c r="F1188" s="1">
        <f t="shared" si="70"/>
        <v>-65.878651212508913</v>
      </c>
      <c r="G1188" s="1">
        <f t="shared" si="68"/>
        <v>2.4505597903587024E-29</v>
      </c>
      <c r="H1188" s="1">
        <f>G1188/$G$21</f>
        <v>1.7184172357074948E-30</v>
      </c>
      <c r="I1188">
        <f>IF($E$11&lt;=D1188, IF(D1188&lt;=$A$15,D1188-$E$11,$F$11),0)</f>
        <v>300</v>
      </c>
      <c r="J1188">
        <f>IF(D1188&lt;=$A$15,0,D1188-$A$15)</f>
        <v>856</v>
      </c>
      <c r="K1188" s="5">
        <f>IF(D1188&lt;$E$11,H1188,0)</f>
        <v>0</v>
      </c>
      <c r="L1188">
        <f>IF(D1188&lt;$A$15,$C$11,$C$11*(1-$G$11))</f>
        <v>200</v>
      </c>
      <c r="M1188">
        <f>IF(D1188&lt;$A$15,0,1)</f>
        <v>1</v>
      </c>
    </row>
    <row r="1189" spans="4:13" x14ac:dyDescent="0.2">
      <c r="D1189">
        <f t="shared" si="69"/>
        <v>1166</v>
      </c>
      <c r="E1189" s="1">
        <f t="shared" si="67"/>
        <v>200.37045590034984</v>
      </c>
      <c r="F1189" s="1">
        <f t="shared" si="70"/>
        <v>-65.955612253645029</v>
      </c>
      <c r="G1189" s="1">
        <f t="shared" si="68"/>
        <v>2.2690368429247533E-29</v>
      </c>
      <c r="H1189" s="1">
        <f>G1189/$G$21</f>
        <v>1.5911270700995526E-30</v>
      </c>
      <c r="I1189">
        <f>IF($E$11&lt;=D1189, IF(D1189&lt;=$A$15,D1189-$E$11,$F$11),0)</f>
        <v>300</v>
      </c>
      <c r="J1189">
        <f>IF(D1189&lt;=$A$15,0,D1189-$A$15)</f>
        <v>857</v>
      </c>
      <c r="K1189" s="5">
        <f>IF(D1189&lt;$E$11,H1189,0)</f>
        <v>0</v>
      </c>
      <c r="L1189">
        <f>IF(D1189&lt;$A$15,$C$11,$C$11*(1-$G$11))</f>
        <v>200</v>
      </c>
      <c r="M1189">
        <f>IF(D1189&lt;$A$15,0,1)</f>
        <v>1</v>
      </c>
    </row>
    <row r="1190" spans="4:13" x14ac:dyDescent="0.2">
      <c r="D1190">
        <f t="shared" si="69"/>
        <v>1167</v>
      </c>
      <c r="E1190" s="1">
        <f t="shared" si="67"/>
        <v>200.29349485921372</v>
      </c>
      <c r="F1190" s="1">
        <f t="shared" si="70"/>
        <v>-66.032573294781145</v>
      </c>
      <c r="G1190" s="1">
        <f t="shared" si="68"/>
        <v>2.1009600397451683E-29</v>
      </c>
      <c r="H1190" s="1">
        <f>G1190/$G$21</f>
        <v>1.4732658056477522E-30</v>
      </c>
      <c r="I1190">
        <f>IF($E$11&lt;=D1190, IF(D1190&lt;=$A$15,D1190-$E$11,$F$11),0)</f>
        <v>300</v>
      </c>
      <c r="J1190">
        <f>IF(D1190&lt;=$A$15,0,D1190-$A$15)</f>
        <v>858</v>
      </c>
      <c r="K1190" s="5">
        <f>IF(D1190&lt;$E$11,H1190,0)</f>
        <v>0</v>
      </c>
      <c r="L1190">
        <f>IF(D1190&lt;$A$15,$C$11,$C$11*(1-$G$11))</f>
        <v>200</v>
      </c>
      <c r="M1190">
        <f>IF(D1190&lt;$A$15,0,1)</f>
        <v>1</v>
      </c>
    </row>
    <row r="1191" spans="4:13" x14ac:dyDescent="0.2">
      <c r="D1191">
        <f t="shared" si="69"/>
        <v>1168</v>
      </c>
      <c r="E1191" s="1">
        <f t="shared" si="67"/>
        <v>200.21653381807761</v>
      </c>
      <c r="F1191" s="1">
        <f t="shared" si="70"/>
        <v>-66.10953433591726</v>
      </c>
      <c r="G1191" s="1">
        <f t="shared" si="68"/>
        <v>1.9453333701344396E-29</v>
      </c>
      <c r="H1191" s="1">
        <f>G1191/$G$21</f>
        <v>1.3641350052294174E-30</v>
      </c>
      <c r="I1191">
        <f>IF($E$11&lt;=D1191, IF(D1191&lt;=$A$15,D1191-$E$11,$F$11),0)</f>
        <v>300</v>
      </c>
      <c r="J1191">
        <f>IF(D1191&lt;=$A$15,0,D1191-$A$15)</f>
        <v>859</v>
      </c>
      <c r="K1191" s="5">
        <f>IF(D1191&lt;$E$11,H1191,0)</f>
        <v>0</v>
      </c>
      <c r="L1191">
        <f>IF(D1191&lt;$A$15,$C$11,$C$11*(1-$G$11))</f>
        <v>200</v>
      </c>
      <c r="M1191">
        <f>IF(D1191&lt;$A$15,0,1)</f>
        <v>1</v>
      </c>
    </row>
    <row r="1192" spans="4:13" x14ac:dyDescent="0.2">
      <c r="D1192">
        <f t="shared" si="69"/>
        <v>1169</v>
      </c>
      <c r="E1192" s="1">
        <f t="shared" si="67"/>
        <v>200.13957277694149</v>
      </c>
      <c r="F1192" s="1">
        <f t="shared" si="70"/>
        <v>-66.186495377053376</v>
      </c>
      <c r="G1192" s="1">
        <f t="shared" si="68"/>
        <v>1.8012346019763559E-29</v>
      </c>
      <c r="H1192" s="1">
        <f>G1192/$G$21</f>
        <v>1.2630879678050322E-30</v>
      </c>
      <c r="I1192">
        <f>IF($E$11&lt;=D1192, IF(D1192&lt;=$A$15,D1192-$E$11,$F$11),0)</f>
        <v>300</v>
      </c>
      <c r="J1192">
        <f>IF(D1192&lt;=$A$15,0,D1192-$A$15)</f>
        <v>860</v>
      </c>
      <c r="K1192" s="5">
        <f>IF(D1192&lt;$E$11,H1192,0)</f>
        <v>0</v>
      </c>
      <c r="L1192">
        <f>IF(D1192&lt;$A$15,$C$11,$C$11*(1-$G$11))</f>
        <v>200</v>
      </c>
      <c r="M1192">
        <f>IF(D1192&lt;$A$15,0,1)</f>
        <v>1</v>
      </c>
    </row>
    <row r="1193" spans="4:13" x14ac:dyDescent="0.2">
      <c r="D1193">
        <f t="shared" si="69"/>
        <v>1170</v>
      </c>
      <c r="E1193" s="1">
        <f t="shared" si="67"/>
        <v>200.06261173580538</v>
      </c>
      <c r="F1193" s="1">
        <f t="shared" si="70"/>
        <v>-66.263456418189492</v>
      </c>
      <c r="G1193" s="1">
        <f t="shared" si="68"/>
        <v>1.667809816644795E-29</v>
      </c>
      <c r="H1193" s="1">
        <f>G1193/$G$21</f>
        <v>1.1695258961157852E-30</v>
      </c>
      <c r="I1193">
        <f>IF($E$11&lt;=D1193, IF(D1193&lt;=$A$15,D1193-$E$11,$F$11),0)</f>
        <v>300</v>
      </c>
      <c r="J1193">
        <f>IF(D1193&lt;=$A$15,0,D1193-$A$15)</f>
        <v>861</v>
      </c>
      <c r="K1193" s="5">
        <f>IF(D1193&lt;$E$11,H1193,0)</f>
        <v>0</v>
      </c>
      <c r="L1193">
        <f>IF(D1193&lt;$A$15,$C$11,$C$11*(1-$G$11))</f>
        <v>200</v>
      </c>
      <c r="M1193">
        <f>IF(D1193&lt;$A$15,0,1)</f>
        <v>1</v>
      </c>
    </row>
    <row r="1194" spans="4:13" x14ac:dyDescent="0.2">
      <c r="D1194">
        <f t="shared" si="69"/>
        <v>1171</v>
      </c>
      <c r="E1194" s="1">
        <f t="shared" si="67"/>
        <v>199.98565069466926</v>
      </c>
      <c r="F1194" s="1">
        <f t="shared" si="70"/>
        <v>-66.340417459325607</v>
      </c>
      <c r="G1194" s="1">
        <f t="shared" si="68"/>
        <v>1.5442683487452002E-29</v>
      </c>
      <c r="H1194" s="1">
        <f>G1194/$G$21</f>
        <v>1.0828943482553705E-30</v>
      </c>
      <c r="I1194">
        <f>IF($E$11&lt;=D1194, IF(D1194&lt;=$A$15,D1194-$E$11,$F$11),0)</f>
        <v>300</v>
      </c>
      <c r="J1194">
        <f>IF(D1194&lt;=$A$15,0,D1194-$A$15)</f>
        <v>862</v>
      </c>
      <c r="K1194" s="5">
        <f>IF(D1194&lt;$E$11,H1194,0)</f>
        <v>0</v>
      </c>
      <c r="L1194">
        <f>IF(D1194&lt;$A$15,$C$11,$C$11*(1-$G$11))</f>
        <v>200</v>
      </c>
      <c r="M1194">
        <f>IF(D1194&lt;$A$15,0,1)</f>
        <v>1</v>
      </c>
    </row>
    <row r="1195" spans="4:13" x14ac:dyDescent="0.2">
      <c r="D1195">
        <f t="shared" si="69"/>
        <v>1172</v>
      </c>
      <c r="E1195" s="1">
        <f t="shared" si="67"/>
        <v>199.90868965353314</v>
      </c>
      <c r="F1195" s="1">
        <f t="shared" si="70"/>
        <v>-66.417378500461723</v>
      </c>
      <c r="G1195" s="1">
        <f t="shared" si="68"/>
        <v>1.4298781006900183E-29</v>
      </c>
      <c r="H1195" s="1">
        <f>G1195/$G$21</f>
        <v>1.0026799520883187E-30</v>
      </c>
      <c r="I1195">
        <f>IF($E$11&lt;=D1195, IF(D1195&lt;=$A$15,D1195-$E$11,$F$11),0)</f>
        <v>300</v>
      </c>
      <c r="J1195">
        <f>IF(D1195&lt;=$A$15,0,D1195-$A$15)</f>
        <v>863</v>
      </c>
      <c r="K1195" s="5">
        <f>IF(D1195&lt;$E$11,H1195,0)</f>
        <v>0</v>
      </c>
      <c r="L1195">
        <f>IF(D1195&lt;$A$15,$C$11,$C$11*(1-$G$11))</f>
        <v>200</v>
      </c>
      <c r="M1195">
        <f>IF(D1195&lt;$A$15,0,1)</f>
        <v>1</v>
      </c>
    </row>
    <row r="1196" spans="4:13" x14ac:dyDescent="0.2">
      <c r="D1196">
        <f t="shared" si="69"/>
        <v>1173</v>
      </c>
      <c r="E1196" s="1">
        <f t="shared" si="67"/>
        <v>199.83172861239703</v>
      </c>
      <c r="F1196" s="1">
        <f t="shared" si="70"/>
        <v>-66.494339541597839</v>
      </c>
      <c r="G1196" s="1">
        <f t="shared" si="68"/>
        <v>1.3239612043426263E-29</v>
      </c>
      <c r="H1196" s="1">
        <f>G1196/$G$21</f>
        <v>9.2840736304475131E-31</v>
      </c>
      <c r="I1196">
        <f>IF($E$11&lt;=D1196, IF(D1196&lt;=$A$15,D1196-$E$11,$F$11),0)</f>
        <v>300</v>
      </c>
      <c r="J1196">
        <f>IF(D1196&lt;=$A$15,0,D1196-$A$15)</f>
        <v>864</v>
      </c>
      <c r="K1196" s="5">
        <f>IF(D1196&lt;$E$11,H1196,0)</f>
        <v>0</v>
      </c>
      <c r="L1196">
        <f>IF(D1196&lt;$A$15,$C$11,$C$11*(1-$G$11))</f>
        <v>200</v>
      </c>
      <c r="M1196">
        <f>IF(D1196&lt;$A$15,0,1)</f>
        <v>1</v>
      </c>
    </row>
    <row r="1197" spans="4:13" x14ac:dyDescent="0.2">
      <c r="D1197">
        <f t="shared" si="69"/>
        <v>1174</v>
      </c>
      <c r="E1197" s="1">
        <f t="shared" si="67"/>
        <v>199.75476757126091</v>
      </c>
      <c r="F1197" s="1">
        <f t="shared" si="70"/>
        <v>-66.571300582733954</v>
      </c>
      <c r="G1197" s="1">
        <f t="shared" si="68"/>
        <v>1.2258900040209657E-29</v>
      </c>
      <c r="H1197" s="1">
        <f>G1197/$G$21</f>
        <v>8.5963644726366943E-31</v>
      </c>
      <c r="I1197">
        <f>IF($E$11&lt;=D1197, IF(D1197&lt;=$A$15,D1197-$E$11,$F$11),0)</f>
        <v>300</v>
      </c>
      <c r="J1197">
        <f>IF(D1197&lt;=$A$15,0,D1197-$A$15)</f>
        <v>865</v>
      </c>
      <c r="K1197" s="5">
        <f>IF(D1197&lt;$E$11,H1197,0)</f>
        <v>0</v>
      </c>
      <c r="L1197">
        <f>IF(D1197&lt;$A$15,$C$11,$C$11*(1-$G$11))</f>
        <v>200</v>
      </c>
      <c r="M1197">
        <f>IF(D1197&lt;$A$15,0,1)</f>
        <v>1</v>
      </c>
    </row>
    <row r="1198" spans="4:13" x14ac:dyDescent="0.2">
      <c r="D1198">
        <f t="shared" si="69"/>
        <v>1175</v>
      </c>
      <c r="E1198" s="1">
        <f t="shared" si="67"/>
        <v>199.6778065301248</v>
      </c>
      <c r="F1198" s="1">
        <f t="shared" si="70"/>
        <v>-66.64826162387007</v>
      </c>
      <c r="G1198" s="1">
        <f t="shared" si="68"/>
        <v>1.135083337056464E-29</v>
      </c>
      <c r="H1198" s="1">
        <f>G1198/$G$21</f>
        <v>7.9595967339229661E-31</v>
      </c>
      <c r="I1198">
        <f>IF($E$11&lt;=D1198, IF(D1198&lt;=$A$15,D1198-$E$11,$F$11),0)</f>
        <v>300</v>
      </c>
      <c r="J1198">
        <f>IF(D1198&lt;=$A$15,0,D1198-$A$15)</f>
        <v>866</v>
      </c>
      <c r="K1198" s="5">
        <f>IF(D1198&lt;$E$11,H1198,0)</f>
        <v>0</v>
      </c>
      <c r="L1198">
        <f>IF(D1198&lt;$A$15,$C$11,$C$11*(1-$G$11))</f>
        <v>200</v>
      </c>
      <c r="M1198">
        <f>IF(D1198&lt;$A$15,0,1)</f>
        <v>1</v>
      </c>
    </row>
    <row r="1199" spans="4:13" x14ac:dyDescent="0.2">
      <c r="D1199">
        <f t="shared" si="69"/>
        <v>1176</v>
      </c>
      <c r="E1199" s="1">
        <f t="shared" si="67"/>
        <v>199.60084548898868</v>
      </c>
      <c r="F1199" s="1">
        <f t="shared" si="70"/>
        <v>-66.725222665006186</v>
      </c>
      <c r="G1199" s="1">
        <f t="shared" si="68"/>
        <v>1.0510030898671096E-29</v>
      </c>
      <c r="H1199" s="1">
        <f>G1199/$G$21</f>
        <v>7.3699969758546912E-31</v>
      </c>
      <c r="I1199">
        <f>IF($E$11&lt;=D1199, IF(D1199&lt;=$A$15,D1199-$E$11,$F$11),0)</f>
        <v>300</v>
      </c>
      <c r="J1199">
        <f>IF(D1199&lt;=$A$15,0,D1199-$A$15)</f>
        <v>867</v>
      </c>
      <c r="K1199" s="5">
        <f>IF(D1199&lt;$E$11,H1199,0)</f>
        <v>0</v>
      </c>
      <c r="L1199">
        <f>IF(D1199&lt;$A$15,$C$11,$C$11*(1-$G$11))</f>
        <v>200</v>
      </c>
      <c r="M1199">
        <f>IF(D1199&lt;$A$15,0,1)</f>
        <v>1</v>
      </c>
    </row>
    <row r="1200" spans="4:13" x14ac:dyDescent="0.2">
      <c r="D1200">
        <f t="shared" si="69"/>
        <v>1177</v>
      </c>
      <c r="E1200" s="1">
        <f t="shared" si="67"/>
        <v>199.52388444785257</v>
      </c>
      <c r="F1200" s="1">
        <f t="shared" si="70"/>
        <v>-66.802183706142301</v>
      </c>
      <c r="G1200" s="1">
        <f t="shared" si="68"/>
        <v>9.7315100913622485E-30</v>
      </c>
      <c r="H1200" s="1">
        <f>G1200/$G$21</f>
        <v>6.8240712739396144E-31</v>
      </c>
      <c r="I1200">
        <f>IF($E$11&lt;=D1200, IF(D1200&lt;=$A$15,D1200-$E$11,$F$11),0)</f>
        <v>300</v>
      </c>
      <c r="J1200">
        <f>IF(D1200&lt;=$A$15,0,D1200-$A$15)</f>
        <v>868</v>
      </c>
      <c r="K1200" s="5">
        <f>IF(D1200&lt;$E$11,H1200,0)</f>
        <v>0</v>
      </c>
      <c r="L1200">
        <f>IF(D1200&lt;$A$15,$C$11,$C$11*(1-$G$11))</f>
        <v>200</v>
      </c>
      <c r="M1200">
        <f>IF(D1200&lt;$A$15,0,1)</f>
        <v>1</v>
      </c>
    </row>
    <row r="1201" spans="4:13" x14ac:dyDescent="0.2">
      <c r="D1201">
        <f t="shared" si="69"/>
        <v>1178</v>
      </c>
      <c r="E1201" s="1">
        <f t="shared" si="67"/>
        <v>199.44692340671645</v>
      </c>
      <c r="F1201" s="1">
        <f t="shared" si="70"/>
        <v>-66.879144747278417</v>
      </c>
      <c r="G1201" s="1">
        <f t="shared" si="68"/>
        <v>9.0106574920021964E-30</v>
      </c>
      <c r="H1201" s="1">
        <f>G1201/$G$21</f>
        <v>6.3185845129071308E-31</v>
      </c>
      <c r="I1201">
        <f>IF($E$11&lt;=D1201, IF(D1201&lt;=$A$15,D1201-$E$11,$F$11),0)</f>
        <v>300</v>
      </c>
      <c r="J1201">
        <f>IF(D1201&lt;=$A$15,0,D1201-$A$15)</f>
        <v>869</v>
      </c>
      <c r="K1201" s="5">
        <f>IF(D1201&lt;$E$11,H1201,0)</f>
        <v>0</v>
      </c>
      <c r="L1201">
        <f>IF(D1201&lt;$A$15,$C$11,$C$11*(1-$G$11))</f>
        <v>200</v>
      </c>
      <c r="M1201">
        <f>IF(D1201&lt;$A$15,0,1)</f>
        <v>1</v>
      </c>
    </row>
    <row r="1202" spans="4:13" x14ac:dyDescent="0.2">
      <c r="D1202">
        <f t="shared" si="69"/>
        <v>1179</v>
      </c>
      <c r="E1202" s="1">
        <f t="shared" si="67"/>
        <v>199.36996236558034</v>
      </c>
      <c r="F1202" s="1">
        <f t="shared" si="70"/>
        <v>-66.956105788414533</v>
      </c>
      <c r="G1202" s="1">
        <f t="shared" si="68"/>
        <v>8.3432013814836203E-30</v>
      </c>
      <c r="H1202" s="1">
        <f>G1202/$G$21</f>
        <v>5.8505412156548246E-31</v>
      </c>
      <c r="I1202">
        <f>IF($E$11&lt;=D1202, IF(D1202&lt;=$A$15,D1202-$E$11,$F$11),0)</f>
        <v>300</v>
      </c>
      <c r="J1202">
        <f>IF(D1202&lt;=$A$15,0,D1202-$A$15)</f>
        <v>870</v>
      </c>
      <c r="K1202" s="5">
        <f>IF(D1202&lt;$E$11,H1202,0)</f>
        <v>0</v>
      </c>
      <c r="L1202">
        <f>IF(D1202&lt;$A$15,$C$11,$C$11*(1-$G$11))</f>
        <v>200</v>
      </c>
      <c r="M1202">
        <f>IF(D1202&lt;$A$15,0,1)</f>
        <v>1</v>
      </c>
    </row>
    <row r="1203" spans="4:13" x14ac:dyDescent="0.2">
      <c r="D1203">
        <f t="shared" si="69"/>
        <v>1180</v>
      </c>
      <c r="E1203" s="1">
        <f t="shared" si="67"/>
        <v>199.29300132444422</v>
      </c>
      <c r="F1203" s="1">
        <f t="shared" si="70"/>
        <v>-67.033066829550648</v>
      </c>
      <c r="G1203" s="1">
        <f t="shared" si="68"/>
        <v>7.7251864643367833E-30</v>
      </c>
      <c r="H1203" s="1">
        <f>G1203/$G$21</f>
        <v>5.4171677922730541E-31</v>
      </c>
      <c r="I1203">
        <f>IF($E$11&lt;=D1203, IF(D1203&lt;=$A$15,D1203-$E$11,$F$11),0)</f>
        <v>300</v>
      </c>
      <c r="J1203">
        <f>IF(D1203&lt;=$A$15,0,D1203-$A$15)</f>
        <v>871</v>
      </c>
      <c r="K1203" s="5">
        <f>IF(D1203&lt;$E$11,H1203,0)</f>
        <v>0</v>
      </c>
      <c r="L1203">
        <f>IF(D1203&lt;$A$15,$C$11,$C$11*(1-$G$11))</f>
        <v>200</v>
      </c>
      <c r="M1203">
        <f>IF(D1203&lt;$A$15,0,1)</f>
        <v>1</v>
      </c>
    </row>
    <row r="1204" spans="4:13" x14ac:dyDescent="0.2">
      <c r="D1204">
        <f t="shared" si="69"/>
        <v>1181</v>
      </c>
      <c r="E1204" s="1">
        <f t="shared" si="67"/>
        <v>199.2160402833081</v>
      </c>
      <c r="F1204" s="1">
        <f t="shared" si="70"/>
        <v>-67.110027870686764</v>
      </c>
      <c r="G1204" s="1">
        <f t="shared" si="68"/>
        <v>7.1529504299415563E-30</v>
      </c>
      <c r="H1204" s="1">
        <f>G1204/$G$21</f>
        <v>5.015896103956595E-31</v>
      </c>
      <c r="I1204">
        <f>IF($E$11&lt;=D1204, IF(D1204&lt;=$A$15,D1204-$E$11,$F$11),0)</f>
        <v>300</v>
      </c>
      <c r="J1204">
        <f>IF(D1204&lt;=$A$15,0,D1204-$A$15)</f>
        <v>872</v>
      </c>
      <c r="K1204" s="5">
        <f>IF(D1204&lt;$E$11,H1204,0)</f>
        <v>0</v>
      </c>
      <c r="L1204">
        <f>IF(D1204&lt;$A$15,$C$11,$C$11*(1-$G$11))</f>
        <v>200</v>
      </c>
      <c r="M1204">
        <f>IF(D1204&lt;$A$15,0,1)</f>
        <v>1</v>
      </c>
    </row>
    <row r="1205" spans="4:13" x14ac:dyDescent="0.2">
      <c r="D1205">
        <f t="shared" si="69"/>
        <v>1182</v>
      </c>
      <c r="E1205" s="1">
        <f t="shared" si="67"/>
        <v>199.13907924217199</v>
      </c>
      <c r="F1205" s="1">
        <f t="shared" si="70"/>
        <v>-67.18698891182288</v>
      </c>
      <c r="G1205" s="1">
        <f t="shared" si="68"/>
        <v>6.6231022499459691E-30</v>
      </c>
      <c r="H1205" s="1">
        <f>G1205/$G$21</f>
        <v>4.6443482444043131E-31</v>
      </c>
      <c r="I1205">
        <f>IF($E$11&lt;=D1205, IF(D1205&lt;=$A$15,D1205-$E$11,$F$11),0)</f>
        <v>300</v>
      </c>
      <c r="J1205">
        <f>IF(D1205&lt;=$A$15,0,D1205-$A$15)</f>
        <v>873</v>
      </c>
      <c r="K1205" s="5">
        <f>IF(D1205&lt;$E$11,H1205,0)</f>
        <v>0</v>
      </c>
      <c r="L1205">
        <f>IF(D1205&lt;$A$15,$C$11,$C$11*(1-$G$11))</f>
        <v>200</v>
      </c>
      <c r="M1205">
        <f>IF(D1205&lt;$A$15,0,1)</f>
        <v>1</v>
      </c>
    </row>
    <row r="1206" spans="4:13" x14ac:dyDescent="0.2">
      <c r="D1206">
        <f t="shared" si="69"/>
        <v>1183</v>
      </c>
      <c r="E1206" s="1">
        <f t="shared" si="67"/>
        <v>199.06211820103587</v>
      </c>
      <c r="F1206" s="1">
        <f t="shared" si="70"/>
        <v>-67.263949952958995</v>
      </c>
      <c r="G1206" s="1">
        <f t="shared" si="68"/>
        <v>6.1325020832833826E-30</v>
      </c>
      <c r="H1206" s="1">
        <f>G1206/$G$21</f>
        <v>4.3003224485225669E-31</v>
      </c>
      <c r="I1206">
        <f>IF($E$11&lt;=D1206, IF(D1206&lt;=$A$15,D1206-$E$11,$F$11),0)</f>
        <v>300</v>
      </c>
      <c r="J1206">
        <f>IF(D1206&lt;=$A$15,0,D1206-$A$15)</f>
        <v>874</v>
      </c>
      <c r="K1206" s="5">
        <f>IF(D1206&lt;$E$11,H1206,0)</f>
        <v>0</v>
      </c>
      <c r="L1206">
        <f>IF(D1206&lt;$A$15,$C$11,$C$11*(1-$G$11))</f>
        <v>200</v>
      </c>
      <c r="M1206">
        <f>IF(D1206&lt;$A$15,0,1)</f>
        <v>1</v>
      </c>
    </row>
    <row r="1207" spans="4:13" x14ac:dyDescent="0.2">
      <c r="D1207">
        <f t="shared" si="69"/>
        <v>1184</v>
      </c>
      <c r="E1207" s="1">
        <f t="shared" si="67"/>
        <v>198.98515715989976</v>
      </c>
      <c r="F1207" s="1">
        <f t="shared" si="70"/>
        <v>-67.340910994095111</v>
      </c>
      <c r="G1207" s="1">
        <f t="shared" si="68"/>
        <v>5.6782426697069078E-30</v>
      </c>
      <c r="H1207" s="1">
        <f>G1207/$G$21</f>
        <v>3.9817800449283529E-31</v>
      </c>
      <c r="I1207">
        <f>IF($E$11&lt;=D1207, IF(D1207&lt;=$A$15,D1207-$E$11,$F$11),0)</f>
        <v>300</v>
      </c>
      <c r="J1207">
        <f>IF(D1207&lt;=$A$15,0,D1207-$A$15)</f>
        <v>875</v>
      </c>
      <c r="K1207" s="5">
        <f>IF(D1207&lt;$E$11,H1207,0)</f>
        <v>0</v>
      </c>
      <c r="L1207">
        <f>IF(D1207&lt;$A$15,$C$11,$C$11*(1-$G$11))</f>
        <v>200</v>
      </c>
      <c r="M1207">
        <f>IF(D1207&lt;$A$15,0,1)</f>
        <v>1</v>
      </c>
    </row>
    <row r="1208" spans="4:13" x14ac:dyDescent="0.2">
      <c r="D1208">
        <f t="shared" si="69"/>
        <v>1185</v>
      </c>
      <c r="E1208" s="1">
        <f t="shared" si="67"/>
        <v>198.90819611876364</v>
      </c>
      <c r="F1208" s="1">
        <f t="shared" si="70"/>
        <v>-67.417872035231227</v>
      </c>
      <c r="G1208" s="1">
        <f t="shared" si="68"/>
        <v>5.2576321015805368E-30</v>
      </c>
      <c r="H1208" s="1">
        <f>G1208/$G$21</f>
        <v>3.6868333749337071E-31</v>
      </c>
      <c r="I1208">
        <f>IF($E$11&lt;=D1208, IF(D1208&lt;=$A$15,D1208-$E$11,$F$11),0)</f>
        <v>300</v>
      </c>
      <c r="J1208">
        <f>IF(D1208&lt;=$A$15,0,D1208-$A$15)</f>
        <v>876</v>
      </c>
      <c r="K1208" s="5">
        <f>IF(D1208&lt;$E$11,H1208,0)</f>
        <v>0</v>
      </c>
      <c r="L1208">
        <f>IF(D1208&lt;$A$15,$C$11,$C$11*(1-$G$11))</f>
        <v>200</v>
      </c>
      <c r="M1208">
        <f>IF(D1208&lt;$A$15,0,1)</f>
        <v>1</v>
      </c>
    </row>
    <row r="1209" spans="4:13" x14ac:dyDescent="0.2">
      <c r="D1209">
        <f t="shared" si="69"/>
        <v>1186</v>
      </c>
      <c r="E1209" s="1">
        <f t="shared" si="67"/>
        <v>198.83123507762753</v>
      </c>
      <c r="F1209" s="1">
        <f t="shared" si="70"/>
        <v>-67.494833076367343</v>
      </c>
      <c r="G1209" s="1">
        <f t="shared" si="68"/>
        <v>4.8681778718338917E-30</v>
      </c>
      <c r="H1209" s="1">
        <f>G1209/$G$21</f>
        <v>3.4137346064201419E-31</v>
      </c>
      <c r="I1209">
        <f>IF($E$11&lt;=D1209, IF(D1209&lt;=$A$15,D1209-$E$11,$F$11),0)</f>
        <v>300</v>
      </c>
      <c r="J1209">
        <f>IF(D1209&lt;=$A$15,0,D1209-$A$15)</f>
        <v>877</v>
      </c>
      <c r="K1209" s="5">
        <f>IF(D1209&lt;$E$11,H1209,0)</f>
        <v>0</v>
      </c>
      <c r="L1209">
        <f>IF(D1209&lt;$A$15,$C$11,$C$11*(1-$G$11))</f>
        <v>200</v>
      </c>
      <c r="M1209">
        <f>IF(D1209&lt;$A$15,0,1)</f>
        <v>1</v>
      </c>
    </row>
    <row r="1210" spans="4:13" x14ac:dyDescent="0.2">
      <c r="D1210">
        <f t="shared" si="69"/>
        <v>1187</v>
      </c>
      <c r="E1210" s="1">
        <f t="shared" si="67"/>
        <v>198.75427403649141</v>
      </c>
      <c r="F1210" s="1">
        <f t="shared" si="70"/>
        <v>-67.571794117503458</v>
      </c>
      <c r="G1210" s="1">
        <f t="shared" si="68"/>
        <v>4.5075721035499569E-30</v>
      </c>
      <c r="H1210" s="1">
        <f>G1210/$G$21</f>
        <v>3.1608653763149864E-31</v>
      </c>
      <c r="I1210">
        <f>IF($E$11&lt;=D1210, IF(D1210&lt;=$A$15,D1210-$E$11,$F$11),0)</f>
        <v>300</v>
      </c>
      <c r="J1210">
        <f>IF(D1210&lt;=$A$15,0,D1210-$A$15)</f>
        <v>878</v>
      </c>
      <c r="K1210" s="5">
        <f>IF(D1210&lt;$E$11,H1210,0)</f>
        <v>0</v>
      </c>
      <c r="L1210">
        <f>IF(D1210&lt;$A$15,$C$11,$C$11*(1-$G$11))</f>
        <v>200</v>
      </c>
      <c r="M1210">
        <f>IF(D1210&lt;$A$15,0,1)</f>
        <v>1</v>
      </c>
    </row>
    <row r="1211" spans="4:13" x14ac:dyDescent="0.2">
      <c r="D1211">
        <f t="shared" si="69"/>
        <v>1188</v>
      </c>
      <c r="E1211" s="1">
        <f t="shared" si="67"/>
        <v>198.67731299535529</v>
      </c>
      <c r="F1211" s="1">
        <f t="shared" si="70"/>
        <v>-67.648755158639574</v>
      </c>
      <c r="G1211" s="1">
        <f t="shared" si="68"/>
        <v>4.1736778736574197E-30</v>
      </c>
      <c r="H1211" s="1">
        <f>G1211/$G$21</f>
        <v>2.9267272002916908E-31</v>
      </c>
      <c r="I1211">
        <f>IF($E$11&lt;=D1211, IF(D1211&lt;=$A$15,D1211-$E$11,$F$11),0)</f>
        <v>300</v>
      </c>
      <c r="J1211">
        <f>IF(D1211&lt;=$A$15,0,D1211-$A$15)</f>
        <v>879</v>
      </c>
      <c r="K1211" s="5">
        <f>IF(D1211&lt;$E$11,H1211,0)</f>
        <v>0</v>
      </c>
      <c r="L1211">
        <f>IF(D1211&lt;$A$15,$C$11,$C$11*(1-$G$11))</f>
        <v>200</v>
      </c>
      <c r="M1211">
        <f>IF(D1211&lt;$A$15,0,1)</f>
        <v>1</v>
      </c>
    </row>
    <row r="1212" spans="4:13" x14ac:dyDescent="0.2">
      <c r="D1212">
        <f t="shared" si="69"/>
        <v>1189</v>
      </c>
      <c r="E1212" s="1">
        <f t="shared" si="67"/>
        <v>198.60035195421918</v>
      </c>
      <c r="F1212" s="1">
        <f t="shared" si="70"/>
        <v>-67.72571619977569</v>
      </c>
      <c r="G1212" s="1">
        <f t="shared" si="68"/>
        <v>3.8645165496828453E-30</v>
      </c>
      <c r="H1212" s="1">
        <f>G1212/$G$21</f>
        <v>2.7099325928627111E-31</v>
      </c>
      <c r="I1212">
        <f>IF($E$11&lt;=D1212, IF(D1212&lt;=$A$15,D1212-$E$11,$F$11),0)</f>
        <v>300</v>
      </c>
      <c r="J1212">
        <f>IF(D1212&lt;=$A$15,0,D1212-$A$15)</f>
        <v>880</v>
      </c>
      <c r="K1212" s="5">
        <f>IF(D1212&lt;$E$11,H1212,0)</f>
        <v>0</v>
      </c>
      <c r="L1212">
        <f>IF(D1212&lt;$A$15,$C$11,$C$11*(1-$G$11))</f>
        <v>200</v>
      </c>
      <c r="M1212">
        <f>IF(D1212&lt;$A$15,0,1)</f>
        <v>1</v>
      </c>
    </row>
    <row r="1213" spans="4:13" x14ac:dyDescent="0.2">
      <c r="D1213">
        <f t="shared" si="69"/>
        <v>1190</v>
      </c>
      <c r="E1213" s="1">
        <f t="shared" si="67"/>
        <v>198.52339091308306</v>
      </c>
      <c r="F1213" s="1">
        <f t="shared" si="70"/>
        <v>-67.802677240911805</v>
      </c>
      <c r="G1213" s="1">
        <f t="shared" si="68"/>
        <v>3.5782560645211979E-30</v>
      </c>
      <c r="H1213" s="1">
        <f>G1213/$G$21</f>
        <v>2.5091968452432827E-31</v>
      </c>
      <c r="I1213">
        <f>IF($E$11&lt;=D1213, IF(D1213&lt;=$A$15,D1213-$E$11,$F$11),0)</f>
        <v>300</v>
      </c>
      <c r="J1213">
        <f>IF(D1213&lt;=$A$15,0,D1213-$A$15)</f>
        <v>881</v>
      </c>
      <c r="K1213" s="5">
        <f>IF(D1213&lt;$E$11,H1213,0)</f>
        <v>0</v>
      </c>
      <c r="L1213">
        <f>IF(D1213&lt;$A$15,$C$11,$C$11*(1-$G$11))</f>
        <v>200</v>
      </c>
      <c r="M1213">
        <f>IF(D1213&lt;$A$15,0,1)</f>
        <v>1</v>
      </c>
    </row>
    <row r="1214" spans="4:13" x14ac:dyDescent="0.2">
      <c r="D1214">
        <f t="shared" si="69"/>
        <v>1191</v>
      </c>
      <c r="E1214" s="1">
        <f t="shared" si="67"/>
        <v>198.44642987194695</v>
      </c>
      <c r="F1214" s="1">
        <f t="shared" si="70"/>
        <v>-67.879638282047921</v>
      </c>
      <c r="G1214" s="1">
        <f t="shared" si="68"/>
        <v>3.3132000597418921E-30</v>
      </c>
      <c r="H1214" s="1">
        <f>G1214/$G$21</f>
        <v>2.3233304122623281E-31</v>
      </c>
      <c r="I1214">
        <f>IF($E$11&lt;=D1214, IF(D1214&lt;=$A$15,D1214-$E$11,$F$11),0)</f>
        <v>300</v>
      </c>
      <c r="J1214">
        <f>IF(D1214&lt;=$A$15,0,D1214-$A$15)</f>
        <v>882</v>
      </c>
      <c r="K1214" s="5">
        <f>IF(D1214&lt;$E$11,H1214,0)</f>
        <v>0</v>
      </c>
      <c r="L1214">
        <f>IF(D1214&lt;$A$15,$C$11,$C$11*(1-$G$11))</f>
        <v>200</v>
      </c>
      <c r="M1214">
        <f>IF(D1214&lt;$A$15,0,1)</f>
        <v>1</v>
      </c>
    </row>
    <row r="1215" spans="4:13" x14ac:dyDescent="0.2">
      <c r="D1215">
        <f t="shared" si="69"/>
        <v>1192</v>
      </c>
      <c r="E1215" s="1">
        <f t="shared" si="67"/>
        <v>198.36946883081083</v>
      </c>
      <c r="F1215" s="1">
        <f t="shared" si="70"/>
        <v>-67.956599323184037</v>
      </c>
      <c r="G1215" s="1">
        <f t="shared" si="68"/>
        <v>3.0677778330943834E-30</v>
      </c>
      <c r="H1215" s="1">
        <f>G1215/$G$21</f>
        <v>2.1512318632058868E-31</v>
      </c>
      <c r="I1215">
        <f>IF($E$11&lt;=D1215, IF(D1215&lt;=$A$15,D1215-$E$11,$F$11),0)</f>
        <v>300</v>
      </c>
      <c r="J1215">
        <f>IF(D1215&lt;=$A$15,0,D1215-$A$15)</f>
        <v>883</v>
      </c>
      <c r="K1215" s="5">
        <f>IF(D1215&lt;$E$11,H1215,0)</f>
        <v>0</v>
      </c>
      <c r="L1215">
        <f>IF(D1215&lt;$A$15,$C$11,$C$11*(1-$G$11))</f>
        <v>200</v>
      </c>
      <c r="M1215">
        <f>IF(D1215&lt;$A$15,0,1)</f>
        <v>1</v>
      </c>
    </row>
    <row r="1216" spans="4:13" x14ac:dyDescent="0.2">
      <c r="D1216">
        <f t="shared" si="69"/>
        <v>1193</v>
      </c>
      <c r="E1216" s="1">
        <f t="shared" si="67"/>
        <v>198.29250778967472</v>
      </c>
      <c r="F1216" s="1">
        <f t="shared" si="70"/>
        <v>-68.033560364320152</v>
      </c>
      <c r="G1216" s="1">
        <f t="shared" si="68"/>
        <v>2.8405350306429833E-30</v>
      </c>
      <c r="H1216" s="1">
        <f>G1216/$G$21</f>
        <v>1.9918813548202907E-31</v>
      </c>
      <c r="I1216">
        <f>IF($E$11&lt;=D1216, IF(D1216&lt;=$A$15,D1216-$E$11,$F$11),0)</f>
        <v>300</v>
      </c>
      <c r="J1216">
        <f>IF(D1216&lt;=$A$15,0,D1216-$A$15)</f>
        <v>884</v>
      </c>
      <c r="K1216" s="5">
        <f>IF(D1216&lt;$E$11,H1216,0)</f>
        <v>0</v>
      </c>
      <c r="L1216">
        <f>IF(D1216&lt;$A$15,$C$11,$C$11*(1-$G$11))</f>
        <v>200</v>
      </c>
      <c r="M1216">
        <f>IF(D1216&lt;$A$15,0,1)</f>
        <v>1</v>
      </c>
    </row>
    <row r="1217" spans="4:13" x14ac:dyDescent="0.2">
      <c r="D1217">
        <f t="shared" si="69"/>
        <v>1194</v>
      </c>
      <c r="E1217" s="1">
        <f t="shared" si="67"/>
        <v>198.2155467485386</v>
      </c>
      <c r="F1217" s="1">
        <f t="shared" si="70"/>
        <v>-68.110521405456268</v>
      </c>
      <c r="G1217" s="1">
        <f t="shared" si="68"/>
        <v>2.630125028373166E-30</v>
      </c>
      <c r="H1217" s="1">
        <f>G1217/$G$21</f>
        <v>1.8443345877965887E-31</v>
      </c>
      <c r="I1217">
        <f>IF($E$11&lt;=D1217, IF(D1217&lt;=$A$15,D1217-$E$11,$F$11),0)</f>
        <v>300</v>
      </c>
      <c r="J1217">
        <f>IF(D1217&lt;=$A$15,0,D1217-$A$15)</f>
        <v>885</v>
      </c>
      <c r="K1217" s="5">
        <f>IF(D1217&lt;$E$11,H1217,0)</f>
        <v>0</v>
      </c>
      <c r="L1217">
        <f>IF(D1217&lt;$A$15,$C$11,$C$11*(1-$G$11))</f>
        <v>200</v>
      </c>
      <c r="M1217">
        <f>IF(D1217&lt;$A$15,0,1)</f>
        <v>1</v>
      </c>
    </row>
    <row r="1218" spans="4:13" x14ac:dyDescent="0.2">
      <c r="D1218">
        <f t="shared" si="69"/>
        <v>1195</v>
      </c>
      <c r="E1218" s="1">
        <f t="shared" si="67"/>
        <v>198.13858570740248</v>
      </c>
      <c r="F1218" s="1">
        <f t="shared" si="70"/>
        <v>-68.187482446592384</v>
      </c>
      <c r="G1218" s="1">
        <f t="shared" si="68"/>
        <v>2.4353009521974068E-30</v>
      </c>
      <c r="H1218" s="1">
        <f>G1218/$G$21</f>
        <v>1.7077172109227889E-31</v>
      </c>
      <c r="I1218">
        <f>IF($E$11&lt;=D1218, IF(D1218&lt;=$A$15,D1218-$E$11,$F$11),0)</f>
        <v>300</v>
      </c>
      <c r="J1218">
        <f>IF(D1218&lt;=$A$15,0,D1218-$A$15)</f>
        <v>886</v>
      </c>
      <c r="K1218" s="5">
        <f>IF(D1218&lt;$E$11,H1218,0)</f>
        <v>0</v>
      </c>
      <c r="L1218">
        <f>IF(D1218&lt;$A$15,$C$11,$C$11*(1-$G$11))</f>
        <v>200</v>
      </c>
      <c r="M1218">
        <f>IF(D1218&lt;$A$15,0,1)</f>
        <v>1</v>
      </c>
    </row>
    <row r="1219" spans="4:13" x14ac:dyDescent="0.2">
      <c r="D1219">
        <f t="shared" si="69"/>
        <v>1196</v>
      </c>
      <c r="E1219" s="1">
        <f t="shared" si="67"/>
        <v>198.06162466626637</v>
      </c>
      <c r="F1219" s="1">
        <f t="shared" si="70"/>
        <v>-68.264443487728499</v>
      </c>
      <c r="G1219" s="1">
        <f t="shared" si="68"/>
        <v>2.2549082890717014E-30</v>
      </c>
      <c r="H1219" s="1">
        <f>G1219/$G$21</f>
        <v>1.5812196397433432E-31</v>
      </c>
      <c r="I1219">
        <f>IF($E$11&lt;=D1219, IF(D1219&lt;=$A$15,D1219-$E$11,$F$11),0)</f>
        <v>300</v>
      </c>
      <c r="J1219">
        <f>IF(D1219&lt;=$A$15,0,D1219-$A$15)</f>
        <v>887</v>
      </c>
      <c r="K1219" s="5">
        <f>IF(D1219&lt;$E$11,H1219,0)</f>
        <v>0</v>
      </c>
      <c r="L1219">
        <f>IF(D1219&lt;$A$15,$C$11,$C$11*(1-$G$11))</f>
        <v>200</v>
      </c>
      <c r="M1219">
        <f>IF(D1219&lt;$A$15,0,1)</f>
        <v>1</v>
      </c>
    </row>
    <row r="1220" spans="4:13" x14ac:dyDescent="0.2">
      <c r="D1220">
        <f t="shared" si="69"/>
        <v>1197</v>
      </c>
      <c r="E1220" s="1">
        <f t="shared" ref="E1220:F1283" si="71">IF($G$11=1,IF(D1220&lt;=$A$15, E1219+LN($C$11)-LN(60/$D$11)-LN(MIN(D1220,$E$11)), E1219-LN(60/$D$11)-LN(MIN(D1220,$E$11))), IF(D1220&lt;=$A$15, E1219+LN($C$11)-LN(60/$D$11)-LN(MIN(D1220,$E$11)), E1219+LN($C$11)+LN(1-$G$11)-LN(60/$D$11)-LN(MIN(D1220,$E$11))))</f>
        <v>197.98466362513025</v>
      </c>
      <c r="F1220" s="1">
        <f t="shared" si="70"/>
        <v>-68.341404528864615</v>
      </c>
      <c r="G1220" s="1">
        <f t="shared" si="68"/>
        <v>2.087878045436787E-30</v>
      </c>
      <c r="H1220" s="1">
        <f>G1220/$G$21</f>
        <v>1.4640922590216325E-31</v>
      </c>
      <c r="I1220">
        <f>IF($E$11&lt;=D1220, IF(D1220&lt;=$A$15,D1220-$E$11,$F$11),0)</f>
        <v>300</v>
      </c>
      <c r="J1220">
        <f>IF(D1220&lt;=$A$15,0,D1220-$A$15)</f>
        <v>888</v>
      </c>
      <c r="K1220" s="5">
        <f>IF(D1220&lt;$E$11,H1220,0)</f>
        <v>0</v>
      </c>
      <c r="L1220">
        <f>IF(D1220&lt;$A$15,$C$11,$C$11*(1-$G$11))</f>
        <v>200</v>
      </c>
      <c r="M1220">
        <f>IF(D1220&lt;$A$15,0,1)</f>
        <v>1</v>
      </c>
    </row>
    <row r="1221" spans="4:13" x14ac:dyDescent="0.2">
      <c r="D1221">
        <f t="shared" si="69"/>
        <v>1198</v>
      </c>
      <c r="E1221" s="1">
        <f t="shared" si="71"/>
        <v>197.90770258399414</v>
      </c>
      <c r="F1221" s="1">
        <f t="shared" si="70"/>
        <v>-68.418365570000731</v>
      </c>
      <c r="G1221" s="1">
        <f t="shared" si="68"/>
        <v>1.9332204124414937E-30</v>
      </c>
      <c r="H1221" s="1">
        <f>G1221/$G$21</f>
        <v>1.3556409805756026E-31</v>
      </c>
      <c r="I1221">
        <f>IF($E$11&lt;=D1221, IF(D1221&lt;=$A$15,D1221-$E$11,$F$11),0)</f>
        <v>300</v>
      </c>
      <c r="J1221">
        <f>IF(D1221&lt;=$A$15,0,D1221-$A$15)</f>
        <v>889</v>
      </c>
      <c r="K1221" s="5">
        <f>IF(D1221&lt;$E$11,H1221,0)</f>
        <v>0</v>
      </c>
      <c r="L1221">
        <f>IF(D1221&lt;$A$15,$C$11,$C$11*(1-$G$11))</f>
        <v>200</v>
      </c>
      <c r="M1221">
        <f>IF(D1221&lt;$A$15,0,1)</f>
        <v>1</v>
      </c>
    </row>
    <row r="1222" spans="4:13" x14ac:dyDescent="0.2">
      <c r="D1222">
        <f t="shared" si="69"/>
        <v>1199</v>
      </c>
      <c r="E1222" s="1">
        <f t="shared" si="71"/>
        <v>197.83074154285802</v>
      </c>
      <c r="F1222" s="1">
        <f t="shared" si="70"/>
        <v>-68.495326611136846</v>
      </c>
      <c r="G1222" s="1">
        <f t="shared" si="68"/>
        <v>1.7900189004088132E-30</v>
      </c>
      <c r="H1222" s="1">
        <f>G1222/$G$21</f>
        <v>1.255223130162611E-31</v>
      </c>
      <c r="I1222">
        <f>IF($E$11&lt;=D1222, IF(D1222&lt;=$A$15,D1222-$E$11,$F$11),0)</f>
        <v>300</v>
      </c>
      <c r="J1222">
        <f>IF(D1222&lt;=$A$15,0,D1222-$A$15)</f>
        <v>890</v>
      </c>
      <c r="K1222" s="5">
        <f>IF(D1222&lt;$E$11,H1222,0)</f>
        <v>0</v>
      </c>
      <c r="L1222">
        <f>IF(D1222&lt;$A$15,$C$11,$C$11*(1-$G$11))</f>
        <v>200</v>
      </c>
      <c r="M1222">
        <f>IF(D1222&lt;$A$15,0,1)</f>
        <v>1</v>
      </c>
    </row>
    <row r="1223" spans="4:13" x14ac:dyDescent="0.2">
      <c r="D1223">
        <f t="shared" si="69"/>
        <v>1200</v>
      </c>
      <c r="E1223" s="1">
        <f t="shared" si="71"/>
        <v>197.75378050172191</v>
      </c>
      <c r="F1223" s="1">
        <f t="shared" si="70"/>
        <v>-68.572287652272962</v>
      </c>
      <c r="G1223" s="1">
        <f t="shared" si="68"/>
        <v>1.6574249077859591E-30</v>
      </c>
      <c r="H1223" s="1">
        <f>G1223/$G$21</f>
        <v>1.1622436390394692E-31</v>
      </c>
      <c r="I1223">
        <f>IF($E$11&lt;=D1223, IF(D1223&lt;=$A$15,D1223-$E$11,$F$11),0)</f>
        <v>300</v>
      </c>
      <c r="J1223">
        <f>IF(D1223&lt;=$A$15,0,D1223-$A$15)</f>
        <v>891</v>
      </c>
      <c r="K1223" s="5">
        <f>IF(D1223&lt;$E$11,H1223,0)</f>
        <v>0</v>
      </c>
      <c r="L1223">
        <f>IF(D1223&lt;$A$15,$C$11,$C$11*(1-$G$11))</f>
        <v>200</v>
      </c>
      <c r="M1223">
        <f>IF(D1223&lt;$A$15,0,1)</f>
        <v>1</v>
      </c>
    </row>
    <row r="1224" spans="4:13" x14ac:dyDescent="0.2">
      <c r="D1224">
        <f t="shared" si="69"/>
        <v>1201</v>
      </c>
      <c r="E1224" s="1">
        <f t="shared" si="71"/>
        <v>197.67681946058579</v>
      </c>
      <c r="F1224" s="1">
        <f t="shared" si="70"/>
        <v>-68.649248693409078</v>
      </c>
      <c r="G1224" s="1">
        <f t="shared" si="68"/>
        <v>1.534652692394426E-30</v>
      </c>
      <c r="H1224" s="1">
        <f>G1224/$G$21</f>
        <v>1.0761515176291518E-31</v>
      </c>
      <c r="I1224">
        <f>IF($E$11&lt;=D1224, IF(D1224&lt;=$A$15,D1224-$E$11,$F$11),0)</f>
        <v>300</v>
      </c>
      <c r="J1224">
        <f>IF(D1224&lt;=$A$15,0,D1224-$A$15)</f>
        <v>892</v>
      </c>
      <c r="K1224" s="5">
        <f>IF(D1224&lt;$E$11,H1224,0)</f>
        <v>0</v>
      </c>
      <c r="L1224">
        <f>IF(D1224&lt;$A$15,$C$11,$C$11*(1-$G$11))</f>
        <v>200</v>
      </c>
      <c r="M1224">
        <f>IF(D1224&lt;$A$15,0,1)</f>
        <v>1</v>
      </c>
    </row>
    <row r="1225" spans="4:13" x14ac:dyDescent="0.2">
      <c r="D1225">
        <f t="shared" si="69"/>
        <v>1202</v>
      </c>
      <c r="E1225" s="1">
        <f t="shared" si="71"/>
        <v>197.59985841944967</v>
      </c>
      <c r="F1225" s="1">
        <f t="shared" si="70"/>
        <v>-68.726209734545193</v>
      </c>
      <c r="G1225" s="1">
        <f t="shared" si="68"/>
        <v>1.420974715180042E-30</v>
      </c>
      <c r="H1225" s="1">
        <f>G1225/$G$21</f>
        <v>9.9643659039737551E-32</v>
      </c>
      <c r="I1225">
        <f>IF($E$11&lt;=D1225, IF(D1225&lt;=$A$15,D1225-$E$11,$F$11),0)</f>
        <v>300</v>
      </c>
      <c r="J1225">
        <f>IF(D1225&lt;=$A$15,0,D1225-$A$15)</f>
        <v>893</v>
      </c>
      <c r="K1225" s="5">
        <f>IF(D1225&lt;$E$11,H1225,0)</f>
        <v>0</v>
      </c>
      <c r="L1225">
        <f>IF(D1225&lt;$A$15,$C$11,$C$11*(1-$G$11))</f>
        <v>200</v>
      </c>
      <c r="M1225">
        <f>IF(D1225&lt;$A$15,0,1)</f>
        <v>1</v>
      </c>
    </row>
    <row r="1226" spans="4:13" x14ac:dyDescent="0.2">
      <c r="D1226">
        <f t="shared" si="69"/>
        <v>1203</v>
      </c>
      <c r="E1226" s="1">
        <f t="shared" si="71"/>
        <v>197.52289737831356</v>
      </c>
      <c r="F1226" s="1">
        <f t="shared" si="70"/>
        <v>-68.803170775681309</v>
      </c>
      <c r="G1226" s="1">
        <f t="shared" si="68"/>
        <v>1.3157173288704259E-30</v>
      </c>
      <c r="H1226" s="1">
        <f>G1226/$G$21</f>
        <v>9.2262647259017411E-32</v>
      </c>
      <c r="I1226">
        <f>IF($E$11&lt;=D1226, IF(D1226&lt;=$A$15,D1226-$E$11,$F$11),0)</f>
        <v>300</v>
      </c>
      <c r="J1226">
        <f>IF(D1226&lt;=$A$15,0,D1226-$A$15)</f>
        <v>894</v>
      </c>
      <c r="K1226" s="5">
        <f>IF(D1226&lt;$E$11,H1226,0)</f>
        <v>0</v>
      </c>
      <c r="L1226">
        <f>IF(D1226&lt;$A$15,$C$11,$C$11*(1-$G$11))</f>
        <v>200</v>
      </c>
      <c r="M1226">
        <f>IF(D1226&lt;$A$15,0,1)</f>
        <v>1</v>
      </c>
    </row>
    <row r="1227" spans="4:13" x14ac:dyDescent="0.2">
      <c r="D1227">
        <f t="shared" si="69"/>
        <v>1204</v>
      </c>
      <c r="E1227" s="1">
        <f t="shared" si="71"/>
        <v>197.44593633717744</v>
      </c>
      <c r="F1227" s="1">
        <f t="shared" si="70"/>
        <v>-68.880131816817425</v>
      </c>
      <c r="G1227" s="1">
        <f t="shared" si="68"/>
        <v>1.2182567859911506E-30</v>
      </c>
      <c r="H1227" s="1">
        <f>G1227/$G$21</f>
        <v>8.5428377091683871E-32</v>
      </c>
      <c r="I1227">
        <f>IF($E$11&lt;=D1227, IF(D1227&lt;=$A$15,D1227-$E$11,$F$11),0)</f>
        <v>300</v>
      </c>
      <c r="J1227">
        <f>IF(D1227&lt;=$A$15,0,D1227-$A$15)</f>
        <v>895</v>
      </c>
      <c r="K1227" s="5">
        <f>IF(D1227&lt;$E$11,H1227,0)</f>
        <v>0</v>
      </c>
      <c r="L1227">
        <f>IF(D1227&lt;$A$15,$C$11,$C$11*(1-$G$11))</f>
        <v>200</v>
      </c>
      <c r="M1227">
        <f>IF(D1227&lt;$A$15,0,1)</f>
        <v>1</v>
      </c>
    </row>
    <row r="1228" spans="4:13" x14ac:dyDescent="0.2">
      <c r="D1228">
        <f t="shared" si="69"/>
        <v>1205</v>
      </c>
      <c r="E1228" s="1">
        <f t="shared" si="71"/>
        <v>197.36897529604133</v>
      </c>
      <c r="F1228" s="1">
        <f t="shared" si="70"/>
        <v>-68.95709285795354</v>
      </c>
      <c r="G1228" s="1">
        <f t="shared" si="68"/>
        <v>1.1280155425844129E-30</v>
      </c>
      <c r="H1228" s="1">
        <f>G1228/$G$21</f>
        <v>7.910034915896755E-32</v>
      </c>
      <c r="I1228">
        <f>IF($E$11&lt;=D1228, IF(D1228&lt;=$A$15,D1228-$E$11,$F$11),0)</f>
        <v>300</v>
      </c>
      <c r="J1228">
        <f>IF(D1228&lt;=$A$15,0,D1228-$A$15)</f>
        <v>896</v>
      </c>
      <c r="K1228" s="5">
        <f>IF(D1228&lt;$E$11,H1228,0)</f>
        <v>0</v>
      </c>
      <c r="L1228">
        <f>IF(D1228&lt;$A$15,$C$11,$C$11*(1-$G$11))</f>
        <v>200</v>
      </c>
      <c r="M1228">
        <f>IF(D1228&lt;$A$15,0,1)</f>
        <v>1</v>
      </c>
    </row>
    <row r="1229" spans="4:13" x14ac:dyDescent="0.2">
      <c r="D1229">
        <f t="shared" si="69"/>
        <v>1206</v>
      </c>
      <c r="E1229" s="1">
        <f t="shared" si="71"/>
        <v>197.29201425490521</v>
      </c>
      <c r="F1229" s="1">
        <f t="shared" si="70"/>
        <v>-69.034053899089656</v>
      </c>
      <c r="G1229" s="1">
        <f t="shared" si="68"/>
        <v>1.0444588357263215E-30</v>
      </c>
      <c r="H1229" s="1">
        <f>G1229/$G$21</f>
        <v>7.3241064036081984E-32</v>
      </c>
      <c r="I1229">
        <f>IF($E$11&lt;=D1229, IF(D1229&lt;=$A$15,D1229-$E$11,$F$11),0)</f>
        <v>300</v>
      </c>
      <c r="J1229">
        <f>IF(D1229&lt;=$A$15,0,D1229-$A$15)</f>
        <v>897</v>
      </c>
      <c r="K1229" s="5">
        <f>IF(D1229&lt;$E$11,H1229,0)</f>
        <v>0</v>
      </c>
      <c r="L1229">
        <f>IF(D1229&lt;$A$15,$C$11,$C$11*(1-$G$11))</f>
        <v>200</v>
      </c>
      <c r="M1229">
        <f>IF(D1229&lt;$A$15,0,1)</f>
        <v>1</v>
      </c>
    </row>
    <row r="1230" spans="4:13" x14ac:dyDescent="0.2">
      <c r="D1230">
        <f t="shared" si="69"/>
        <v>1207</v>
      </c>
      <c r="E1230" s="1">
        <f t="shared" si="71"/>
        <v>197.2150532137691</v>
      </c>
      <c r="F1230" s="1">
        <f t="shared" si="70"/>
        <v>-69.111014940225772</v>
      </c>
      <c r="G1230" s="1">
        <f t="shared" si="68"/>
        <v>9.6709151456142095E-31</v>
      </c>
      <c r="H1230" s="1">
        <f>G1230/$G$21</f>
        <v>6.7815800033410104E-32</v>
      </c>
      <c r="I1230">
        <f>IF($E$11&lt;=D1230, IF(D1230&lt;=$A$15,D1230-$E$11,$F$11),0)</f>
        <v>300</v>
      </c>
      <c r="J1230">
        <f>IF(D1230&lt;=$A$15,0,D1230-$A$15)</f>
        <v>898</v>
      </c>
      <c r="K1230" s="5">
        <f>IF(D1230&lt;$E$11,H1230,0)</f>
        <v>0</v>
      </c>
      <c r="L1230">
        <f>IF(D1230&lt;$A$15,$C$11,$C$11*(1-$G$11))</f>
        <v>200</v>
      </c>
      <c r="M1230">
        <f>IF(D1230&lt;$A$15,0,1)</f>
        <v>1</v>
      </c>
    </row>
    <row r="1231" spans="4:13" x14ac:dyDescent="0.2">
      <c r="D1231">
        <f t="shared" si="69"/>
        <v>1208</v>
      </c>
      <c r="E1231" s="1">
        <f t="shared" si="71"/>
        <v>197.13809217263298</v>
      </c>
      <c r="F1231" s="1">
        <f t="shared" si="70"/>
        <v>-69.187975981361888</v>
      </c>
      <c r="G1231" s="1">
        <f t="shared" si="68"/>
        <v>8.9545510607540108E-31</v>
      </c>
      <c r="H1231" s="1">
        <f>G1231/$G$21</f>
        <v>6.2792407438343478E-32</v>
      </c>
      <c r="I1231">
        <f>IF($E$11&lt;=D1231, IF(D1231&lt;=$A$15,D1231-$E$11,$F$11),0)</f>
        <v>300</v>
      </c>
      <c r="J1231">
        <f>IF(D1231&lt;=$A$15,0,D1231-$A$15)</f>
        <v>899</v>
      </c>
      <c r="K1231" s="5">
        <f>IF(D1231&lt;$E$11,H1231,0)</f>
        <v>0</v>
      </c>
      <c r="L1231">
        <f>IF(D1231&lt;$A$15,$C$11,$C$11*(1-$G$11))</f>
        <v>200</v>
      </c>
      <c r="M1231">
        <f>IF(D1231&lt;$A$15,0,1)</f>
        <v>1</v>
      </c>
    </row>
    <row r="1232" spans="4:13" x14ac:dyDescent="0.2">
      <c r="D1232">
        <f t="shared" si="69"/>
        <v>1209</v>
      </c>
      <c r="E1232" s="1">
        <f t="shared" si="71"/>
        <v>197.06113113149686</v>
      </c>
      <c r="F1232" s="1">
        <f t="shared" si="70"/>
        <v>-69.264937022498003</v>
      </c>
      <c r="G1232" s="1">
        <f t="shared" si="68"/>
        <v>8.2912509821797452E-31</v>
      </c>
      <c r="H1232" s="1">
        <f>G1232/$G$21</f>
        <v>5.8141117998466925E-32</v>
      </c>
      <c r="I1232">
        <f>IF($E$11&lt;=D1232, IF(D1232&lt;=$A$15,D1232-$E$11,$F$11),0)</f>
        <v>300</v>
      </c>
      <c r="J1232">
        <f>IF(D1232&lt;=$A$15,0,D1232-$A$15)</f>
        <v>900</v>
      </c>
      <c r="K1232" s="5">
        <f>IF(D1232&lt;$E$11,H1232,0)</f>
        <v>0</v>
      </c>
      <c r="L1232">
        <f>IF(D1232&lt;$A$15,$C$11,$C$11*(1-$G$11))</f>
        <v>200</v>
      </c>
      <c r="M1232">
        <f>IF(D1232&lt;$A$15,0,1)</f>
        <v>1</v>
      </c>
    </row>
    <row r="1233" spans="4:13" x14ac:dyDescent="0.2">
      <c r="D1233">
        <f t="shared" si="69"/>
        <v>1210</v>
      </c>
      <c r="E1233" s="1">
        <f t="shared" si="71"/>
        <v>196.98417009036075</v>
      </c>
      <c r="F1233" s="1">
        <f t="shared" si="70"/>
        <v>-69.341898063634119</v>
      </c>
      <c r="G1233" s="1">
        <f t="shared" si="68"/>
        <v>7.6770842427591199E-31</v>
      </c>
      <c r="H1233" s="1">
        <f>G1233/$G$21</f>
        <v>5.3834368517099684E-32</v>
      </c>
      <c r="I1233">
        <f>IF($E$11&lt;=D1233, IF(D1233&lt;=$A$15,D1233-$E$11,$F$11),0)</f>
        <v>300</v>
      </c>
      <c r="J1233">
        <f>IF(D1233&lt;=$A$15,0,D1233-$A$15)</f>
        <v>901</v>
      </c>
      <c r="K1233" s="5">
        <f>IF(D1233&lt;$E$11,H1233,0)</f>
        <v>0</v>
      </c>
      <c r="L1233">
        <f>IF(D1233&lt;$A$15,$C$11,$C$11*(1-$G$11))</f>
        <v>200</v>
      </c>
      <c r="M1233">
        <f>IF(D1233&lt;$A$15,0,1)</f>
        <v>1</v>
      </c>
    </row>
    <row r="1234" spans="4:13" x14ac:dyDescent="0.2">
      <c r="D1234">
        <f t="shared" si="69"/>
        <v>1211</v>
      </c>
      <c r="E1234" s="1">
        <f t="shared" si="71"/>
        <v>196.90720904922463</v>
      </c>
      <c r="F1234" s="1">
        <f t="shared" si="70"/>
        <v>-69.418859104770235</v>
      </c>
      <c r="G1234" s="1">
        <f t="shared" si="68"/>
        <v>7.1084113358881643E-31</v>
      </c>
      <c r="H1234" s="1">
        <f>G1234/$G$21</f>
        <v>4.9846637515833676E-32</v>
      </c>
      <c r="I1234">
        <f>IF($E$11&lt;=D1234, IF(D1234&lt;=$A$15,D1234-$E$11,$F$11),0)</f>
        <v>300</v>
      </c>
      <c r="J1234">
        <f>IF(D1234&lt;=$A$15,0,D1234-$A$15)</f>
        <v>902</v>
      </c>
      <c r="K1234" s="5">
        <f>IF(D1234&lt;$E$11,H1234,0)</f>
        <v>0</v>
      </c>
      <c r="L1234">
        <f>IF(D1234&lt;$A$15,$C$11,$C$11*(1-$G$11))</f>
        <v>200</v>
      </c>
      <c r="M1234">
        <f>IF(D1234&lt;$A$15,0,1)</f>
        <v>1</v>
      </c>
    </row>
    <row r="1235" spans="4:13" x14ac:dyDescent="0.2">
      <c r="D1235">
        <f t="shared" si="69"/>
        <v>1212</v>
      </c>
      <c r="E1235" s="1">
        <f t="shared" si="71"/>
        <v>196.83024800808852</v>
      </c>
      <c r="F1235" s="1">
        <f t="shared" si="70"/>
        <v>-69.49582014590635</v>
      </c>
      <c r="G1235" s="1">
        <f t="shared" si="68"/>
        <v>6.5818623480446793E-31</v>
      </c>
      <c r="H1235" s="1">
        <f>G1235/$G$21</f>
        <v>4.6154293996142868E-32</v>
      </c>
      <c r="I1235">
        <f>IF($E$11&lt;=D1235, IF(D1235&lt;=$A$15,D1235-$E$11,$F$11),0)</f>
        <v>300</v>
      </c>
      <c r="J1235">
        <f>IF(D1235&lt;=$A$15,0,D1235-$A$15)</f>
        <v>903</v>
      </c>
      <c r="K1235" s="5">
        <f>IF(D1235&lt;$E$11,H1235,0)</f>
        <v>0</v>
      </c>
      <c r="L1235">
        <f>IF(D1235&lt;$A$15,$C$11,$C$11*(1-$G$11))</f>
        <v>200</v>
      </c>
      <c r="M1235">
        <f>IF(D1235&lt;$A$15,0,1)</f>
        <v>1</v>
      </c>
    </row>
    <row r="1236" spans="4:13" x14ac:dyDescent="0.2">
      <c r="D1236">
        <f t="shared" si="69"/>
        <v>1213</v>
      </c>
      <c r="E1236" s="1">
        <f t="shared" si="71"/>
        <v>196.7532869669524</v>
      </c>
      <c r="F1236" s="1">
        <f t="shared" si="70"/>
        <v>-69.572781187042466</v>
      </c>
      <c r="G1236" s="1">
        <f t="shared" si="68"/>
        <v>6.0943169889303361E-31</v>
      </c>
      <c r="H1236" s="1">
        <f>G1236/$G$21</f>
        <v>4.2735457403836534E-32</v>
      </c>
      <c r="I1236">
        <f>IF($E$11&lt;=D1236, IF(D1236&lt;=$A$15,D1236-$E$11,$F$11),0)</f>
        <v>300</v>
      </c>
      <c r="J1236">
        <f>IF(D1236&lt;=$A$15,0,D1236-$A$15)</f>
        <v>904</v>
      </c>
      <c r="K1236" s="5">
        <f>IF(D1236&lt;$E$11,H1236,0)</f>
        <v>0</v>
      </c>
      <c r="L1236">
        <f>IF(D1236&lt;$A$15,$C$11,$C$11*(1-$G$11))</f>
        <v>200</v>
      </c>
      <c r="M1236">
        <f>IF(D1236&lt;$A$15,0,1)</f>
        <v>1</v>
      </c>
    </row>
    <row r="1237" spans="4:13" x14ac:dyDescent="0.2">
      <c r="D1237">
        <f t="shared" si="69"/>
        <v>1214</v>
      </c>
      <c r="E1237" s="1">
        <f t="shared" si="71"/>
        <v>196.67632592581629</v>
      </c>
      <c r="F1237" s="1">
        <f t="shared" si="70"/>
        <v>-69.649742228178582</v>
      </c>
      <c r="G1237" s="1">
        <f t="shared" si="68"/>
        <v>5.642886100861493E-31</v>
      </c>
      <c r="H1237" s="1">
        <f>G1237/$G$21</f>
        <v>3.9569867966515806E-32</v>
      </c>
      <c r="I1237">
        <f>IF($E$11&lt;=D1237, IF(D1237&lt;=$A$15,D1237-$E$11,$F$11),0)</f>
        <v>300</v>
      </c>
      <c r="J1237">
        <f>IF(D1237&lt;=$A$15,0,D1237-$A$15)</f>
        <v>905</v>
      </c>
      <c r="K1237" s="5">
        <f>IF(D1237&lt;$E$11,H1237,0)</f>
        <v>0</v>
      </c>
      <c r="L1237">
        <f>IF(D1237&lt;$A$15,$C$11,$C$11*(1-$G$11))</f>
        <v>200</v>
      </c>
      <c r="M1237">
        <f>IF(D1237&lt;$A$15,0,1)</f>
        <v>1</v>
      </c>
    </row>
    <row r="1238" spans="4:13" x14ac:dyDescent="0.2">
      <c r="D1238">
        <f t="shared" si="69"/>
        <v>1215</v>
      </c>
      <c r="E1238" s="1">
        <f t="shared" si="71"/>
        <v>196.59936488468017</v>
      </c>
      <c r="F1238" s="1">
        <f t="shared" si="70"/>
        <v>-69.726703269314697</v>
      </c>
      <c r="G1238" s="1">
        <f t="shared" si="68"/>
        <v>5.2248945378347819E-31</v>
      </c>
      <c r="H1238" s="1">
        <f>G1238/$G$21</f>
        <v>3.6638766635663244E-32</v>
      </c>
      <c r="I1238">
        <f>IF($E$11&lt;=D1238, IF(D1238&lt;=$A$15,D1238-$E$11,$F$11),0)</f>
        <v>300</v>
      </c>
      <c r="J1238">
        <f>IF(D1238&lt;=$A$15,0,D1238-$A$15)</f>
        <v>906</v>
      </c>
      <c r="K1238" s="5">
        <f>IF(D1238&lt;$E$11,H1238,0)</f>
        <v>0</v>
      </c>
      <c r="L1238">
        <f>IF(D1238&lt;$A$15,$C$11,$C$11*(1-$G$11))</f>
        <v>200</v>
      </c>
      <c r="M1238">
        <f>IF(D1238&lt;$A$15,0,1)</f>
        <v>1</v>
      </c>
    </row>
    <row r="1239" spans="4:13" x14ac:dyDescent="0.2">
      <c r="D1239">
        <f t="shared" si="69"/>
        <v>1216</v>
      </c>
      <c r="E1239" s="1">
        <f t="shared" si="71"/>
        <v>196.52240384354405</v>
      </c>
      <c r="F1239" s="1">
        <f t="shared" si="70"/>
        <v>-69.803664310450813</v>
      </c>
      <c r="G1239" s="1">
        <f t="shared" si="68"/>
        <v>4.8378653128100442E-31</v>
      </c>
      <c r="H1239" s="1">
        <f>G1239/$G$21</f>
        <v>3.3924783921910841E-32</v>
      </c>
      <c r="I1239">
        <f>IF($E$11&lt;=D1239, IF(D1239&lt;=$A$15,D1239-$E$11,$F$11),0)</f>
        <v>300</v>
      </c>
      <c r="J1239">
        <f>IF(D1239&lt;=$A$15,0,D1239-$A$15)</f>
        <v>907</v>
      </c>
      <c r="K1239" s="5">
        <f>IF(D1239&lt;$E$11,H1239,0)</f>
        <v>0</v>
      </c>
      <c r="L1239">
        <f>IF(D1239&lt;$A$15,$C$11,$C$11*(1-$G$11))</f>
        <v>200</v>
      </c>
      <c r="M1239">
        <f>IF(D1239&lt;$A$15,0,1)</f>
        <v>1</v>
      </c>
    </row>
    <row r="1240" spans="4:13" x14ac:dyDescent="0.2">
      <c r="D1240">
        <f t="shared" si="69"/>
        <v>1217</v>
      </c>
      <c r="E1240" s="1">
        <f t="shared" si="71"/>
        <v>196.44544280240794</v>
      </c>
      <c r="F1240" s="1">
        <f t="shared" si="70"/>
        <v>-69.880625351586929</v>
      </c>
      <c r="G1240" s="1">
        <f t="shared" ref="G1240:G1303" si="72">EXP(F1240)</f>
        <v>4.4795049192686165E-31</v>
      </c>
      <c r="H1240" s="1">
        <f>G1240/$G$21</f>
        <v>3.1411836964732658E-32</v>
      </c>
      <c r="I1240">
        <f>IF($E$11&lt;=D1240, IF(D1240&lt;=$A$15,D1240-$E$11,$F$11),0)</f>
        <v>300</v>
      </c>
      <c r="J1240">
        <f>IF(D1240&lt;=$A$15,0,D1240-$A$15)</f>
        <v>908</v>
      </c>
      <c r="K1240" s="5">
        <f>IF(D1240&lt;$E$11,H1240,0)</f>
        <v>0</v>
      </c>
      <c r="L1240">
        <f>IF(D1240&lt;$A$15,$C$11,$C$11*(1-$G$11))</f>
        <v>200</v>
      </c>
      <c r="M1240">
        <f>IF(D1240&lt;$A$15,0,1)</f>
        <v>1</v>
      </c>
    </row>
    <row r="1241" spans="4:13" x14ac:dyDescent="0.2">
      <c r="D1241">
        <f t="shared" ref="D1241:D1304" si="73">1+D1240</f>
        <v>1218</v>
      </c>
      <c r="E1241" s="1">
        <f t="shared" si="71"/>
        <v>196.36848176127182</v>
      </c>
      <c r="F1241" s="1">
        <f t="shared" ref="F1241:F1304" si="74">E1241-$E$21</f>
        <v>-69.957586392723044</v>
      </c>
      <c r="G1241" s="1">
        <f t="shared" si="72"/>
        <v>4.1476897400635865E-31</v>
      </c>
      <c r="H1241" s="1">
        <f>G1241/$G$21</f>
        <v>2.9085034226604683E-32</v>
      </c>
      <c r="I1241">
        <f>IF($E$11&lt;=D1241, IF(D1241&lt;=$A$15,D1241-$E$11,$F$11),0)</f>
        <v>300</v>
      </c>
      <c r="J1241">
        <f>IF(D1241&lt;=$A$15,0,D1241-$A$15)</f>
        <v>909</v>
      </c>
      <c r="K1241" s="5">
        <f>IF(D1241&lt;$E$11,H1241,0)</f>
        <v>0</v>
      </c>
      <c r="L1241">
        <f>IF(D1241&lt;$A$15,$C$11,$C$11*(1-$G$11))</f>
        <v>200</v>
      </c>
      <c r="M1241">
        <f>IF(D1241&lt;$A$15,0,1)</f>
        <v>1</v>
      </c>
    </row>
    <row r="1242" spans="4:13" x14ac:dyDescent="0.2">
      <c r="D1242">
        <f t="shared" si="73"/>
        <v>1219</v>
      </c>
      <c r="E1242" s="1">
        <f t="shared" si="71"/>
        <v>196.29152072013571</v>
      </c>
      <c r="F1242" s="1">
        <f t="shared" si="74"/>
        <v>-70.03454743385916</v>
      </c>
      <c r="G1242" s="1">
        <f t="shared" si="72"/>
        <v>3.8404534630218876E-31</v>
      </c>
      <c r="H1242" s="1">
        <f>G1242/$G$21</f>
        <v>2.6930587246856525E-32</v>
      </c>
      <c r="I1242">
        <f>IF($E$11&lt;=D1242, IF(D1242&lt;=$A$15,D1242-$E$11,$F$11),0)</f>
        <v>300</v>
      </c>
      <c r="J1242">
        <f>IF(D1242&lt;=$A$15,0,D1242-$A$15)</f>
        <v>910</v>
      </c>
      <c r="K1242" s="5">
        <f>IF(D1242&lt;$E$11,H1242,0)</f>
        <v>0</v>
      </c>
      <c r="L1242">
        <f>IF(D1242&lt;$A$15,$C$11,$C$11*(1-$G$11))</f>
        <v>200</v>
      </c>
      <c r="M1242">
        <f>IF(D1242&lt;$A$15,0,1)</f>
        <v>1</v>
      </c>
    </row>
    <row r="1243" spans="4:13" x14ac:dyDescent="0.2">
      <c r="D1243">
        <f t="shared" si="73"/>
        <v>1220</v>
      </c>
      <c r="E1243" s="1">
        <f t="shared" si="71"/>
        <v>196.21455967899959</v>
      </c>
      <c r="F1243" s="1">
        <f t="shared" si="74"/>
        <v>-70.111508474995276</v>
      </c>
      <c r="G1243" s="1">
        <f t="shared" si="72"/>
        <v>3.555975428724015E-31</v>
      </c>
      <c r="H1243" s="1">
        <f>G1243/$G$21</f>
        <v>2.493572893227488E-32</v>
      </c>
      <c r="I1243">
        <f>IF($E$11&lt;=D1243, IF(D1243&lt;=$A$15,D1243-$E$11,$F$11),0)</f>
        <v>300</v>
      </c>
      <c r="J1243">
        <f>IF(D1243&lt;=$A$15,0,D1243-$A$15)</f>
        <v>911</v>
      </c>
      <c r="K1243" s="5">
        <f>IF(D1243&lt;$E$11,H1243,0)</f>
        <v>0</v>
      </c>
      <c r="L1243">
        <f>IF(D1243&lt;$A$15,$C$11,$C$11*(1-$G$11))</f>
        <v>200</v>
      </c>
      <c r="M1243">
        <f>IF(D1243&lt;$A$15,0,1)</f>
        <v>1</v>
      </c>
    </row>
    <row r="1244" spans="4:13" x14ac:dyDescent="0.2">
      <c r="D1244">
        <f t="shared" si="73"/>
        <v>1221</v>
      </c>
      <c r="E1244" s="1">
        <f t="shared" si="71"/>
        <v>196.13759863786348</v>
      </c>
      <c r="F1244" s="1">
        <f t="shared" si="74"/>
        <v>-70.188469516131391</v>
      </c>
      <c r="G1244" s="1">
        <f t="shared" si="72"/>
        <v>3.2925698414111665E-31</v>
      </c>
      <c r="H1244" s="1">
        <f>G1244/$G$21</f>
        <v>2.3088637900254806E-32</v>
      </c>
      <c r="I1244">
        <f>IF($E$11&lt;=D1244, IF(D1244&lt;=$A$15,D1244-$E$11,$F$11),0)</f>
        <v>300</v>
      </c>
      <c r="J1244">
        <f>IF(D1244&lt;=$A$15,0,D1244-$A$15)</f>
        <v>912</v>
      </c>
      <c r="K1244" s="5">
        <f>IF(D1244&lt;$E$11,H1244,0)</f>
        <v>0</v>
      </c>
      <c r="L1244">
        <f>IF(D1244&lt;$A$15,$C$11,$C$11*(1-$G$11))</f>
        <v>200</v>
      </c>
      <c r="M1244">
        <f>IF(D1244&lt;$A$15,0,1)</f>
        <v>1</v>
      </c>
    </row>
    <row r="1245" spans="4:13" x14ac:dyDescent="0.2">
      <c r="D1245">
        <f t="shared" si="73"/>
        <v>1222</v>
      </c>
      <c r="E1245" s="1">
        <f t="shared" si="71"/>
        <v>196.06063759672736</v>
      </c>
      <c r="F1245" s="1">
        <f t="shared" si="74"/>
        <v>-70.265430557267507</v>
      </c>
      <c r="G1245" s="1">
        <f t="shared" si="72"/>
        <v>3.048675779084452E-31</v>
      </c>
      <c r="H1245" s="1">
        <f>G1245/$G$21</f>
        <v>2.1378368426162128E-32</v>
      </c>
      <c r="I1245">
        <f>IF($E$11&lt;=D1245, IF(D1245&lt;=$A$15,D1245-$E$11,$F$11),0)</f>
        <v>300</v>
      </c>
      <c r="J1245">
        <f>IF(D1245&lt;=$A$15,0,D1245-$A$15)</f>
        <v>913</v>
      </c>
      <c r="K1245" s="5">
        <f>IF(D1245&lt;$E$11,H1245,0)</f>
        <v>0</v>
      </c>
      <c r="L1245">
        <f>IF(D1245&lt;$A$15,$C$11,$C$11*(1-$G$11))</f>
        <v>200</v>
      </c>
      <c r="M1245">
        <f>IF(D1245&lt;$A$15,0,1)</f>
        <v>1</v>
      </c>
    </row>
    <row r="1246" spans="4:13" x14ac:dyDescent="0.2">
      <c r="D1246">
        <f t="shared" si="73"/>
        <v>1223</v>
      </c>
      <c r="E1246" s="1">
        <f t="shared" si="71"/>
        <v>195.98367655559125</v>
      </c>
      <c r="F1246" s="1">
        <f t="shared" si="74"/>
        <v>-70.342391598403623</v>
      </c>
      <c r="G1246" s="1">
        <f t="shared" si="72"/>
        <v>2.8228479435967504E-31</v>
      </c>
      <c r="H1246" s="1">
        <f>G1246/$G$21</f>
        <v>1.979478557978E-32</v>
      </c>
      <c r="I1246">
        <f>IF($E$11&lt;=D1246, IF(D1246&lt;=$A$15,D1246-$E$11,$F$11),0)</f>
        <v>300</v>
      </c>
      <c r="J1246">
        <f>IF(D1246&lt;=$A$15,0,D1246-$A$15)</f>
        <v>914</v>
      </c>
      <c r="K1246" s="5">
        <f>IF(D1246&lt;$E$11,H1246,0)</f>
        <v>0</v>
      </c>
      <c r="L1246">
        <f>IF(D1246&lt;$A$15,$C$11,$C$11*(1-$G$11))</f>
        <v>200</v>
      </c>
      <c r="M1246">
        <f>IF(D1246&lt;$A$15,0,1)</f>
        <v>1</v>
      </c>
    </row>
    <row r="1247" spans="4:13" x14ac:dyDescent="0.2">
      <c r="D1247">
        <f t="shared" si="73"/>
        <v>1224</v>
      </c>
      <c r="E1247" s="1">
        <f t="shared" si="71"/>
        <v>195.90671551445513</v>
      </c>
      <c r="F1247" s="1">
        <f t="shared" si="74"/>
        <v>-70.419352639539738</v>
      </c>
      <c r="G1247" s="1">
        <f t="shared" si="72"/>
        <v>2.6137480959229504E-31</v>
      </c>
      <c r="H1247" s="1">
        <f>G1247/$G$21</f>
        <v>1.8328505166463197E-32</v>
      </c>
      <c r="I1247">
        <f>IF($E$11&lt;=D1247, IF(D1247&lt;=$A$15,D1247-$E$11,$F$11),0)</f>
        <v>300</v>
      </c>
      <c r="J1247">
        <f>IF(D1247&lt;=$A$15,0,D1247-$A$15)</f>
        <v>915</v>
      </c>
      <c r="K1247" s="5">
        <f>IF(D1247&lt;$E$11,H1247,0)</f>
        <v>0</v>
      </c>
      <c r="L1247">
        <f>IF(D1247&lt;$A$15,$C$11,$C$11*(1-$G$11))</f>
        <v>200</v>
      </c>
      <c r="M1247">
        <f>IF(D1247&lt;$A$15,0,1)</f>
        <v>1</v>
      </c>
    </row>
    <row r="1248" spans="4:13" x14ac:dyDescent="0.2">
      <c r="D1248">
        <f t="shared" si="73"/>
        <v>1225</v>
      </c>
      <c r="E1248" s="1">
        <f t="shared" si="71"/>
        <v>195.82975447331901</v>
      </c>
      <c r="F1248" s="1">
        <f t="shared" si="74"/>
        <v>-70.496313680675854</v>
      </c>
      <c r="G1248" s="1">
        <f t="shared" si="72"/>
        <v>2.4201371258546141E-31</v>
      </c>
      <c r="H1248" s="1">
        <f>G1248/$G$21</f>
        <v>1.6970838117095766E-32</v>
      </c>
      <c r="I1248">
        <f>IF($E$11&lt;=D1248, IF(D1248&lt;=$A$15,D1248-$E$11,$F$11),0)</f>
        <v>300</v>
      </c>
      <c r="J1248">
        <f>IF(D1248&lt;=$A$15,0,D1248-$A$15)</f>
        <v>916</v>
      </c>
      <c r="K1248" s="5">
        <f>IF(D1248&lt;$E$11,H1248,0)</f>
        <v>0</v>
      </c>
      <c r="L1248">
        <f>IF(D1248&lt;$A$15,$C$11,$C$11*(1-$G$11))</f>
        <v>200</v>
      </c>
      <c r="M1248">
        <f>IF(D1248&lt;$A$15,0,1)</f>
        <v>1</v>
      </c>
    </row>
    <row r="1249" spans="4:13" x14ac:dyDescent="0.2">
      <c r="D1249">
        <f t="shared" si="73"/>
        <v>1226</v>
      </c>
      <c r="E1249" s="1">
        <f t="shared" si="71"/>
        <v>195.7527934321829</v>
      </c>
      <c r="F1249" s="1">
        <f t="shared" si="74"/>
        <v>-70.57327472181197</v>
      </c>
      <c r="G1249" s="1">
        <f t="shared" si="72"/>
        <v>2.2408677091246711E-31</v>
      </c>
      <c r="H1249" s="1">
        <f>G1249/$G$21</f>
        <v>1.5713738997311094E-32</v>
      </c>
      <c r="I1249">
        <f>IF($E$11&lt;=D1249, IF(D1249&lt;=$A$15,D1249-$E$11,$F$11),0)</f>
        <v>300</v>
      </c>
      <c r="J1249">
        <f>IF(D1249&lt;=$A$15,0,D1249-$A$15)</f>
        <v>917</v>
      </c>
      <c r="K1249" s="5">
        <f>IF(D1249&lt;$E$11,H1249,0)</f>
        <v>0</v>
      </c>
      <c r="L1249">
        <f>IF(D1249&lt;$A$15,$C$11,$C$11*(1-$G$11))</f>
        <v>200</v>
      </c>
      <c r="M1249">
        <f>IF(D1249&lt;$A$15,0,1)</f>
        <v>1</v>
      </c>
    </row>
    <row r="1250" spans="4:13" x14ac:dyDescent="0.2">
      <c r="D1250">
        <f t="shared" si="73"/>
        <v>1227</v>
      </c>
      <c r="E1250" s="1">
        <f t="shared" si="71"/>
        <v>195.67583239104678</v>
      </c>
      <c r="F1250" s="1">
        <f t="shared" si="74"/>
        <v>-70.650235762948085</v>
      </c>
      <c r="G1250" s="1">
        <f t="shared" si="72"/>
        <v>2.0748775084487957E-31</v>
      </c>
      <c r="H1250" s="1">
        <f>G1250/$G$21</f>
        <v>1.4549758330843787E-32</v>
      </c>
      <c r="I1250">
        <f>IF($E$11&lt;=D1250, IF(D1250&lt;=$A$15,D1250-$E$11,$F$11),0)</f>
        <v>300</v>
      </c>
      <c r="J1250">
        <f>IF(D1250&lt;=$A$15,0,D1250-$A$15)</f>
        <v>918</v>
      </c>
      <c r="K1250" s="5">
        <f>IF(D1250&lt;$E$11,H1250,0)</f>
        <v>0</v>
      </c>
      <c r="L1250">
        <f>IF(D1250&lt;$A$15,$C$11,$C$11*(1-$G$11))</f>
        <v>200</v>
      </c>
      <c r="M1250">
        <f>IF(D1250&lt;$A$15,0,1)</f>
        <v>1</v>
      </c>
    </row>
    <row r="1251" spans="4:13" x14ac:dyDescent="0.2">
      <c r="D1251">
        <f t="shared" si="73"/>
        <v>1228</v>
      </c>
      <c r="E1251" s="1">
        <f t="shared" si="71"/>
        <v>195.59887134991067</v>
      </c>
      <c r="F1251" s="1">
        <f t="shared" si="74"/>
        <v>-70.727196804084201</v>
      </c>
      <c r="G1251" s="1">
        <f t="shared" si="72"/>
        <v>1.9211828781933536E-31</v>
      </c>
      <c r="H1251" s="1">
        <f>G1251/$G$21</f>
        <v>1.3471998454485158E-32</v>
      </c>
      <c r="I1251">
        <f>IF($E$11&lt;=D1251, IF(D1251&lt;=$A$15,D1251-$E$11,$F$11),0)</f>
        <v>300</v>
      </c>
      <c r="J1251">
        <f>IF(D1251&lt;=$A$15,0,D1251-$A$15)</f>
        <v>919</v>
      </c>
      <c r="K1251" s="5">
        <f>IF(D1251&lt;$E$11,H1251,0)</f>
        <v>0</v>
      </c>
      <c r="L1251">
        <f>IF(D1251&lt;$A$15,$C$11,$C$11*(1-$G$11))</f>
        <v>200</v>
      </c>
      <c r="M1251">
        <f>IF(D1251&lt;$A$15,0,1)</f>
        <v>1</v>
      </c>
    </row>
    <row r="1252" spans="4:13" x14ac:dyDescent="0.2">
      <c r="D1252">
        <f t="shared" si="73"/>
        <v>1229</v>
      </c>
      <c r="E1252" s="1">
        <f t="shared" si="71"/>
        <v>195.52191030877455</v>
      </c>
      <c r="F1252" s="1">
        <f t="shared" si="74"/>
        <v>-70.804157845220317</v>
      </c>
      <c r="G1252" s="1">
        <f t="shared" si="72"/>
        <v>1.7788730353642388E-31</v>
      </c>
      <c r="H1252" s="1">
        <f>G1252/$G$21</f>
        <v>1.2474072643041971E-32</v>
      </c>
      <c r="I1252">
        <f>IF($E$11&lt;=D1252, IF(D1252&lt;=$A$15,D1252-$E$11,$F$11),0)</f>
        <v>300</v>
      </c>
      <c r="J1252">
        <f>IF(D1252&lt;=$A$15,0,D1252-$A$15)</f>
        <v>920</v>
      </c>
      <c r="K1252" s="5">
        <f>IF(D1252&lt;$E$11,H1252,0)</f>
        <v>0</v>
      </c>
      <c r="L1252">
        <f>IF(D1252&lt;$A$15,$C$11,$C$11*(1-$G$11))</f>
        <v>200</v>
      </c>
      <c r="M1252">
        <f>IF(D1252&lt;$A$15,0,1)</f>
        <v>1</v>
      </c>
    </row>
    <row r="1253" spans="4:13" x14ac:dyDescent="0.2">
      <c r="D1253">
        <f t="shared" si="73"/>
        <v>1230</v>
      </c>
      <c r="E1253" s="1">
        <f t="shared" si="71"/>
        <v>195.44494926763844</v>
      </c>
      <c r="F1253" s="1">
        <f t="shared" si="74"/>
        <v>-70.881118886356433</v>
      </c>
      <c r="G1253" s="1">
        <f t="shared" si="72"/>
        <v>1.647104662374316E-31</v>
      </c>
      <c r="H1253" s="1">
        <f>G1253/$G$21</f>
        <v>1.1550067262076046E-32</v>
      </c>
      <c r="I1253">
        <f>IF($E$11&lt;=D1253, IF(D1253&lt;=$A$15,D1253-$E$11,$F$11),0)</f>
        <v>300</v>
      </c>
      <c r="J1253">
        <f>IF(D1253&lt;=$A$15,0,D1253-$A$15)</f>
        <v>921</v>
      </c>
      <c r="K1253" s="5">
        <f>IF(D1253&lt;$E$11,H1253,0)</f>
        <v>0</v>
      </c>
      <c r="L1253">
        <f>IF(D1253&lt;$A$15,$C$11,$C$11*(1-$G$11))</f>
        <v>200</v>
      </c>
      <c r="M1253">
        <f>IF(D1253&lt;$A$15,0,1)</f>
        <v>1</v>
      </c>
    </row>
    <row r="1254" spans="4:13" x14ac:dyDescent="0.2">
      <c r="D1254">
        <f t="shared" si="73"/>
        <v>1231</v>
      </c>
      <c r="E1254" s="1">
        <f t="shared" si="71"/>
        <v>195.36798822650232</v>
      </c>
      <c r="F1254" s="1">
        <f t="shared" si="74"/>
        <v>-70.958079927492548</v>
      </c>
      <c r="G1254" s="1">
        <f t="shared" si="72"/>
        <v>1.5250969096058676E-31</v>
      </c>
      <c r="H1254" s="1">
        <f>G1254/$G$21</f>
        <v>1.0694506724144623E-32</v>
      </c>
      <c r="I1254">
        <f>IF($E$11&lt;=D1254, IF(D1254&lt;=$A$15,D1254-$E$11,$F$11),0)</f>
        <v>300</v>
      </c>
      <c r="J1254">
        <f>IF(D1254&lt;=$A$15,0,D1254-$A$15)</f>
        <v>922</v>
      </c>
      <c r="K1254" s="5">
        <f>IF(D1254&lt;$E$11,H1254,0)</f>
        <v>0</v>
      </c>
      <c r="L1254">
        <f>IF(D1254&lt;$A$15,$C$11,$C$11*(1-$G$11))</f>
        <v>200</v>
      </c>
      <c r="M1254">
        <f>IF(D1254&lt;$A$15,0,1)</f>
        <v>1</v>
      </c>
    </row>
    <row r="1255" spans="4:13" x14ac:dyDescent="0.2">
      <c r="D1255">
        <f t="shared" si="73"/>
        <v>1232</v>
      </c>
      <c r="E1255" s="1">
        <f t="shared" si="71"/>
        <v>195.2910271853662</v>
      </c>
      <c r="F1255" s="1">
        <f t="shared" si="74"/>
        <v>-71.035040968628664</v>
      </c>
      <c r="G1255" s="1">
        <f t="shared" si="72"/>
        <v>1.4121267681535988E-31</v>
      </c>
      <c r="H1255" s="1">
        <f>G1255/$G$21</f>
        <v>9.9023210408747747E-33</v>
      </c>
      <c r="I1255">
        <f>IF($E$11&lt;=D1255, IF(D1255&lt;=$A$15,D1255-$E$11,$F$11),0)</f>
        <v>300</v>
      </c>
      <c r="J1255">
        <f>IF(D1255&lt;=$A$15,0,D1255-$A$15)</f>
        <v>923</v>
      </c>
      <c r="K1255" s="5">
        <f>IF(D1255&lt;$E$11,H1255,0)</f>
        <v>0</v>
      </c>
      <c r="L1255">
        <f>IF(D1255&lt;$A$15,$C$11,$C$11*(1-$G$11))</f>
        <v>200</v>
      </c>
      <c r="M1255">
        <f>IF(D1255&lt;$A$15,0,1)</f>
        <v>1</v>
      </c>
    </row>
    <row r="1256" spans="4:13" x14ac:dyDescent="0.2">
      <c r="D1256">
        <f t="shared" si="73"/>
        <v>1233</v>
      </c>
      <c r="E1256" s="1">
        <f t="shared" si="71"/>
        <v>195.21406614423009</v>
      </c>
      <c r="F1256" s="1">
        <f t="shared" si="74"/>
        <v>-71.11200200976478</v>
      </c>
      <c r="G1256" s="1">
        <f t="shared" si="72"/>
        <v>1.3075247853274228E-31</v>
      </c>
      <c r="H1256" s="1">
        <f>G1256/$G$21</f>
        <v>9.1688157785878704E-33</v>
      </c>
      <c r="I1256">
        <f>IF($E$11&lt;=D1256, IF(D1256&lt;=$A$15,D1256-$E$11,$F$11),0)</f>
        <v>300</v>
      </c>
      <c r="J1256">
        <f>IF(D1256&lt;=$A$15,0,D1256-$A$15)</f>
        <v>924</v>
      </c>
      <c r="K1256" s="5">
        <f>IF(D1256&lt;$E$11,H1256,0)</f>
        <v>0</v>
      </c>
      <c r="L1256">
        <f>IF(D1256&lt;$A$15,$C$11,$C$11*(1-$G$11))</f>
        <v>200</v>
      </c>
      <c r="M1256">
        <f>IF(D1256&lt;$A$15,0,1)</f>
        <v>1</v>
      </c>
    </row>
    <row r="1257" spans="4:13" x14ac:dyDescent="0.2">
      <c r="D1257">
        <f t="shared" si="73"/>
        <v>1234</v>
      </c>
      <c r="E1257" s="1">
        <f t="shared" si="71"/>
        <v>195.13710510309397</v>
      </c>
      <c r="F1257" s="1">
        <f t="shared" si="74"/>
        <v>-71.188963050900895</v>
      </c>
      <c r="G1257" s="1">
        <f t="shared" si="72"/>
        <v>1.2106710975254069E-31</v>
      </c>
      <c r="H1257" s="1">
        <f>G1257/$G$21</f>
        <v>8.4896442394333206E-33</v>
      </c>
      <c r="I1257">
        <f>IF($E$11&lt;=D1257, IF(D1257&lt;=$A$15,D1257-$E$11,$F$11),0)</f>
        <v>300</v>
      </c>
      <c r="J1257">
        <f>IF(D1257&lt;=$A$15,0,D1257-$A$15)</f>
        <v>925</v>
      </c>
      <c r="K1257" s="5">
        <f>IF(D1257&lt;$E$11,H1257,0)</f>
        <v>0</v>
      </c>
      <c r="L1257">
        <f>IF(D1257&lt;$A$15,$C$11,$C$11*(1-$G$11))</f>
        <v>200</v>
      </c>
      <c r="M1257">
        <f>IF(D1257&lt;$A$15,0,1)</f>
        <v>1</v>
      </c>
    </row>
    <row r="1258" spans="4:13" x14ac:dyDescent="0.2">
      <c r="D1258">
        <f t="shared" si="73"/>
        <v>1235</v>
      </c>
      <c r="E1258" s="1">
        <f t="shared" si="71"/>
        <v>195.06014406195786</v>
      </c>
      <c r="F1258" s="1">
        <f t="shared" si="74"/>
        <v>-71.265924092037011</v>
      </c>
      <c r="G1258" s="1">
        <f t="shared" si="72"/>
        <v>1.1209917569679836E-31</v>
      </c>
      <c r="H1258" s="1">
        <f>G1258/$G$21</f>
        <v>7.8607817031791011E-33</v>
      </c>
      <c r="I1258">
        <f>IF($E$11&lt;=D1258, IF(D1258&lt;=$A$15,D1258-$E$11,$F$11),0)</f>
        <v>300</v>
      </c>
      <c r="J1258">
        <f>IF(D1258&lt;=$A$15,0,D1258-$A$15)</f>
        <v>926</v>
      </c>
      <c r="K1258" s="5">
        <f>IF(D1258&lt;$E$11,H1258,0)</f>
        <v>0</v>
      </c>
      <c r="L1258">
        <f>IF(D1258&lt;$A$15,$C$11,$C$11*(1-$G$11))</f>
        <v>200</v>
      </c>
      <c r="M1258">
        <f>IF(D1258&lt;$A$15,0,1)</f>
        <v>1</v>
      </c>
    </row>
    <row r="1259" spans="4:13" x14ac:dyDescent="0.2">
      <c r="D1259">
        <f t="shared" si="73"/>
        <v>1236</v>
      </c>
      <c r="E1259" s="1">
        <f t="shared" si="71"/>
        <v>194.98318302082174</v>
      </c>
      <c r="F1259" s="1">
        <f t="shared" si="74"/>
        <v>-71.342885133173127</v>
      </c>
      <c r="G1259" s="1">
        <f t="shared" si="72"/>
        <v>1.0379553305259237E-31</v>
      </c>
      <c r="H1259" s="1">
        <f>G1259/$G$21</f>
        <v>7.2785015770177769E-33</v>
      </c>
      <c r="I1259">
        <f>IF($E$11&lt;=D1259, IF(D1259&lt;=$A$15,D1259-$E$11,$F$11),0)</f>
        <v>300</v>
      </c>
      <c r="J1259">
        <f>IF(D1259&lt;=$A$15,0,D1259-$A$15)</f>
        <v>927</v>
      </c>
      <c r="K1259" s="5">
        <f>IF(D1259&lt;$E$11,H1259,0)</f>
        <v>0</v>
      </c>
      <c r="L1259">
        <f>IF(D1259&lt;$A$15,$C$11,$C$11*(1-$G$11))</f>
        <v>200</v>
      </c>
      <c r="M1259">
        <f>IF(D1259&lt;$A$15,0,1)</f>
        <v>1</v>
      </c>
    </row>
    <row r="1260" spans="4:13" x14ac:dyDescent="0.2">
      <c r="D1260">
        <f t="shared" si="73"/>
        <v>1237</v>
      </c>
      <c r="E1260" s="1">
        <f t="shared" si="71"/>
        <v>194.90622197968563</v>
      </c>
      <c r="F1260" s="1">
        <f t="shared" si="74"/>
        <v>-71.419846174309242</v>
      </c>
      <c r="G1260" s="1">
        <f t="shared" si="72"/>
        <v>9.6106975048697863E-32</v>
      </c>
      <c r="H1260" s="1">
        <f>G1260/$G$21</f>
        <v>6.7393533120535836E-33</v>
      </c>
      <c r="I1260">
        <f>IF($E$11&lt;=D1260, IF(D1260&lt;=$A$15,D1260-$E$11,$F$11),0)</f>
        <v>300</v>
      </c>
      <c r="J1260">
        <f>IF(D1260&lt;=$A$15,0,D1260-$A$15)</f>
        <v>928</v>
      </c>
      <c r="K1260" s="5">
        <f>IF(D1260&lt;$E$11,H1260,0)</f>
        <v>0</v>
      </c>
      <c r="L1260">
        <f>IF(D1260&lt;$A$15,$C$11,$C$11*(1-$G$11))</f>
        <v>200</v>
      </c>
      <c r="M1260">
        <f>IF(D1260&lt;$A$15,0,1)</f>
        <v>1</v>
      </c>
    </row>
    <row r="1261" spans="4:13" x14ac:dyDescent="0.2">
      <c r="D1261">
        <f t="shared" si="73"/>
        <v>1238</v>
      </c>
      <c r="E1261" s="1">
        <f t="shared" si="71"/>
        <v>194.82926093854951</v>
      </c>
      <c r="F1261" s="1">
        <f t="shared" si="74"/>
        <v>-71.496807215445358</v>
      </c>
      <c r="G1261" s="1">
        <f t="shared" si="72"/>
        <v>8.8987939859906551E-32</v>
      </c>
      <c r="H1261" s="1">
        <f>G1261/$G$21</f>
        <v>6.2401419556052477E-33</v>
      </c>
      <c r="I1261">
        <f>IF($E$11&lt;=D1261, IF(D1261&lt;=$A$15,D1261-$E$11,$F$11),0)</f>
        <v>300</v>
      </c>
      <c r="J1261">
        <f>IF(D1261&lt;=$A$15,0,D1261-$A$15)</f>
        <v>929</v>
      </c>
      <c r="K1261" s="5">
        <f>IF(D1261&lt;$E$11,H1261,0)</f>
        <v>0</v>
      </c>
      <c r="L1261">
        <f>IF(D1261&lt;$A$15,$C$11,$C$11*(1-$G$11))</f>
        <v>200</v>
      </c>
      <c r="M1261">
        <f>IF(D1261&lt;$A$15,0,1)</f>
        <v>1</v>
      </c>
    </row>
    <row r="1262" spans="4:13" x14ac:dyDescent="0.2">
      <c r="D1262">
        <f t="shared" si="73"/>
        <v>1239</v>
      </c>
      <c r="E1262" s="1">
        <f t="shared" si="71"/>
        <v>194.75229989741339</v>
      </c>
      <c r="F1262" s="1">
        <f t="shared" si="74"/>
        <v>-71.573768256581474</v>
      </c>
      <c r="G1262" s="1">
        <f t="shared" si="72"/>
        <v>8.2396240611025628E-32</v>
      </c>
      <c r="H1262" s="1">
        <f>G1262/$G$21</f>
        <v>5.777909218153081E-33</v>
      </c>
      <c r="I1262">
        <f>IF($E$11&lt;=D1262, IF(D1262&lt;=$A$15,D1262-$E$11,$F$11),0)</f>
        <v>300</v>
      </c>
      <c r="J1262">
        <f>IF(D1262&lt;=$A$15,0,D1262-$A$15)</f>
        <v>930</v>
      </c>
      <c r="K1262" s="5">
        <f>IF(D1262&lt;$E$11,H1262,0)</f>
        <v>0</v>
      </c>
      <c r="L1262">
        <f>IF(D1262&lt;$A$15,$C$11,$C$11*(1-$G$11))</f>
        <v>200</v>
      </c>
      <c r="M1262">
        <f>IF(D1262&lt;$A$15,0,1)</f>
        <v>1</v>
      </c>
    </row>
    <row r="1263" spans="4:13" x14ac:dyDescent="0.2">
      <c r="D1263">
        <f t="shared" si="73"/>
        <v>1240</v>
      </c>
      <c r="E1263" s="1">
        <f t="shared" si="71"/>
        <v>194.67533885627728</v>
      </c>
      <c r="F1263" s="1">
        <f t="shared" si="74"/>
        <v>-71.650729297717589</v>
      </c>
      <c r="G1263" s="1">
        <f t="shared" si="72"/>
        <v>7.6292815380580244E-32</v>
      </c>
      <c r="H1263" s="1">
        <f>G1263/$G$21</f>
        <v>5.3499159427344016E-33</v>
      </c>
      <c r="I1263">
        <f>IF($E$11&lt;=D1263, IF(D1263&lt;=$A$15,D1263-$E$11,$F$11),0)</f>
        <v>300</v>
      </c>
      <c r="J1263">
        <f>IF(D1263&lt;=$A$15,0,D1263-$A$15)</f>
        <v>931</v>
      </c>
      <c r="K1263" s="5">
        <f>IF(D1263&lt;$E$11,H1263,0)</f>
        <v>0</v>
      </c>
      <c r="L1263">
        <f>IF(D1263&lt;$A$15,$C$11,$C$11*(1-$G$11))</f>
        <v>200</v>
      </c>
      <c r="M1263">
        <f>IF(D1263&lt;$A$15,0,1)</f>
        <v>1</v>
      </c>
    </row>
    <row r="1264" spans="4:13" x14ac:dyDescent="0.2">
      <c r="D1264">
        <f t="shared" si="73"/>
        <v>1241</v>
      </c>
      <c r="E1264" s="1">
        <f t="shared" si="71"/>
        <v>194.59837781514116</v>
      </c>
      <c r="F1264" s="1">
        <f t="shared" si="74"/>
        <v>-71.727690338853705</v>
      </c>
      <c r="G1264" s="1">
        <f t="shared" si="72"/>
        <v>7.0641495722760381E-32</v>
      </c>
      <c r="H1264" s="1">
        <f>G1264/$G$21</f>
        <v>4.9536258729022866E-33</v>
      </c>
      <c r="I1264">
        <f>IF($E$11&lt;=D1264, IF(D1264&lt;=$A$15,D1264-$E$11,$F$11),0)</f>
        <v>300</v>
      </c>
      <c r="J1264">
        <f>IF(D1264&lt;=$A$15,0,D1264-$A$15)</f>
        <v>932</v>
      </c>
      <c r="K1264" s="5">
        <f>IF(D1264&lt;$E$11,H1264,0)</f>
        <v>0</v>
      </c>
      <c r="L1264">
        <f>IF(D1264&lt;$A$15,$C$11,$C$11*(1-$G$11))</f>
        <v>200</v>
      </c>
      <c r="M1264">
        <f>IF(D1264&lt;$A$15,0,1)</f>
        <v>1</v>
      </c>
    </row>
    <row r="1265" spans="4:13" x14ac:dyDescent="0.2">
      <c r="D1265">
        <f t="shared" si="73"/>
        <v>1242</v>
      </c>
      <c r="E1265" s="1">
        <f t="shared" si="71"/>
        <v>194.52141677400505</v>
      </c>
      <c r="F1265" s="1">
        <f t="shared" si="74"/>
        <v>-71.804651379989821</v>
      </c>
      <c r="G1265" s="1">
        <f t="shared" si="72"/>
        <v>6.540879233589007E-32</v>
      </c>
      <c r="H1265" s="1">
        <f>G1265/$G$21</f>
        <v>4.5866906230577309E-33</v>
      </c>
      <c r="I1265">
        <f>IF($E$11&lt;=D1265, IF(D1265&lt;=$A$15,D1265-$E$11,$F$11),0)</f>
        <v>300</v>
      </c>
      <c r="J1265">
        <f>IF(D1265&lt;=$A$15,0,D1265-$A$15)</f>
        <v>933</v>
      </c>
      <c r="K1265" s="5">
        <f>IF(D1265&lt;$E$11,H1265,0)</f>
        <v>0</v>
      </c>
      <c r="L1265">
        <f>IF(D1265&lt;$A$15,$C$11,$C$11*(1-$G$11))</f>
        <v>200</v>
      </c>
      <c r="M1265">
        <f>IF(D1265&lt;$A$15,0,1)</f>
        <v>1</v>
      </c>
    </row>
    <row r="1266" spans="4:13" x14ac:dyDescent="0.2">
      <c r="D1266">
        <f t="shared" si="73"/>
        <v>1243</v>
      </c>
      <c r="E1266" s="1">
        <f t="shared" si="71"/>
        <v>194.44445573286893</v>
      </c>
      <c r="F1266" s="1">
        <f t="shared" si="74"/>
        <v>-71.881612421125936</v>
      </c>
      <c r="G1266" s="1">
        <f t="shared" si="72"/>
        <v>6.0563696607306388E-32</v>
      </c>
      <c r="H1266" s="1">
        <f>G1266/$G$21</f>
        <v>4.2469357620905453E-33</v>
      </c>
      <c r="I1266">
        <f>IF($E$11&lt;=D1266, IF(D1266&lt;=$A$15,D1266-$E$11,$F$11),0)</f>
        <v>300</v>
      </c>
      <c r="J1266">
        <f>IF(D1266&lt;=$A$15,0,D1266-$A$15)</f>
        <v>934</v>
      </c>
      <c r="K1266" s="5">
        <f>IF(D1266&lt;$E$11,H1266,0)</f>
        <v>0</v>
      </c>
      <c r="L1266">
        <f>IF(D1266&lt;$A$15,$C$11,$C$11*(1-$G$11))</f>
        <v>200</v>
      </c>
      <c r="M1266">
        <f>IF(D1266&lt;$A$15,0,1)</f>
        <v>1</v>
      </c>
    </row>
    <row r="1267" spans="4:13" x14ac:dyDescent="0.2">
      <c r="D1267">
        <f t="shared" si="73"/>
        <v>1244</v>
      </c>
      <c r="E1267" s="1">
        <f t="shared" si="71"/>
        <v>194.36749469173282</v>
      </c>
      <c r="F1267" s="1">
        <f t="shared" si="74"/>
        <v>-71.958573462262052</v>
      </c>
      <c r="G1267" s="1">
        <f t="shared" si="72"/>
        <v>5.6077496858617735E-32</v>
      </c>
      <c r="H1267" s="1">
        <f>G1267/$G$21</f>
        <v>3.9323479278616659E-33</v>
      </c>
      <c r="I1267">
        <f>IF($E$11&lt;=D1267, IF(D1267&lt;=$A$15,D1267-$E$11,$F$11),0)</f>
        <v>300</v>
      </c>
      <c r="J1267">
        <f>IF(D1267&lt;=$A$15,0,D1267-$A$15)</f>
        <v>935</v>
      </c>
      <c r="K1267" s="5">
        <f>IF(D1267&lt;$E$11,H1267,0)</f>
        <v>0</v>
      </c>
      <c r="L1267">
        <f>IF(D1267&lt;$A$15,$C$11,$C$11*(1-$G$11))</f>
        <v>200</v>
      </c>
      <c r="M1267">
        <f>IF(D1267&lt;$A$15,0,1)</f>
        <v>1</v>
      </c>
    </row>
    <row r="1268" spans="4:13" x14ac:dyDescent="0.2">
      <c r="D1268">
        <f t="shared" si="73"/>
        <v>1245</v>
      </c>
      <c r="E1268" s="1">
        <f t="shared" si="71"/>
        <v>194.2905336505967</v>
      </c>
      <c r="F1268" s="1">
        <f t="shared" si="74"/>
        <v>-72.035534503398168</v>
      </c>
      <c r="G1268" s="1">
        <f t="shared" si="72"/>
        <v>5.1923608202424481E-32</v>
      </c>
      <c r="H1268" s="1">
        <f>G1268/$G$21</f>
        <v>3.641062896168255E-33</v>
      </c>
      <c r="I1268">
        <f>IF($E$11&lt;=D1268, IF(D1268&lt;=$A$15,D1268-$E$11,$F$11),0)</f>
        <v>300</v>
      </c>
      <c r="J1268">
        <f>IF(D1268&lt;=$A$15,0,D1268-$A$15)</f>
        <v>936</v>
      </c>
      <c r="K1268" s="5">
        <f>IF(D1268&lt;$E$11,H1268,0)</f>
        <v>0</v>
      </c>
      <c r="L1268">
        <f>IF(D1268&lt;$A$15,$C$11,$C$11*(1-$G$11))</f>
        <v>200</v>
      </c>
      <c r="M1268">
        <f>IF(D1268&lt;$A$15,0,1)</f>
        <v>1</v>
      </c>
    </row>
    <row r="1269" spans="4:13" x14ac:dyDescent="0.2">
      <c r="D1269">
        <f t="shared" si="73"/>
        <v>1246</v>
      </c>
      <c r="E1269" s="1">
        <f t="shared" si="71"/>
        <v>194.21357260946058</v>
      </c>
      <c r="F1269" s="1">
        <f t="shared" si="74"/>
        <v>-72.112495544534283</v>
      </c>
      <c r="G1269" s="1">
        <f t="shared" si="72"/>
        <v>4.8077415002245499E-32</v>
      </c>
      <c r="H1269" s="1">
        <f>G1269/$G$21</f>
        <v>3.371354533489167E-33</v>
      </c>
      <c r="I1269">
        <f>IF($E$11&lt;=D1269, IF(D1269&lt;=$A$15,D1269-$E$11,$F$11),0)</f>
        <v>300</v>
      </c>
      <c r="J1269">
        <f>IF(D1269&lt;=$A$15,0,D1269-$A$15)</f>
        <v>937</v>
      </c>
      <c r="K1269" s="5">
        <f>IF(D1269&lt;$E$11,H1269,0)</f>
        <v>0</v>
      </c>
      <c r="L1269">
        <f>IF(D1269&lt;$A$15,$C$11,$C$11*(1-$G$11))</f>
        <v>200</v>
      </c>
      <c r="M1269">
        <f>IF(D1269&lt;$A$15,0,1)</f>
        <v>1</v>
      </c>
    </row>
    <row r="1270" spans="4:13" x14ac:dyDescent="0.2">
      <c r="D1270">
        <f t="shared" si="73"/>
        <v>1247</v>
      </c>
      <c r="E1270" s="1">
        <f t="shared" si="71"/>
        <v>194.13661156832447</v>
      </c>
      <c r="F1270" s="1">
        <f t="shared" si="74"/>
        <v>-72.189456585670399</v>
      </c>
      <c r="G1270" s="1">
        <f t="shared" si="72"/>
        <v>4.4516125002079726E-32</v>
      </c>
      <c r="H1270" s="1">
        <f>G1270/$G$21</f>
        <v>3.1216245680455644E-33</v>
      </c>
      <c r="I1270">
        <f>IF($E$11&lt;=D1270, IF(D1270&lt;=$A$15,D1270-$E$11,$F$11),0)</f>
        <v>300</v>
      </c>
      <c r="J1270">
        <f>IF(D1270&lt;=$A$15,0,D1270-$A$15)</f>
        <v>938</v>
      </c>
      <c r="K1270" s="5">
        <f>IF(D1270&lt;$E$11,H1270,0)</f>
        <v>0</v>
      </c>
      <c r="L1270">
        <f>IF(D1270&lt;$A$15,$C$11,$C$11*(1-$G$11))</f>
        <v>200</v>
      </c>
      <c r="M1270">
        <f>IF(D1270&lt;$A$15,0,1)</f>
        <v>1</v>
      </c>
    </row>
    <row r="1271" spans="4:13" x14ac:dyDescent="0.2">
      <c r="D1271">
        <f t="shared" si="73"/>
        <v>1248</v>
      </c>
      <c r="E1271" s="1">
        <f t="shared" si="71"/>
        <v>194.05965052718835</v>
      </c>
      <c r="F1271" s="1">
        <f t="shared" si="74"/>
        <v>-72.266417626806515</v>
      </c>
      <c r="G1271" s="1">
        <f t="shared" si="72"/>
        <v>4.1218634261185453E-32</v>
      </c>
      <c r="H1271" s="1">
        <f>G1271/$G$21</f>
        <v>2.8903931185607447E-33</v>
      </c>
      <c r="I1271">
        <f>IF($E$11&lt;=D1271, IF(D1271&lt;=$A$15,D1271-$E$11,$F$11),0)</f>
        <v>300</v>
      </c>
      <c r="J1271">
        <f>IF(D1271&lt;=$A$15,0,D1271-$A$15)</f>
        <v>939</v>
      </c>
      <c r="K1271" s="5">
        <f>IF(D1271&lt;$E$11,H1271,0)</f>
        <v>0</v>
      </c>
      <c r="L1271">
        <f>IF(D1271&lt;$A$15,$C$11,$C$11*(1-$G$11))</f>
        <v>200</v>
      </c>
      <c r="M1271">
        <f>IF(D1271&lt;$A$15,0,1)</f>
        <v>1</v>
      </c>
    </row>
    <row r="1272" spans="4:13" x14ac:dyDescent="0.2">
      <c r="D1272">
        <f t="shared" si="73"/>
        <v>1249</v>
      </c>
      <c r="E1272" s="1">
        <f t="shared" si="71"/>
        <v>193.98268948605224</v>
      </c>
      <c r="F1272" s="1">
        <f t="shared" si="74"/>
        <v>-72.34337866794263</v>
      </c>
      <c r="G1272" s="1">
        <f t="shared" si="72"/>
        <v>3.8165402093690719E-32</v>
      </c>
      <c r="H1272" s="1">
        <f>G1272/$G$21</f>
        <v>2.676289924593316E-33</v>
      </c>
      <c r="I1272">
        <f>IF($E$11&lt;=D1272, IF(D1272&lt;=$A$15,D1272-$E$11,$F$11),0)</f>
        <v>300</v>
      </c>
      <c r="J1272">
        <f>IF(D1272&lt;=$A$15,0,D1272-$A$15)</f>
        <v>940</v>
      </c>
      <c r="K1272" s="5">
        <f>IF(D1272&lt;$E$11,H1272,0)</f>
        <v>0</v>
      </c>
      <c r="L1272">
        <f>IF(D1272&lt;$A$15,$C$11,$C$11*(1-$G$11))</f>
        <v>200</v>
      </c>
      <c r="M1272">
        <f>IF(D1272&lt;$A$15,0,1)</f>
        <v>1</v>
      </c>
    </row>
    <row r="1273" spans="4:13" x14ac:dyDescent="0.2">
      <c r="D1273">
        <f t="shared" si="73"/>
        <v>1250</v>
      </c>
      <c r="E1273" s="1">
        <f t="shared" si="71"/>
        <v>193.90572844491612</v>
      </c>
      <c r="F1273" s="1">
        <f t="shared" si="74"/>
        <v>-72.420339709078746</v>
      </c>
      <c r="G1273" s="1">
        <f t="shared" si="72"/>
        <v>3.5338335271936297E-32</v>
      </c>
      <c r="H1273" s="1">
        <f>G1273/$G$21</f>
        <v>2.478046226475324E-33</v>
      </c>
      <c r="I1273">
        <f>IF($E$11&lt;=D1273, IF(D1273&lt;=$A$15,D1273-$E$11,$F$11),0)</f>
        <v>300</v>
      </c>
      <c r="J1273">
        <f>IF(D1273&lt;=$A$15,0,D1273-$A$15)</f>
        <v>941</v>
      </c>
      <c r="K1273" s="5">
        <f>IF(D1273&lt;$E$11,H1273,0)</f>
        <v>0</v>
      </c>
      <c r="L1273">
        <f>IF(D1273&lt;$A$15,$C$11,$C$11*(1-$G$11))</f>
        <v>200</v>
      </c>
      <c r="M1273">
        <f>IF(D1273&lt;$A$15,0,1)</f>
        <v>1</v>
      </c>
    </row>
    <row r="1274" spans="4:13" x14ac:dyDescent="0.2">
      <c r="D1274">
        <f t="shared" si="73"/>
        <v>1251</v>
      </c>
      <c r="E1274" s="1">
        <f t="shared" si="71"/>
        <v>193.82876740378001</v>
      </c>
      <c r="F1274" s="1">
        <f t="shared" si="74"/>
        <v>-72.497300750214862</v>
      </c>
      <c r="G1274" s="1">
        <f t="shared" si="72"/>
        <v>3.2720680807348837E-32</v>
      </c>
      <c r="H1274" s="1">
        <f>G1274/$G$21</f>
        <v>2.29448724673644E-33</v>
      </c>
      <c r="I1274">
        <f>IF($E$11&lt;=D1274, IF(D1274&lt;=$A$15,D1274-$E$11,$F$11),0)</f>
        <v>300</v>
      </c>
      <c r="J1274">
        <f>IF(D1274&lt;=$A$15,0,D1274-$A$15)</f>
        <v>942</v>
      </c>
      <c r="K1274" s="5">
        <f>IF(D1274&lt;$E$11,H1274,0)</f>
        <v>0</v>
      </c>
      <c r="L1274">
        <f>IF(D1274&lt;$A$15,$C$11,$C$11*(1-$G$11))</f>
        <v>200</v>
      </c>
      <c r="M1274">
        <f>IF(D1274&lt;$A$15,0,1)</f>
        <v>1</v>
      </c>
    </row>
    <row r="1275" spans="4:13" x14ac:dyDescent="0.2">
      <c r="D1275">
        <f t="shared" si="73"/>
        <v>1252</v>
      </c>
      <c r="E1275" s="1">
        <f t="shared" si="71"/>
        <v>193.75180636264389</v>
      </c>
      <c r="F1275" s="1">
        <f t="shared" si="74"/>
        <v>-72.574261791350978</v>
      </c>
      <c r="G1275" s="1">
        <f t="shared" si="72"/>
        <v>3.0296926673471528E-32</v>
      </c>
      <c r="H1275" s="1">
        <f>G1275/$G$21</f>
        <v>2.1245252284596934E-33</v>
      </c>
      <c r="I1275">
        <f>IF($E$11&lt;=D1275, IF(D1275&lt;=$A$15,D1275-$E$11,$F$11),0)</f>
        <v>300</v>
      </c>
      <c r="J1275">
        <f>IF(D1275&lt;=$A$15,0,D1275-$A$15)</f>
        <v>943</v>
      </c>
      <c r="K1275" s="5">
        <f>IF(D1275&lt;$E$11,H1275,0)</f>
        <v>0</v>
      </c>
      <c r="L1275">
        <f>IF(D1275&lt;$A$15,$C$11,$C$11*(1-$G$11))</f>
        <v>200</v>
      </c>
      <c r="M1275">
        <f>IF(D1275&lt;$A$15,0,1)</f>
        <v>1</v>
      </c>
    </row>
    <row r="1276" spans="4:13" x14ac:dyDescent="0.2">
      <c r="D1276">
        <f t="shared" si="73"/>
        <v>1253</v>
      </c>
      <c r="E1276" s="1">
        <f t="shared" si="71"/>
        <v>193.67484532150777</v>
      </c>
      <c r="F1276" s="1">
        <f t="shared" si="74"/>
        <v>-72.651222832487093</v>
      </c>
      <c r="G1276" s="1">
        <f t="shared" si="72"/>
        <v>2.8052709882844364E-32</v>
      </c>
      <c r="H1276" s="1">
        <f>G1276/$G$21</f>
        <v>1.9671529893145562E-33</v>
      </c>
      <c r="I1276">
        <f>IF($E$11&lt;=D1276, IF(D1276&lt;=$A$15,D1276-$E$11,$F$11),0)</f>
        <v>300</v>
      </c>
      <c r="J1276">
        <f>IF(D1276&lt;=$A$15,0,D1276-$A$15)</f>
        <v>944</v>
      </c>
      <c r="K1276" s="5">
        <f>IF(D1276&lt;$E$11,H1276,0)</f>
        <v>0</v>
      </c>
      <c r="L1276">
        <f>IF(D1276&lt;$A$15,$C$11,$C$11*(1-$G$11))</f>
        <v>200</v>
      </c>
      <c r="M1276">
        <f>IF(D1276&lt;$A$15,0,1)</f>
        <v>1</v>
      </c>
    </row>
    <row r="1277" spans="4:13" x14ac:dyDescent="0.2">
      <c r="D1277">
        <f t="shared" si="73"/>
        <v>1254</v>
      </c>
      <c r="E1277" s="1">
        <f t="shared" si="71"/>
        <v>193.59788428037166</v>
      </c>
      <c r="F1277" s="1">
        <f t="shared" si="74"/>
        <v>-72.728183873623209</v>
      </c>
      <c r="G1277" s="1">
        <f t="shared" si="72"/>
        <v>2.5974731373004368E-32</v>
      </c>
      <c r="H1277" s="1">
        <f>G1277/$G$21</f>
        <v>1.8214379530690562E-33</v>
      </c>
      <c r="I1277">
        <f>IF($E$11&lt;=D1277, IF(D1277&lt;=$A$15,D1277-$E$11,$F$11),0)</f>
        <v>300</v>
      </c>
      <c r="J1277">
        <f>IF(D1277&lt;=$A$15,0,D1277-$A$15)</f>
        <v>945</v>
      </c>
      <c r="K1277" s="5">
        <f>IF(D1277&lt;$E$11,H1277,0)</f>
        <v>0</v>
      </c>
      <c r="L1277">
        <f>IF(D1277&lt;$A$15,$C$11,$C$11*(1-$G$11))</f>
        <v>200</v>
      </c>
      <c r="M1277">
        <f>IF(D1277&lt;$A$15,0,1)</f>
        <v>1</v>
      </c>
    </row>
    <row r="1278" spans="4:13" x14ac:dyDescent="0.2">
      <c r="D1278">
        <f t="shared" si="73"/>
        <v>1255</v>
      </c>
      <c r="E1278" s="1">
        <f t="shared" si="71"/>
        <v>193.52092323923554</v>
      </c>
      <c r="F1278" s="1">
        <f t="shared" si="74"/>
        <v>-72.805144914759325</v>
      </c>
      <c r="G1278" s="1">
        <f t="shared" si="72"/>
        <v>2.4050677197226571E-32</v>
      </c>
      <c r="H1278" s="1">
        <f>G1278/$G$21</f>
        <v>1.6865166232121105E-33</v>
      </c>
      <c r="I1278">
        <f>IF($E$11&lt;=D1278, IF(D1278&lt;=$A$15,D1278-$E$11,$F$11),0)</f>
        <v>300</v>
      </c>
      <c r="J1278">
        <f>IF(D1278&lt;=$A$15,0,D1278-$A$15)</f>
        <v>946</v>
      </c>
      <c r="K1278" s="5">
        <f>IF(D1278&lt;$E$11,H1278,0)</f>
        <v>0</v>
      </c>
      <c r="L1278">
        <f>IF(D1278&lt;$A$15,$C$11,$C$11*(1-$G$11))</f>
        <v>200</v>
      </c>
      <c r="M1278">
        <f>IF(D1278&lt;$A$15,0,1)</f>
        <v>1</v>
      </c>
    </row>
    <row r="1279" spans="4:13" x14ac:dyDescent="0.2">
      <c r="D1279">
        <f t="shared" si="73"/>
        <v>1256</v>
      </c>
      <c r="E1279" s="1">
        <f t="shared" si="71"/>
        <v>193.44396219809943</v>
      </c>
      <c r="F1279" s="1">
        <f t="shared" si="74"/>
        <v>-72.88210595589544</v>
      </c>
      <c r="G1279" s="1">
        <f t="shared" si="72"/>
        <v>2.2269145552987848E-32</v>
      </c>
      <c r="H1279" s="1">
        <f>G1279/$G$21</f>
        <v>1.5615894659371593E-33</v>
      </c>
      <c r="I1279">
        <f>IF($E$11&lt;=D1279, IF(D1279&lt;=$A$15,D1279-$E$11,$F$11),0)</f>
        <v>300</v>
      </c>
      <c r="J1279">
        <f>IF(D1279&lt;=$A$15,0,D1279-$A$15)</f>
        <v>947</v>
      </c>
      <c r="K1279" s="5">
        <f>IF(D1279&lt;$E$11,H1279,0)</f>
        <v>0</v>
      </c>
      <c r="L1279">
        <f>IF(D1279&lt;$A$15,$C$11,$C$11*(1-$G$11))</f>
        <v>200</v>
      </c>
      <c r="M1279">
        <f>IF(D1279&lt;$A$15,0,1)</f>
        <v>1</v>
      </c>
    </row>
    <row r="1280" spans="4:13" x14ac:dyDescent="0.2">
      <c r="D1280">
        <f t="shared" si="73"/>
        <v>1257</v>
      </c>
      <c r="E1280" s="1">
        <f t="shared" si="71"/>
        <v>193.36700115696331</v>
      </c>
      <c r="F1280" s="1">
        <f t="shared" si="74"/>
        <v>-72.959066997031556</v>
      </c>
      <c r="G1280" s="1">
        <f t="shared" si="72"/>
        <v>2.061957921572975E-32</v>
      </c>
      <c r="H1280" s="1">
        <f>G1280/$G$21</f>
        <v>1.4459161721640546E-33</v>
      </c>
      <c r="I1280">
        <f>IF($E$11&lt;=D1280, IF(D1280&lt;=$A$15,D1280-$E$11,$F$11),0)</f>
        <v>300</v>
      </c>
      <c r="J1280">
        <f>IF(D1280&lt;=$A$15,0,D1280-$A$15)</f>
        <v>948</v>
      </c>
      <c r="K1280" s="5">
        <f>IF(D1280&lt;$E$11,H1280,0)</f>
        <v>0</v>
      </c>
      <c r="L1280">
        <f>IF(D1280&lt;$A$15,$C$11,$C$11*(1-$G$11))</f>
        <v>200</v>
      </c>
      <c r="M1280">
        <f>IF(D1280&lt;$A$15,0,1)</f>
        <v>1</v>
      </c>
    </row>
    <row r="1281" spans="4:13" x14ac:dyDescent="0.2">
      <c r="D1281">
        <f t="shared" si="73"/>
        <v>1258</v>
      </c>
      <c r="E1281" s="1">
        <f t="shared" si="71"/>
        <v>193.2900401158272</v>
      </c>
      <c r="F1281" s="1">
        <f t="shared" si="74"/>
        <v>-73.036028038167672</v>
      </c>
      <c r="G1281" s="1">
        <f t="shared" si="72"/>
        <v>1.9092202977527787E-32</v>
      </c>
      <c r="H1281" s="1">
        <f>G1281/$G$21</f>
        <v>1.3388112705222897E-33</v>
      </c>
      <c r="I1281">
        <f>IF($E$11&lt;=D1281, IF(D1281&lt;=$A$15,D1281-$E$11,$F$11),0)</f>
        <v>300</v>
      </c>
      <c r="J1281">
        <f>IF(D1281&lt;=$A$15,0,D1281-$A$15)</f>
        <v>949</v>
      </c>
      <c r="K1281" s="5">
        <f>IF(D1281&lt;$E$11,H1281,0)</f>
        <v>0</v>
      </c>
      <c r="L1281">
        <f>IF(D1281&lt;$A$15,$C$11,$C$11*(1-$G$11))</f>
        <v>200</v>
      </c>
      <c r="M1281">
        <f>IF(D1281&lt;$A$15,0,1)</f>
        <v>1</v>
      </c>
    </row>
    <row r="1282" spans="4:13" x14ac:dyDescent="0.2">
      <c r="D1282">
        <f t="shared" si="73"/>
        <v>1259</v>
      </c>
      <c r="E1282" s="1">
        <f t="shared" si="71"/>
        <v>193.21307907469108</v>
      </c>
      <c r="F1282" s="1">
        <f t="shared" si="74"/>
        <v>-73.112989079303787</v>
      </c>
      <c r="G1282" s="1">
        <f t="shared" si="72"/>
        <v>1.767796571993336E-32</v>
      </c>
      <c r="H1282" s="1">
        <f>G1282/$G$21</f>
        <v>1.239640065298432E-33</v>
      </c>
      <c r="I1282">
        <f>IF($E$11&lt;=D1282, IF(D1282&lt;=$A$15,D1282-$E$11,$F$11),0)</f>
        <v>300</v>
      </c>
      <c r="J1282">
        <f>IF(D1282&lt;=$A$15,0,D1282-$A$15)</f>
        <v>950</v>
      </c>
      <c r="K1282" s="5">
        <f>IF(D1282&lt;$E$11,H1282,0)</f>
        <v>0</v>
      </c>
      <c r="L1282">
        <f>IF(D1282&lt;$A$15,$C$11,$C$11*(1-$G$11))</f>
        <v>200</v>
      </c>
      <c r="M1282">
        <f>IF(D1282&lt;$A$15,0,1)</f>
        <v>1</v>
      </c>
    </row>
    <row r="1283" spans="4:13" x14ac:dyDescent="0.2">
      <c r="D1283">
        <f t="shared" si="73"/>
        <v>1260</v>
      </c>
      <c r="E1283" s="1">
        <f t="shared" si="71"/>
        <v>193.13611803355496</v>
      </c>
      <c r="F1283" s="1">
        <f t="shared" si="74"/>
        <v>-73.189950120439903</v>
      </c>
      <c r="G1283" s="1">
        <f t="shared" si="72"/>
        <v>1.6368486777716281E-32</v>
      </c>
      <c r="H1283" s="1">
        <f>G1283/$G$21</f>
        <v>1.1478148752763405E-33</v>
      </c>
      <c r="I1283">
        <f>IF($E$11&lt;=D1283, IF(D1283&lt;=$A$15,D1283-$E$11,$F$11),0)</f>
        <v>300</v>
      </c>
      <c r="J1283">
        <f>IF(D1283&lt;=$A$15,0,D1283-$A$15)</f>
        <v>951</v>
      </c>
      <c r="K1283" s="5">
        <f>IF(D1283&lt;$E$11,H1283,0)</f>
        <v>0</v>
      </c>
      <c r="L1283">
        <f>IF(D1283&lt;$A$15,$C$11,$C$11*(1-$G$11))</f>
        <v>200</v>
      </c>
      <c r="M1283">
        <f>IF(D1283&lt;$A$15,0,1)</f>
        <v>1</v>
      </c>
    </row>
    <row r="1284" spans="4:13" x14ac:dyDescent="0.2">
      <c r="D1284">
        <f t="shared" si="73"/>
        <v>1261</v>
      </c>
      <c r="E1284" s="1">
        <f t="shared" ref="E1284:F1347" si="75">IF($G$11=1,IF(D1284&lt;=$A$15, E1283+LN($C$11)-LN(60/$D$11)-LN(MIN(D1284,$E$11)), E1283-LN(60/$D$11)-LN(MIN(D1284,$E$11))), IF(D1284&lt;=$A$15, E1283+LN($C$11)-LN(60/$D$11)-LN(MIN(D1284,$E$11)), E1283+LN($C$11)+LN(1-$G$11)-LN(60/$D$11)-LN(MIN(D1284,$E$11))))</f>
        <v>193.05915699241885</v>
      </c>
      <c r="F1284" s="1">
        <f t="shared" si="74"/>
        <v>-73.266911161576019</v>
      </c>
      <c r="G1284" s="1">
        <f t="shared" si="72"/>
        <v>1.5156006275663414E-32</v>
      </c>
      <c r="H1284" s="1">
        <f>G1284/$G$21</f>
        <v>1.0627915511818101E-33</v>
      </c>
      <c r="I1284">
        <f>IF($E$11&lt;=D1284, IF(D1284&lt;=$A$15,D1284-$E$11,$F$11),0)</f>
        <v>300</v>
      </c>
      <c r="J1284">
        <f>IF(D1284&lt;=$A$15,0,D1284-$A$15)</f>
        <v>952</v>
      </c>
      <c r="K1284" s="5">
        <f>IF(D1284&lt;$E$11,H1284,0)</f>
        <v>0</v>
      </c>
      <c r="L1284">
        <f>IF(D1284&lt;$A$15,$C$11,$C$11*(1-$G$11))</f>
        <v>200</v>
      </c>
      <c r="M1284">
        <f>IF(D1284&lt;$A$15,0,1)</f>
        <v>1</v>
      </c>
    </row>
    <row r="1285" spans="4:13" x14ac:dyDescent="0.2">
      <c r="D1285">
        <f t="shared" si="73"/>
        <v>1262</v>
      </c>
      <c r="E1285" s="1">
        <f t="shared" si="75"/>
        <v>192.98219595128273</v>
      </c>
      <c r="F1285" s="1">
        <f t="shared" si="74"/>
        <v>-73.343872202712134</v>
      </c>
      <c r="G1285" s="1">
        <f t="shared" si="72"/>
        <v>1.4033339144132968E-32</v>
      </c>
      <c r="H1285" s="1">
        <f>G1285/$G$21</f>
        <v>9.8406625109428109E-34</v>
      </c>
      <c r="I1285">
        <f>IF($E$11&lt;=D1285, IF(D1285&lt;=$A$15,D1285-$E$11,$F$11),0)</f>
        <v>300</v>
      </c>
      <c r="J1285">
        <f>IF(D1285&lt;=$A$15,0,D1285-$A$15)</f>
        <v>953</v>
      </c>
      <c r="K1285" s="5">
        <f>IF(D1285&lt;$E$11,H1285,0)</f>
        <v>0</v>
      </c>
      <c r="L1285">
        <f>IF(D1285&lt;$A$15,$C$11,$C$11*(1-$G$11))</f>
        <v>200</v>
      </c>
      <c r="M1285">
        <f>IF(D1285&lt;$A$15,0,1)</f>
        <v>1</v>
      </c>
    </row>
    <row r="1286" spans="4:13" x14ac:dyDescent="0.2">
      <c r="D1286">
        <f t="shared" si="73"/>
        <v>1263</v>
      </c>
      <c r="E1286" s="1">
        <f t="shared" si="75"/>
        <v>192.90523491014662</v>
      </c>
      <c r="F1286" s="1">
        <f t="shared" si="74"/>
        <v>-73.42083324384825</v>
      </c>
      <c r="G1286" s="1">
        <f t="shared" si="72"/>
        <v>1.2993832540864023E-32</v>
      </c>
      <c r="H1286" s="1">
        <f>G1286/$G$21</f>
        <v>9.1117245471693842E-34</v>
      </c>
      <c r="I1286">
        <f>IF($E$11&lt;=D1286, IF(D1286&lt;=$A$15,D1286-$E$11,$F$11),0)</f>
        <v>300</v>
      </c>
      <c r="J1286">
        <f>IF(D1286&lt;=$A$15,0,D1286-$A$15)</f>
        <v>954</v>
      </c>
      <c r="K1286" s="5">
        <f>IF(D1286&lt;$E$11,H1286,0)</f>
        <v>0</v>
      </c>
      <c r="L1286">
        <f>IF(D1286&lt;$A$15,$C$11,$C$11*(1-$G$11))</f>
        <v>200</v>
      </c>
      <c r="M1286">
        <f>IF(D1286&lt;$A$15,0,1)</f>
        <v>1</v>
      </c>
    </row>
    <row r="1287" spans="4:13" x14ac:dyDescent="0.2">
      <c r="D1287">
        <f t="shared" si="73"/>
        <v>1264</v>
      </c>
      <c r="E1287" s="1">
        <f t="shared" si="75"/>
        <v>192.8282738690105</v>
      </c>
      <c r="F1287" s="1">
        <f t="shared" si="74"/>
        <v>-73.497794284984366</v>
      </c>
      <c r="G1287" s="1">
        <f t="shared" si="72"/>
        <v>1.20313264267261E-32</v>
      </c>
      <c r="H1287" s="1">
        <f>G1287/$G$21</f>
        <v>8.4367819881199057E-34</v>
      </c>
      <c r="I1287">
        <f>IF($E$11&lt;=D1287, IF(D1287&lt;=$A$15,D1287-$E$11,$F$11),0)</f>
        <v>300</v>
      </c>
      <c r="J1287">
        <f>IF(D1287&lt;=$A$15,0,D1287-$A$15)</f>
        <v>955</v>
      </c>
      <c r="K1287" s="5">
        <f>IF(D1287&lt;$E$11,H1287,0)</f>
        <v>0</v>
      </c>
      <c r="L1287">
        <f>IF(D1287&lt;$A$15,$C$11,$C$11*(1-$G$11))</f>
        <v>200</v>
      </c>
      <c r="M1287">
        <f>IF(D1287&lt;$A$15,0,1)</f>
        <v>1</v>
      </c>
    </row>
    <row r="1288" spans="4:13" x14ac:dyDescent="0.2">
      <c r="D1288">
        <f t="shared" si="73"/>
        <v>1265</v>
      </c>
      <c r="E1288" s="1">
        <f t="shared" si="75"/>
        <v>192.75131282787439</v>
      </c>
      <c r="F1288" s="1">
        <f t="shared" si="74"/>
        <v>-73.574755326120481</v>
      </c>
      <c r="G1288" s="1">
        <f t="shared" si="72"/>
        <v>1.1140117061783567E-32</v>
      </c>
      <c r="H1288" s="1">
        <f>G1288/$G$21</f>
        <v>7.8118351741851973E-34</v>
      </c>
      <c r="I1288">
        <f>IF($E$11&lt;=D1288, IF(D1288&lt;=$A$15,D1288-$E$11,$F$11),0)</f>
        <v>300</v>
      </c>
      <c r="J1288">
        <f>IF(D1288&lt;=$A$15,0,D1288-$A$15)</f>
        <v>956</v>
      </c>
      <c r="K1288" s="5">
        <f>IF(D1288&lt;$E$11,H1288,0)</f>
        <v>0</v>
      </c>
      <c r="L1288">
        <f>IF(D1288&lt;$A$15,$C$11,$C$11*(1-$G$11))</f>
        <v>200</v>
      </c>
      <c r="M1288">
        <f>IF(D1288&lt;$A$15,0,1)</f>
        <v>1</v>
      </c>
    </row>
    <row r="1289" spans="4:13" x14ac:dyDescent="0.2">
      <c r="D1289">
        <f t="shared" si="73"/>
        <v>1266</v>
      </c>
      <c r="E1289" s="1">
        <f t="shared" si="75"/>
        <v>192.67435178673827</v>
      </c>
      <c r="F1289" s="1">
        <f t="shared" si="74"/>
        <v>-73.651716367256597</v>
      </c>
      <c r="G1289" s="1">
        <f t="shared" si="72"/>
        <v>1.0314923205355285E-32</v>
      </c>
      <c r="H1289" s="1">
        <f>G1289/$G$21</f>
        <v>7.233180716838237E-34</v>
      </c>
      <c r="I1289">
        <f>IF($E$11&lt;=D1289, IF(D1289&lt;=$A$15,D1289-$E$11,$F$11),0)</f>
        <v>300</v>
      </c>
      <c r="J1289">
        <f>IF(D1289&lt;=$A$15,0,D1289-$A$15)</f>
        <v>957</v>
      </c>
      <c r="K1289" s="5">
        <f>IF(D1289&lt;$E$11,H1289,0)</f>
        <v>0</v>
      </c>
      <c r="L1289">
        <f>IF(D1289&lt;$A$15,$C$11,$C$11*(1-$G$11))</f>
        <v>200</v>
      </c>
      <c r="M1289">
        <f>IF(D1289&lt;$A$15,0,1)</f>
        <v>1</v>
      </c>
    </row>
    <row r="1290" spans="4:13" x14ac:dyDescent="0.2">
      <c r="D1290">
        <f t="shared" si="73"/>
        <v>1267</v>
      </c>
      <c r="E1290" s="1">
        <f t="shared" si="75"/>
        <v>192.59739074560215</v>
      </c>
      <c r="F1290" s="1">
        <f t="shared" si="74"/>
        <v>-73.728677408392713</v>
      </c>
      <c r="G1290" s="1">
        <f t="shared" si="72"/>
        <v>9.5508548197735329E-33</v>
      </c>
      <c r="H1290" s="1">
        <f>G1290/$G$21</f>
        <v>6.6973895526280827E-34</v>
      </c>
      <c r="I1290">
        <f>IF($E$11&lt;=D1290, IF(D1290&lt;=$A$15,D1290-$E$11,$F$11),0)</f>
        <v>300</v>
      </c>
      <c r="J1290">
        <f>IF(D1290&lt;=$A$15,0,D1290-$A$15)</f>
        <v>958</v>
      </c>
      <c r="K1290" s="5">
        <f>IF(D1290&lt;$E$11,H1290,0)</f>
        <v>0</v>
      </c>
      <c r="L1290">
        <f>IF(D1290&lt;$A$15,$C$11,$C$11*(1-$G$11))</f>
        <v>200</v>
      </c>
      <c r="M1290">
        <f>IF(D1290&lt;$A$15,0,1)</f>
        <v>1</v>
      </c>
    </row>
    <row r="1291" spans="4:13" x14ac:dyDescent="0.2">
      <c r="D1291">
        <f t="shared" si="73"/>
        <v>1268</v>
      </c>
      <c r="E1291" s="1">
        <f t="shared" si="75"/>
        <v>192.52042970446604</v>
      </c>
      <c r="F1291" s="1">
        <f t="shared" si="74"/>
        <v>-73.805638449528828</v>
      </c>
      <c r="G1291" s="1">
        <f t="shared" si="72"/>
        <v>8.8433840923830128E-33</v>
      </c>
      <c r="H1291" s="1">
        <f>G1291/$G$21</f>
        <v>6.2012866228038588E-34</v>
      </c>
      <c r="I1291">
        <f>IF($E$11&lt;=D1291, IF(D1291&lt;=$A$15,D1291-$E$11,$F$11),0)</f>
        <v>300</v>
      </c>
      <c r="J1291">
        <f>IF(D1291&lt;=$A$15,0,D1291-$A$15)</f>
        <v>959</v>
      </c>
      <c r="K1291" s="5">
        <f>IF(D1291&lt;$E$11,H1291,0)</f>
        <v>0</v>
      </c>
      <c r="L1291">
        <f>IF(D1291&lt;$A$15,$C$11,$C$11*(1-$G$11))</f>
        <v>200</v>
      </c>
      <c r="M1291">
        <f>IF(D1291&lt;$A$15,0,1)</f>
        <v>1</v>
      </c>
    </row>
    <row r="1292" spans="4:13" x14ac:dyDescent="0.2">
      <c r="D1292">
        <f t="shared" si="73"/>
        <v>1269</v>
      </c>
      <c r="E1292" s="1">
        <f t="shared" si="75"/>
        <v>192.44346866332992</v>
      </c>
      <c r="F1292" s="1">
        <f t="shared" si="74"/>
        <v>-73.882599490664944</v>
      </c>
      <c r="G1292" s="1">
        <f t="shared" si="72"/>
        <v>8.1883186040584486E-33</v>
      </c>
      <c r="H1292" s="1">
        <f>G1292/$G$21</f>
        <v>5.7419320581517935E-34</v>
      </c>
      <c r="I1292">
        <f>IF($E$11&lt;=D1292, IF(D1292&lt;=$A$15,D1292-$E$11,$F$11),0)</f>
        <v>300</v>
      </c>
      <c r="J1292">
        <f>IF(D1292&lt;=$A$15,0,D1292-$A$15)</f>
        <v>960</v>
      </c>
      <c r="K1292" s="5">
        <f>IF(D1292&lt;$E$11,H1292,0)</f>
        <v>0</v>
      </c>
      <c r="L1292">
        <f>IF(D1292&lt;$A$15,$C$11,$C$11*(1-$G$11))</f>
        <v>200</v>
      </c>
      <c r="M1292">
        <f>IF(D1292&lt;$A$15,0,1)</f>
        <v>1</v>
      </c>
    </row>
    <row r="1293" spans="4:13" x14ac:dyDescent="0.2">
      <c r="D1293">
        <f t="shared" si="73"/>
        <v>1270</v>
      </c>
      <c r="E1293" s="1">
        <f t="shared" si="75"/>
        <v>192.36650762219381</v>
      </c>
      <c r="F1293" s="1">
        <f t="shared" si="74"/>
        <v>-73.95956053180106</v>
      </c>
      <c r="G1293" s="1">
        <f t="shared" si="72"/>
        <v>7.5817764852394004E-33</v>
      </c>
      <c r="H1293" s="1">
        <f>G1293/$G$21</f>
        <v>5.3166037575480246E-34</v>
      </c>
      <c r="I1293">
        <f>IF($E$11&lt;=D1293, IF(D1293&lt;=$A$15,D1293-$E$11,$F$11),0)</f>
        <v>300</v>
      </c>
      <c r="J1293">
        <f>IF(D1293&lt;=$A$15,0,D1293-$A$15)</f>
        <v>961</v>
      </c>
      <c r="K1293" s="5">
        <f>IF(D1293&lt;$E$11,H1293,0)</f>
        <v>0</v>
      </c>
      <c r="L1293">
        <f>IF(D1293&lt;$A$15,$C$11,$C$11*(1-$G$11))</f>
        <v>200</v>
      </c>
      <c r="M1293">
        <f>IF(D1293&lt;$A$15,0,1)</f>
        <v>1</v>
      </c>
    </row>
    <row r="1294" spans="4:13" x14ac:dyDescent="0.2">
      <c r="D1294">
        <f t="shared" si="73"/>
        <v>1271</v>
      </c>
      <c r="E1294" s="1">
        <f t="shared" si="75"/>
        <v>192.28954658105769</v>
      </c>
      <c r="F1294" s="1">
        <f t="shared" si="74"/>
        <v>-74.036521572937176</v>
      </c>
      <c r="G1294" s="1">
        <f t="shared" si="72"/>
        <v>7.0201634122587927E-33</v>
      </c>
      <c r="H1294" s="1">
        <f>G1294/$G$21</f>
        <v>4.9227812569889734E-34</v>
      </c>
      <c r="I1294">
        <f>IF($E$11&lt;=D1294, IF(D1294&lt;=$A$15,D1294-$E$11,$F$11),0)</f>
        <v>300</v>
      </c>
      <c r="J1294">
        <f>IF(D1294&lt;=$A$15,0,D1294-$A$15)</f>
        <v>962</v>
      </c>
      <c r="K1294" s="5">
        <f>IF(D1294&lt;$E$11,H1294,0)</f>
        <v>0</v>
      </c>
      <c r="L1294">
        <f>IF(D1294&lt;$A$15,$C$11,$C$11*(1-$G$11))</f>
        <v>200</v>
      </c>
      <c r="M1294">
        <f>IF(D1294&lt;$A$15,0,1)</f>
        <v>1</v>
      </c>
    </row>
    <row r="1295" spans="4:13" x14ac:dyDescent="0.2">
      <c r="D1295">
        <f t="shared" si="73"/>
        <v>1272</v>
      </c>
      <c r="E1295" s="1">
        <f t="shared" si="75"/>
        <v>192.21258553992158</v>
      </c>
      <c r="F1295" s="1">
        <f t="shared" si="74"/>
        <v>-74.113482614073291</v>
      </c>
      <c r="G1295" s="1">
        <f t="shared" si="72"/>
        <v>6.5001513076471121E-33</v>
      </c>
      <c r="H1295" s="1">
        <f>G1295/$G$21</f>
        <v>4.5581307935083662E-34</v>
      </c>
      <c r="I1295">
        <f>IF($E$11&lt;=D1295, IF(D1295&lt;=$A$15,D1295-$E$11,$F$11),0)</f>
        <v>300</v>
      </c>
      <c r="J1295">
        <f>IF(D1295&lt;=$A$15,0,D1295-$A$15)</f>
        <v>963</v>
      </c>
      <c r="K1295" s="5">
        <f>IF(D1295&lt;$E$11,H1295,0)</f>
        <v>0</v>
      </c>
      <c r="L1295">
        <f>IF(D1295&lt;$A$15,$C$11,$C$11*(1-$G$11))</f>
        <v>200</v>
      </c>
      <c r="M1295">
        <f>IF(D1295&lt;$A$15,0,1)</f>
        <v>1</v>
      </c>
    </row>
    <row r="1296" spans="4:13" x14ac:dyDescent="0.2">
      <c r="D1296">
        <f t="shared" si="73"/>
        <v>1273</v>
      </c>
      <c r="E1296" s="1">
        <f t="shared" si="75"/>
        <v>192.13562449878546</v>
      </c>
      <c r="F1296" s="1">
        <f t="shared" si="74"/>
        <v>-74.190443655209407</v>
      </c>
      <c r="G1296" s="1">
        <f t="shared" si="72"/>
        <v>6.0186586181918463E-33</v>
      </c>
      <c r="H1296" s="1">
        <f>G1296/$G$21</f>
        <v>4.2204914754707624E-34</v>
      </c>
      <c r="I1296">
        <f>IF($E$11&lt;=D1296, IF(D1296&lt;=$A$15,D1296-$E$11,$F$11),0)</f>
        <v>300</v>
      </c>
      <c r="J1296">
        <f>IF(D1296&lt;=$A$15,0,D1296-$A$15)</f>
        <v>964</v>
      </c>
      <c r="K1296" s="5">
        <f>IF(D1296&lt;$E$11,H1296,0)</f>
        <v>0</v>
      </c>
      <c r="L1296">
        <f>IF(D1296&lt;$A$15,$C$11,$C$11*(1-$G$11))</f>
        <v>200</v>
      </c>
      <c r="M1296">
        <f>IF(D1296&lt;$A$15,0,1)</f>
        <v>1</v>
      </c>
    </row>
    <row r="1297" spans="4:13" x14ac:dyDescent="0.2">
      <c r="D1297">
        <f t="shared" si="73"/>
        <v>1274</v>
      </c>
      <c r="E1297" s="1">
        <f t="shared" si="75"/>
        <v>192.05866345764935</v>
      </c>
      <c r="F1297" s="1">
        <f t="shared" si="74"/>
        <v>-74.267404696345523</v>
      </c>
      <c r="G1297" s="1">
        <f t="shared" si="72"/>
        <v>5.5728320538814098E-33</v>
      </c>
      <c r="H1297" s="1">
        <f>G1297/$G$21</f>
        <v>3.9078624772877927E-34</v>
      </c>
      <c r="I1297">
        <f>IF($E$11&lt;=D1297, IF(D1297&lt;=$A$15,D1297-$E$11,$F$11),0)</f>
        <v>300</v>
      </c>
      <c r="J1297">
        <f>IF(D1297&lt;=$A$15,0,D1297-$A$15)</f>
        <v>965</v>
      </c>
      <c r="K1297" s="5">
        <f>IF(D1297&lt;$E$11,H1297,0)</f>
        <v>0</v>
      </c>
      <c r="L1297">
        <f>IF(D1297&lt;$A$15,$C$11,$C$11*(1-$G$11))</f>
        <v>200</v>
      </c>
      <c r="M1297">
        <f>IF(D1297&lt;$A$15,0,1)</f>
        <v>1</v>
      </c>
    </row>
    <row r="1298" spans="4:13" x14ac:dyDescent="0.2">
      <c r="D1298">
        <f t="shared" si="73"/>
        <v>1275</v>
      </c>
      <c r="E1298" s="1">
        <f t="shared" si="75"/>
        <v>191.98170241651323</v>
      </c>
      <c r="F1298" s="1">
        <f t="shared" si="74"/>
        <v>-74.344365737481638</v>
      </c>
      <c r="G1298" s="1">
        <f t="shared" si="72"/>
        <v>5.160029679519889E-33</v>
      </c>
      <c r="H1298" s="1">
        <f>G1298/$G$21</f>
        <v>3.6183911826739277E-34</v>
      </c>
      <c r="I1298">
        <f>IF($E$11&lt;=D1298, IF(D1298&lt;=$A$15,D1298-$E$11,$F$11),0)</f>
        <v>300</v>
      </c>
      <c r="J1298">
        <f>IF(D1298&lt;=$A$15,0,D1298-$A$15)</f>
        <v>966</v>
      </c>
      <c r="K1298" s="5">
        <f>IF(D1298&lt;$E$11,H1298,0)</f>
        <v>0</v>
      </c>
      <c r="L1298">
        <f>IF(D1298&lt;$A$15,$C$11,$C$11*(1-$G$11))</f>
        <v>200</v>
      </c>
      <c r="M1298">
        <f>IF(D1298&lt;$A$15,0,1)</f>
        <v>1</v>
      </c>
    </row>
    <row r="1299" spans="4:13" x14ac:dyDescent="0.2">
      <c r="D1299">
        <f t="shared" si="73"/>
        <v>1276</v>
      </c>
      <c r="E1299" s="1">
        <f t="shared" si="75"/>
        <v>191.90474137537711</v>
      </c>
      <c r="F1299" s="1">
        <f t="shared" si="74"/>
        <v>-74.421326778617754</v>
      </c>
      <c r="G1299" s="1">
        <f t="shared" si="72"/>
        <v>4.7778052588147729E-33</v>
      </c>
      <c r="H1299" s="1">
        <f>G1299/$G$21</f>
        <v>3.3503622061796054E-34</v>
      </c>
      <c r="I1299">
        <f>IF($E$11&lt;=D1299, IF(D1299&lt;=$A$15,D1299-$E$11,$F$11),0)</f>
        <v>300</v>
      </c>
      <c r="J1299">
        <f>IF(D1299&lt;=$A$15,0,D1299-$A$15)</f>
        <v>967</v>
      </c>
      <c r="K1299" s="5">
        <f>IF(D1299&lt;$E$11,H1299,0)</f>
        <v>0</v>
      </c>
      <c r="L1299">
        <f>IF(D1299&lt;$A$15,$C$11,$C$11*(1-$G$11))</f>
        <v>200</v>
      </c>
      <c r="M1299">
        <f>IF(D1299&lt;$A$15,0,1)</f>
        <v>1</v>
      </c>
    </row>
    <row r="1300" spans="4:13" x14ac:dyDescent="0.2">
      <c r="D1300">
        <f t="shared" si="73"/>
        <v>1277</v>
      </c>
      <c r="E1300" s="1">
        <f t="shared" si="75"/>
        <v>191.827780334241</v>
      </c>
      <c r="F1300" s="1">
        <f t="shared" si="74"/>
        <v>-74.49828781975387</v>
      </c>
      <c r="G1300" s="1">
        <f t="shared" si="72"/>
        <v>4.4238937581618827E-33</v>
      </c>
      <c r="H1300" s="1">
        <f>G1300/$G$21</f>
        <v>3.1021872279441182E-34</v>
      </c>
      <c r="I1300">
        <f>IF($E$11&lt;=D1300, IF(D1300&lt;=$A$15,D1300-$E$11,$F$11),0)</f>
        <v>300</v>
      </c>
      <c r="J1300">
        <f>IF(D1300&lt;=$A$15,0,D1300-$A$15)</f>
        <v>968</v>
      </c>
      <c r="K1300" s="5">
        <f>IF(D1300&lt;$E$11,H1300,0)</f>
        <v>0</v>
      </c>
      <c r="L1300">
        <f>IF(D1300&lt;$A$15,$C$11,$C$11*(1-$G$11))</f>
        <v>200</v>
      </c>
      <c r="M1300">
        <f>IF(D1300&lt;$A$15,0,1)</f>
        <v>1</v>
      </c>
    </row>
    <row r="1301" spans="4:13" x14ac:dyDescent="0.2">
      <c r="D1301">
        <f t="shared" si="73"/>
        <v>1278</v>
      </c>
      <c r="E1301" s="1">
        <f t="shared" si="75"/>
        <v>191.75081929310488</v>
      </c>
      <c r="F1301" s="1">
        <f t="shared" si="74"/>
        <v>-74.575248860889985</v>
      </c>
      <c r="G1301" s="1">
        <f t="shared" si="72"/>
        <v>4.0961979242240172E-33</v>
      </c>
      <c r="H1301" s="1">
        <f>G1301/$G$21</f>
        <v>2.8723955814297757E-34</v>
      </c>
      <c r="I1301">
        <f>IF($E$11&lt;=D1301, IF(D1301&lt;=$A$15,D1301-$E$11,$F$11),0)</f>
        <v>300</v>
      </c>
      <c r="J1301">
        <f>IF(D1301&lt;=$A$15,0,D1301-$A$15)</f>
        <v>969</v>
      </c>
      <c r="K1301" s="5">
        <f>IF(D1301&lt;$E$11,H1301,0)</f>
        <v>0</v>
      </c>
      <c r="L1301">
        <f>IF(D1301&lt;$A$15,$C$11,$C$11*(1-$G$11))</f>
        <v>200</v>
      </c>
      <c r="M1301">
        <f>IF(D1301&lt;$A$15,0,1)</f>
        <v>1</v>
      </c>
    </row>
    <row r="1302" spans="4:13" x14ac:dyDescent="0.2">
      <c r="D1302">
        <f t="shared" si="73"/>
        <v>1279</v>
      </c>
      <c r="E1302" s="1">
        <f t="shared" si="75"/>
        <v>191.67385825196877</v>
      </c>
      <c r="F1302" s="1">
        <f t="shared" si="74"/>
        <v>-74.652209902026101</v>
      </c>
      <c r="G1302" s="1">
        <f t="shared" si="72"/>
        <v>3.7927758557630267E-33</v>
      </c>
      <c r="H1302" s="1">
        <f>G1302/$G$21</f>
        <v>2.6596255383609367E-34</v>
      </c>
      <c r="I1302">
        <f>IF($E$11&lt;=D1302, IF(D1302&lt;=$A$15,D1302-$E$11,$F$11),0)</f>
        <v>300</v>
      </c>
      <c r="J1302">
        <f>IF(D1302&lt;=$A$15,0,D1302-$A$15)</f>
        <v>970</v>
      </c>
      <c r="K1302" s="5">
        <f>IF(D1302&lt;$E$11,H1302,0)</f>
        <v>0</v>
      </c>
      <c r="L1302">
        <f>IF(D1302&lt;$A$15,$C$11,$C$11*(1-$G$11))</f>
        <v>200</v>
      </c>
      <c r="M1302">
        <f>IF(D1302&lt;$A$15,0,1)</f>
        <v>1</v>
      </c>
    </row>
    <row r="1303" spans="4:13" x14ac:dyDescent="0.2">
      <c r="D1303">
        <f t="shared" si="73"/>
        <v>1280</v>
      </c>
      <c r="E1303" s="1">
        <f t="shared" si="75"/>
        <v>191.59689721083265</v>
      </c>
      <c r="F1303" s="1">
        <f t="shared" si="74"/>
        <v>-74.729170943162217</v>
      </c>
      <c r="G1303" s="1">
        <f t="shared" si="72"/>
        <v>3.5118294960769212E-33</v>
      </c>
      <c r="H1303" s="1">
        <f>G1303/$G$21</f>
        <v>2.462616239223121E-34</v>
      </c>
      <c r="I1303">
        <f>IF($E$11&lt;=D1303, IF(D1303&lt;=$A$15,D1303-$E$11,$F$11),0)</f>
        <v>300</v>
      </c>
      <c r="J1303">
        <f>IF(D1303&lt;=$A$15,0,D1303-$A$15)</f>
        <v>971</v>
      </c>
      <c r="K1303" s="5">
        <f>IF(D1303&lt;$E$11,H1303,0)</f>
        <v>0</v>
      </c>
      <c r="L1303">
        <f>IF(D1303&lt;$A$15,$C$11,$C$11*(1-$G$11))</f>
        <v>200</v>
      </c>
      <c r="M1303">
        <f>IF(D1303&lt;$A$15,0,1)</f>
        <v>1</v>
      </c>
    </row>
    <row r="1304" spans="4:13" x14ac:dyDescent="0.2">
      <c r="D1304">
        <f t="shared" si="73"/>
        <v>1281</v>
      </c>
      <c r="E1304" s="1">
        <f t="shared" si="75"/>
        <v>191.51993616969654</v>
      </c>
      <c r="F1304" s="1">
        <f t="shared" si="74"/>
        <v>-74.806131984298332</v>
      </c>
      <c r="G1304" s="1">
        <f t="shared" ref="G1304:G1367" si="76">EXP(F1304)</f>
        <v>3.2516939778490422E-33</v>
      </c>
      <c r="H1304" s="1">
        <f>G1304/$G$21</f>
        <v>2.2802002215029187E-34</v>
      </c>
      <c r="I1304">
        <f>IF($E$11&lt;=D1304, IF(D1304&lt;=$A$15,D1304-$E$11,$F$11),0)</f>
        <v>300</v>
      </c>
      <c r="J1304">
        <f>IF(D1304&lt;=$A$15,0,D1304-$A$15)</f>
        <v>972</v>
      </c>
      <c r="K1304" s="5">
        <f>IF(D1304&lt;$E$11,H1304,0)</f>
        <v>0</v>
      </c>
      <c r="L1304">
        <f>IF(D1304&lt;$A$15,$C$11,$C$11*(1-$G$11))</f>
        <v>200</v>
      </c>
      <c r="M1304">
        <f>IF(D1304&lt;$A$15,0,1)</f>
        <v>1</v>
      </c>
    </row>
    <row r="1305" spans="4:13" x14ac:dyDescent="0.2">
      <c r="D1305">
        <f t="shared" ref="D1305:D1368" si="77">1+D1304</f>
        <v>1282</v>
      </c>
      <c r="E1305" s="1">
        <f t="shared" si="75"/>
        <v>191.44297512856042</v>
      </c>
      <c r="F1305" s="1">
        <f t="shared" ref="F1305:F1368" si="78">E1305-$E$21</f>
        <v>-74.883093025434448</v>
      </c>
      <c r="G1305" s="1">
        <f t="shared" si="76"/>
        <v>3.0108277572676696E-33</v>
      </c>
      <c r="H1305" s="1">
        <f>G1305/$G$21</f>
        <v>2.1112965013916177E-34</v>
      </c>
      <c r="I1305">
        <f>IF($E$11&lt;=D1305, IF(D1305&lt;=$A$15,D1305-$E$11,$F$11),0)</f>
        <v>300</v>
      </c>
      <c r="J1305">
        <f>IF(D1305&lt;=$A$15,0,D1305-$A$15)</f>
        <v>973</v>
      </c>
      <c r="K1305" s="5">
        <f>IF(D1305&lt;$E$11,H1305,0)</f>
        <v>0</v>
      </c>
      <c r="L1305">
        <f>IF(D1305&lt;$A$15,$C$11,$C$11*(1-$G$11))</f>
        <v>200</v>
      </c>
      <c r="M1305">
        <f>IF(D1305&lt;$A$15,0,1)</f>
        <v>1</v>
      </c>
    </row>
    <row r="1306" spans="4:13" x14ac:dyDescent="0.2">
      <c r="D1306">
        <f t="shared" si="77"/>
        <v>1283</v>
      </c>
      <c r="E1306" s="1">
        <f t="shared" si="75"/>
        <v>191.3660140874243</v>
      </c>
      <c r="F1306" s="1">
        <f t="shared" si="78"/>
        <v>-74.960054066570564</v>
      </c>
      <c r="G1306" s="1">
        <f t="shared" si="76"/>
        <v>2.787803478951581E-33</v>
      </c>
      <c r="H1306" s="1">
        <f>G1306/$G$21</f>
        <v>1.9549041679552265E-34</v>
      </c>
      <c r="I1306">
        <f>IF($E$11&lt;=D1306, IF(D1306&lt;=$A$15,D1306-$E$11,$F$11),0)</f>
        <v>300</v>
      </c>
      <c r="J1306">
        <f>IF(D1306&lt;=$A$15,0,D1306-$A$15)</f>
        <v>974</v>
      </c>
      <c r="K1306" s="5">
        <f>IF(D1306&lt;$E$11,H1306,0)</f>
        <v>0</v>
      </c>
      <c r="L1306">
        <f>IF(D1306&lt;$A$15,$C$11,$C$11*(1-$G$11))</f>
        <v>200</v>
      </c>
      <c r="M1306">
        <f>IF(D1306&lt;$A$15,0,1)</f>
        <v>1</v>
      </c>
    </row>
    <row r="1307" spans="4:13" x14ac:dyDescent="0.2">
      <c r="D1307">
        <f t="shared" si="77"/>
        <v>1284</v>
      </c>
      <c r="E1307" s="1">
        <f t="shared" si="75"/>
        <v>191.28905304628819</v>
      </c>
      <c r="F1307" s="1">
        <f t="shared" si="78"/>
        <v>-75.037015107706679</v>
      </c>
      <c r="G1307" s="1">
        <f t="shared" si="76"/>
        <v>2.5812995175477928E-33</v>
      </c>
      <c r="H1307" s="1">
        <f>G1307/$G$21</f>
        <v>1.8100964518104176E-34</v>
      </c>
      <c r="I1307">
        <f>IF($E$11&lt;=D1307, IF(D1307&lt;=$A$15,D1307-$E$11,$F$11),0)</f>
        <v>300</v>
      </c>
      <c r="J1307">
        <f>IF(D1307&lt;=$A$15,0,D1307-$A$15)</f>
        <v>975</v>
      </c>
      <c r="K1307" s="5">
        <f>IF(D1307&lt;$E$11,H1307,0)</f>
        <v>0</v>
      </c>
      <c r="L1307">
        <f>IF(D1307&lt;$A$15,$C$11,$C$11*(1-$G$11))</f>
        <v>200</v>
      </c>
      <c r="M1307">
        <f>IF(D1307&lt;$A$15,0,1)</f>
        <v>1</v>
      </c>
    </row>
    <row r="1308" spans="4:13" x14ac:dyDescent="0.2">
      <c r="D1308">
        <f t="shared" si="77"/>
        <v>1285</v>
      </c>
      <c r="E1308" s="1">
        <f t="shared" si="75"/>
        <v>191.21209200515207</v>
      </c>
      <c r="F1308" s="1">
        <f t="shared" si="78"/>
        <v>-75.113976148842795</v>
      </c>
      <c r="G1308" s="1">
        <f t="shared" si="76"/>
        <v>2.3900921458776163E-33</v>
      </c>
      <c r="H1308" s="1">
        <f>G1308/$G$21</f>
        <v>1.6760152331578154E-34</v>
      </c>
      <c r="I1308">
        <f>IF($E$11&lt;=D1308, IF(D1308&lt;=$A$15,D1308-$E$11,$F$11),0)</f>
        <v>300</v>
      </c>
      <c r="J1308">
        <f>IF(D1308&lt;=$A$15,0,D1308-$A$15)</f>
        <v>976</v>
      </c>
      <c r="K1308" s="5">
        <f>IF(D1308&lt;$E$11,H1308,0)</f>
        <v>0</v>
      </c>
      <c r="L1308">
        <f>IF(D1308&lt;$A$15,$C$11,$C$11*(1-$G$11))</f>
        <v>200</v>
      </c>
      <c r="M1308">
        <f>IF(D1308&lt;$A$15,0,1)</f>
        <v>1</v>
      </c>
    </row>
    <row r="1309" spans="4:13" x14ac:dyDescent="0.2">
      <c r="D1309">
        <f t="shared" si="77"/>
        <v>1286</v>
      </c>
      <c r="E1309" s="1">
        <f t="shared" si="75"/>
        <v>191.13513096401596</v>
      </c>
      <c r="F1309" s="1">
        <f t="shared" si="78"/>
        <v>-75.190937189978911</v>
      </c>
      <c r="G1309" s="1">
        <f t="shared" si="76"/>
        <v>2.2130482832200429E-33</v>
      </c>
      <c r="H1309" s="1">
        <f>G1309/$G$21</f>
        <v>1.5518659566276263E-34</v>
      </c>
      <c r="I1309">
        <f>IF($E$11&lt;=D1309, IF(D1309&lt;=$A$15,D1309-$E$11,$F$11),0)</f>
        <v>300</v>
      </c>
      <c r="J1309">
        <f>IF(D1309&lt;=$A$15,0,D1309-$A$15)</f>
        <v>977</v>
      </c>
      <c r="K1309" s="5">
        <f>IF(D1309&lt;$E$11,H1309,0)</f>
        <v>0</v>
      </c>
      <c r="L1309">
        <f>IF(D1309&lt;$A$15,$C$11,$C$11*(1-$G$11))</f>
        <v>200</v>
      </c>
      <c r="M1309">
        <f>IF(D1309&lt;$A$15,0,1)</f>
        <v>1</v>
      </c>
    </row>
    <row r="1310" spans="4:13" x14ac:dyDescent="0.2">
      <c r="D1310">
        <f t="shared" si="77"/>
        <v>1287</v>
      </c>
      <c r="E1310" s="1">
        <f t="shared" si="75"/>
        <v>191.05816992287984</v>
      </c>
      <c r="F1310" s="1">
        <f t="shared" si="78"/>
        <v>-75.267898231115026</v>
      </c>
      <c r="G1310" s="1">
        <f t="shared" si="76"/>
        <v>2.049118780759325E-33</v>
      </c>
      <c r="H1310" s="1">
        <f>G1310/$G$21</f>
        <v>1.4369129228033759E-34</v>
      </c>
      <c r="I1310">
        <f>IF($E$11&lt;=D1310, IF(D1310&lt;=$A$15,D1310-$E$11,$F$11),0)</f>
        <v>300</v>
      </c>
      <c r="J1310">
        <f>IF(D1310&lt;=$A$15,0,D1310-$A$15)</f>
        <v>978</v>
      </c>
      <c r="K1310" s="5">
        <f>IF(D1310&lt;$E$11,H1310,0)</f>
        <v>0</v>
      </c>
      <c r="L1310">
        <f>IF(D1310&lt;$A$15,$C$11,$C$11*(1-$G$11))</f>
        <v>200</v>
      </c>
      <c r="M1310">
        <f>IF(D1310&lt;$A$15,0,1)</f>
        <v>1</v>
      </c>
    </row>
    <row r="1311" spans="4:13" x14ac:dyDescent="0.2">
      <c r="D1311">
        <f t="shared" si="77"/>
        <v>1288</v>
      </c>
      <c r="E1311" s="1">
        <f t="shared" si="75"/>
        <v>190.98120888174373</v>
      </c>
      <c r="F1311" s="1">
        <f t="shared" si="78"/>
        <v>-75.344859272251142</v>
      </c>
      <c r="G1311" s="1">
        <f t="shared" si="76"/>
        <v>1.8973322044068064E-33</v>
      </c>
      <c r="H1311" s="1">
        <f>G1311/$G$21</f>
        <v>1.3304749285216613E-34</v>
      </c>
      <c r="I1311">
        <f>IF($E$11&lt;=D1311, IF(D1311&lt;=$A$15,D1311-$E$11,$F$11),0)</f>
        <v>300</v>
      </c>
      <c r="J1311">
        <f>IF(D1311&lt;=$A$15,0,D1311-$A$15)</f>
        <v>979</v>
      </c>
      <c r="K1311" s="5">
        <f>IF(D1311&lt;$E$11,H1311,0)</f>
        <v>0</v>
      </c>
      <c r="L1311">
        <f>IF(D1311&lt;$A$15,$C$11,$C$11*(1-$G$11))</f>
        <v>200</v>
      </c>
      <c r="M1311">
        <f>IF(D1311&lt;$A$15,0,1)</f>
        <v>1</v>
      </c>
    </row>
    <row r="1312" spans="4:13" x14ac:dyDescent="0.2">
      <c r="D1312">
        <f t="shared" si="77"/>
        <v>1289</v>
      </c>
      <c r="E1312" s="1">
        <f t="shared" si="75"/>
        <v>190.90424784060761</v>
      </c>
      <c r="F1312" s="1">
        <f t="shared" si="78"/>
        <v>-75.421820313387258</v>
      </c>
      <c r="G1312" s="1">
        <f t="shared" si="76"/>
        <v>1.7567890781544728E-33</v>
      </c>
      <c r="H1312" s="1">
        <f>G1312/$G$21</f>
        <v>1.2319212301126651E-34</v>
      </c>
      <c r="I1312">
        <f>IF($E$11&lt;=D1312, IF(D1312&lt;=$A$15,D1312-$E$11,$F$11),0)</f>
        <v>300</v>
      </c>
      <c r="J1312">
        <f>IF(D1312&lt;=$A$15,0,D1312-$A$15)</f>
        <v>980</v>
      </c>
      <c r="K1312" s="5">
        <f>IF(D1312&lt;$E$11,H1312,0)</f>
        <v>0</v>
      </c>
      <c r="L1312">
        <f>IF(D1312&lt;$A$15,$C$11,$C$11*(1-$G$11))</f>
        <v>200</v>
      </c>
      <c r="M1312">
        <f>IF(D1312&lt;$A$15,0,1)</f>
        <v>1</v>
      </c>
    </row>
    <row r="1313" spans="4:13" x14ac:dyDescent="0.2">
      <c r="D1313">
        <f t="shared" si="77"/>
        <v>1290</v>
      </c>
      <c r="E1313" s="1">
        <f t="shared" si="75"/>
        <v>190.82728679947149</v>
      </c>
      <c r="F1313" s="1">
        <f t="shared" si="78"/>
        <v>-75.498781354523373</v>
      </c>
      <c r="G1313" s="1">
        <f t="shared" si="76"/>
        <v>1.6266565538467543E-33</v>
      </c>
      <c r="H1313" s="1">
        <f>G1313/$G$21</f>
        <v>1.1406678056598892E-34</v>
      </c>
      <c r="I1313">
        <f>IF($E$11&lt;=D1313, IF(D1313&lt;=$A$15,D1313-$E$11,$F$11),0)</f>
        <v>300</v>
      </c>
      <c r="J1313">
        <f>IF(D1313&lt;=$A$15,0,D1313-$A$15)</f>
        <v>981</v>
      </c>
      <c r="K1313" s="5">
        <f>IF(D1313&lt;$E$11,H1313,0)</f>
        <v>0</v>
      </c>
      <c r="L1313">
        <f>IF(D1313&lt;$A$15,$C$11,$C$11*(1-$G$11))</f>
        <v>200</v>
      </c>
      <c r="M1313">
        <f>IF(D1313&lt;$A$15,0,1)</f>
        <v>1</v>
      </c>
    </row>
    <row r="1314" spans="4:13" x14ac:dyDescent="0.2">
      <c r="D1314">
        <f t="shared" si="77"/>
        <v>1291</v>
      </c>
      <c r="E1314" s="1">
        <f t="shared" si="75"/>
        <v>190.75032575833538</v>
      </c>
      <c r="F1314" s="1">
        <f t="shared" si="78"/>
        <v>-75.575742395659489</v>
      </c>
      <c r="G1314" s="1">
        <f t="shared" si="76"/>
        <v>1.506163475784051E-33</v>
      </c>
      <c r="H1314" s="1">
        <f>G1314/$G$21</f>
        <v>1.0561738941295404E-34</v>
      </c>
      <c r="I1314">
        <f>IF($E$11&lt;=D1314, IF(D1314&lt;=$A$15,D1314-$E$11,$F$11),0)</f>
        <v>300</v>
      </c>
      <c r="J1314">
        <f>IF(D1314&lt;=$A$15,0,D1314-$A$15)</f>
        <v>982</v>
      </c>
      <c r="K1314" s="5">
        <f>IF(D1314&lt;$E$11,H1314,0)</f>
        <v>0</v>
      </c>
      <c r="L1314">
        <f>IF(D1314&lt;$A$15,$C$11,$C$11*(1-$G$11))</f>
        <v>200</v>
      </c>
      <c r="M1314">
        <f>IF(D1314&lt;$A$15,0,1)</f>
        <v>1</v>
      </c>
    </row>
    <row r="1315" spans="4:13" x14ac:dyDescent="0.2">
      <c r="D1315">
        <f t="shared" si="77"/>
        <v>1292</v>
      </c>
      <c r="E1315" s="1">
        <f t="shared" si="75"/>
        <v>190.67336471719926</v>
      </c>
      <c r="F1315" s="1">
        <f t="shared" si="78"/>
        <v>-75.652703436795605</v>
      </c>
      <c r="G1315" s="1">
        <f t="shared" si="76"/>
        <v>1.3945958109111758E-33</v>
      </c>
      <c r="H1315" s="1">
        <f>G1315/$G$21</f>
        <v>9.7793879086069791E-35</v>
      </c>
      <c r="I1315">
        <f>IF($E$11&lt;=D1315, IF(D1315&lt;=$A$15,D1315-$E$11,$F$11),0)</f>
        <v>300</v>
      </c>
      <c r="J1315">
        <f>IF(D1315&lt;=$A$15,0,D1315-$A$15)</f>
        <v>983</v>
      </c>
      <c r="K1315" s="5">
        <f>IF(D1315&lt;$E$11,H1315,0)</f>
        <v>0</v>
      </c>
      <c r="L1315">
        <f>IF(D1315&lt;$A$15,$C$11,$C$11*(1-$G$11))</f>
        <v>200</v>
      </c>
      <c r="M1315">
        <f>IF(D1315&lt;$A$15,0,1)</f>
        <v>1</v>
      </c>
    </row>
    <row r="1316" spans="4:13" x14ac:dyDescent="0.2">
      <c r="D1316">
        <f t="shared" si="77"/>
        <v>1293</v>
      </c>
      <c r="E1316" s="1">
        <f t="shared" si="75"/>
        <v>190.59640367606315</v>
      </c>
      <c r="F1316" s="1">
        <f t="shared" si="78"/>
        <v>-75.729664477931721</v>
      </c>
      <c r="G1316" s="1">
        <f t="shared" si="76"/>
        <v>1.2912924175103644E-33</v>
      </c>
      <c r="H1316" s="1">
        <f>G1316/$G$21</f>
        <v>9.054988804265837E-35</v>
      </c>
      <c r="I1316">
        <f>IF($E$11&lt;=D1316, IF(D1316&lt;=$A$15,D1316-$E$11,$F$11),0)</f>
        <v>300</v>
      </c>
      <c r="J1316">
        <f>IF(D1316&lt;=$A$15,0,D1316-$A$15)</f>
        <v>984</v>
      </c>
      <c r="K1316" s="5">
        <f>IF(D1316&lt;$E$11,H1316,0)</f>
        <v>0</v>
      </c>
      <c r="L1316">
        <f>IF(D1316&lt;$A$15,$C$11,$C$11*(1-$G$11))</f>
        <v>200</v>
      </c>
      <c r="M1316">
        <f>IF(D1316&lt;$A$15,0,1)</f>
        <v>1</v>
      </c>
    </row>
    <row r="1317" spans="4:13" x14ac:dyDescent="0.2">
      <c r="D1317">
        <f t="shared" si="77"/>
        <v>1294</v>
      </c>
      <c r="E1317" s="1">
        <f t="shared" si="75"/>
        <v>190.51944263492703</v>
      </c>
      <c r="F1317" s="1">
        <f t="shared" si="78"/>
        <v>-75.806625519067836</v>
      </c>
      <c r="G1317" s="1">
        <f t="shared" si="76"/>
        <v>1.1956411273244266E-33</v>
      </c>
      <c r="H1317" s="1">
        <f>G1317/$G$21</f>
        <v>8.3842488928388434E-35</v>
      </c>
      <c r="I1317">
        <f>IF($E$11&lt;=D1317, IF(D1317&lt;=$A$15,D1317-$E$11,$F$11),0)</f>
        <v>300</v>
      </c>
      <c r="J1317">
        <f>IF(D1317&lt;=$A$15,0,D1317-$A$15)</f>
        <v>985</v>
      </c>
      <c r="K1317" s="5">
        <f>IF(D1317&lt;$E$11,H1317,0)</f>
        <v>0</v>
      </c>
      <c r="L1317">
        <f>IF(D1317&lt;$A$15,$C$11,$C$11*(1-$G$11))</f>
        <v>200</v>
      </c>
      <c r="M1317">
        <f>IF(D1317&lt;$A$15,0,1)</f>
        <v>1</v>
      </c>
    </row>
    <row r="1318" spans="4:13" x14ac:dyDescent="0.2">
      <c r="D1318">
        <f t="shared" si="77"/>
        <v>1295</v>
      </c>
      <c r="E1318" s="1">
        <f t="shared" si="75"/>
        <v>190.44248159379092</v>
      </c>
      <c r="F1318" s="1">
        <f t="shared" si="78"/>
        <v>-75.883586560203952</v>
      </c>
      <c r="G1318" s="1">
        <f t="shared" si="76"/>
        <v>1.1070751178930016E-33</v>
      </c>
      <c r="H1318" s="1">
        <f>G1318/$G$21</f>
        <v>7.7631934192953236E-35</v>
      </c>
      <c r="I1318">
        <f>IF($E$11&lt;=D1318, IF(D1318&lt;=$A$15,D1318-$E$11,$F$11),0)</f>
        <v>300</v>
      </c>
      <c r="J1318">
        <f>IF(D1318&lt;=$A$15,0,D1318-$A$15)</f>
        <v>986</v>
      </c>
      <c r="K1318" s="5">
        <f>IF(D1318&lt;$E$11,H1318,0)</f>
        <v>0</v>
      </c>
      <c r="L1318">
        <f>IF(D1318&lt;$A$15,$C$11,$C$11*(1-$G$11))</f>
        <v>200</v>
      </c>
      <c r="M1318">
        <f>IF(D1318&lt;$A$15,0,1)</f>
        <v>1</v>
      </c>
    </row>
    <row r="1319" spans="4:13" x14ac:dyDescent="0.2">
      <c r="D1319">
        <f t="shared" si="77"/>
        <v>1296</v>
      </c>
      <c r="E1319" s="1">
        <f t="shared" si="75"/>
        <v>190.3655205526548</v>
      </c>
      <c r="F1319" s="1">
        <f t="shared" si="78"/>
        <v>-75.960547601340068</v>
      </c>
      <c r="G1319" s="1">
        <f t="shared" si="76"/>
        <v>1.025069553604644E-33</v>
      </c>
      <c r="H1319" s="1">
        <f>G1319/$G$21</f>
        <v>7.1881420549031683E-35</v>
      </c>
      <c r="I1319">
        <f>IF($E$11&lt;=D1319, IF(D1319&lt;=$A$15,D1319-$E$11,$F$11),0)</f>
        <v>300</v>
      </c>
      <c r="J1319">
        <f>IF(D1319&lt;=$A$15,0,D1319-$A$15)</f>
        <v>987</v>
      </c>
      <c r="K1319" s="5">
        <f>IF(D1319&lt;$E$11,H1319,0)</f>
        <v>0</v>
      </c>
      <c r="L1319">
        <f>IF(D1319&lt;$A$15,$C$11,$C$11*(1-$G$11))</f>
        <v>200</v>
      </c>
      <c r="M1319">
        <f>IF(D1319&lt;$A$15,0,1)</f>
        <v>1</v>
      </c>
    </row>
    <row r="1320" spans="4:13" x14ac:dyDescent="0.2">
      <c r="D1320">
        <f t="shared" si="77"/>
        <v>1297</v>
      </c>
      <c r="E1320" s="1">
        <f t="shared" si="75"/>
        <v>190.28855951151868</v>
      </c>
      <c r="F1320" s="1">
        <f t="shared" si="78"/>
        <v>-76.037508642476183</v>
      </c>
      <c r="G1320" s="1">
        <f t="shared" si="76"/>
        <v>9.4913847555986765E-34</v>
      </c>
      <c r="H1320" s="1">
        <f>G1320/$G$21</f>
        <v>6.6556870878733884E-35</v>
      </c>
      <c r="I1320">
        <f>IF($E$11&lt;=D1320, IF(D1320&lt;=$A$15,D1320-$E$11,$F$11),0)</f>
        <v>300</v>
      </c>
      <c r="J1320">
        <f>IF(D1320&lt;=$A$15,0,D1320-$A$15)</f>
        <v>988</v>
      </c>
      <c r="K1320" s="5">
        <f>IF(D1320&lt;$E$11,H1320,0)</f>
        <v>0</v>
      </c>
      <c r="L1320">
        <f>IF(D1320&lt;$A$15,$C$11,$C$11*(1-$G$11))</f>
        <v>200</v>
      </c>
      <c r="M1320">
        <f>IF(D1320&lt;$A$15,0,1)</f>
        <v>1</v>
      </c>
    </row>
    <row r="1321" spans="4:13" x14ac:dyDescent="0.2">
      <c r="D1321">
        <f t="shared" si="77"/>
        <v>1298</v>
      </c>
      <c r="E1321" s="1">
        <f t="shared" si="75"/>
        <v>190.21159847038257</v>
      </c>
      <c r="F1321" s="1">
        <f t="shared" si="78"/>
        <v>-76.114469683612299</v>
      </c>
      <c r="G1321" s="1">
        <f t="shared" si="76"/>
        <v>8.7883192181470335E-34</v>
      </c>
      <c r="H1321" s="1">
        <f>G1321/$G$21</f>
        <v>6.1626732295124745E-35</v>
      </c>
      <c r="I1321">
        <f>IF($E$11&lt;=D1321, IF(D1321&lt;=$A$15,D1321-$E$11,$F$11),0)</f>
        <v>300</v>
      </c>
      <c r="J1321">
        <f>IF(D1321&lt;=$A$15,0,D1321-$A$15)</f>
        <v>989</v>
      </c>
      <c r="K1321" s="5">
        <f>IF(D1321&lt;$E$11,H1321,0)</f>
        <v>0</v>
      </c>
      <c r="L1321">
        <f>IF(D1321&lt;$A$15,$C$11,$C$11*(1-$G$11))</f>
        <v>200</v>
      </c>
      <c r="M1321">
        <f>IF(D1321&lt;$A$15,0,1)</f>
        <v>1</v>
      </c>
    </row>
    <row r="1322" spans="4:13" x14ac:dyDescent="0.2">
      <c r="D1322">
        <f t="shared" si="77"/>
        <v>1299</v>
      </c>
      <c r="E1322" s="1">
        <f t="shared" si="75"/>
        <v>190.13463742924645</v>
      </c>
      <c r="F1322" s="1">
        <f t="shared" si="78"/>
        <v>-76.191430724748415</v>
      </c>
      <c r="G1322" s="1">
        <f t="shared" si="76"/>
        <v>8.1373326093955038E-34</v>
      </c>
      <c r="H1322" s="1">
        <f>G1322/$G$21</f>
        <v>5.7061789162153264E-35</v>
      </c>
      <c r="I1322">
        <f>IF($E$11&lt;=D1322, IF(D1322&lt;=$A$15,D1322-$E$11,$F$11),0)</f>
        <v>300</v>
      </c>
      <c r="J1322">
        <f>IF(D1322&lt;=$A$15,0,D1322-$A$15)</f>
        <v>990</v>
      </c>
      <c r="K1322" s="5">
        <f>IF(D1322&lt;$E$11,H1322,0)</f>
        <v>0</v>
      </c>
      <c r="L1322">
        <f>IF(D1322&lt;$A$15,$C$11,$C$11*(1-$G$11))</f>
        <v>200</v>
      </c>
      <c r="M1322">
        <f>IF(D1322&lt;$A$15,0,1)</f>
        <v>1</v>
      </c>
    </row>
    <row r="1323" spans="4:13" x14ac:dyDescent="0.2">
      <c r="D1323">
        <f t="shared" si="77"/>
        <v>1300</v>
      </c>
      <c r="E1323" s="1">
        <f t="shared" si="75"/>
        <v>190.05767638811034</v>
      </c>
      <c r="F1323" s="1">
        <f t="shared" si="78"/>
        <v>-76.26839176588453</v>
      </c>
      <c r="G1323" s="1">
        <f t="shared" si="76"/>
        <v>7.5345672309218587E-34</v>
      </c>
      <c r="H1323" s="1">
        <f>G1323/$G$21</f>
        <v>5.2834989964957398E-35</v>
      </c>
      <c r="I1323">
        <f>IF($E$11&lt;=D1323, IF(D1323&lt;=$A$15,D1323-$E$11,$F$11),0)</f>
        <v>300</v>
      </c>
      <c r="J1323">
        <f>IF(D1323&lt;=$A$15,0,D1323-$A$15)</f>
        <v>991</v>
      </c>
      <c r="K1323" s="5">
        <f>IF(D1323&lt;$E$11,H1323,0)</f>
        <v>0</v>
      </c>
      <c r="L1323">
        <f>IF(D1323&lt;$A$15,$C$11,$C$11*(1-$G$11))</f>
        <v>200</v>
      </c>
      <c r="M1323">
        <f>IF(D1323&lt;$A$15,0,1)</f>
        <v>1</v>
      </c>
    </row>
    <row r="1324" spans="4:13" x14ac:dyDescent="0.2">
      <c r="D1324">
        <f t="shared" si="77"/>
        <v>1301</v>
      </c>
      <c r="E1324" s="1">
        <f t="shared" si="75"/>
        <v>189.98071534697422</v>
      </c>
      <c r="F1324" s="1">
        <f t="shared" si="78"/>
        <v>-76.345352807020646</v>
      </c>
      <c r="G1324" s="1">
        <f t="shared" si="76"/>
        <v>6.9764511397425496E-34</v>
      </c>
      <c r="H1324" s="1">
        <f>G1324/$G$21</f>
        <v>4.8921287004590794E-35</v>
      </c>
      <c r="I1324">
        <f>IF($E$11&lt;=D1324, IF(D1324&lt;=$A$15,D1324-$E$11,$F$11),0)</f>
        <v>300</v>
      </c>
      <c r="J1324">
        <f>IF(D1324&lt;=$A$15,0,D1324-$A$15)</f>
        <v>992</v>
      </c>
      <c r="K1324" s="5">
        <f>IF(D1324&lt;$E$11,H1324,0)</f>
        <v>0</v>
      </c>
      <c r="L1324">
        <f>IF(D1324&lt;$A$15,$C$11,$C$11*(1-$G$11))</f>
        <v>200</v>
      </c>
      <c r="M1324">
        <f>IF(D1324&lt;$A$15,0,1)</f>
        <v>1</v>
      </c>
    </row>
    <row r="1325" spans="4:13" x14ac:dyDescent="0.2">
      <c r="D1325">
        <f t="shared" si="77"/>
        <v>1302</v>
      </c>
      <c r="E1325" s="1">
        <f t="shared" si="75"/>
        <v>189.90375430583811</v>
      </c>
      <c r="F1325" s="1">
        <f t="shared" si="78"/>
        <v>-76.422313848156762</v>
      </c>
      <c r="G1325" s="1">
        <f t="shared" si="76"/>
        <v>6.459676981243183E-34</v>
      </c>
      <c r="H1325" s="1">
        <f>G1325/$G$21</f>
        <v>4.5297487967214272E-35</v>
      </c>
      <c r="I1325">
        <f>IF($E$11&lt;=D1325, IF(D1325&lt;=$A$15,D1325-$E$11,$F$11),0)</f>
        <v>300</v>
      </c>
      <c r="J1325">
        <f>IF(D1325&lt;=$A$15,0,D1325-$A$15)</f>
        <v>993</v>
      </c>
      <c r="K1325" s="5">
        <f>IF(D1325&lt;$E$11,H1325,0)</f>
        <v>0</v>
      </c>
      <c r="L1325">
        <f>IF(D1325&lt;$A$15,$C$11,$C$11*(1-$G$11))</f>
        <v>200</v>
      </c>
      <c r="M1325">
        <f>IF(D1325&lt;$A$15,0,1)</f>
        <v>1</v>
      </c>
    </row>
    <row r="1326" spans="4:13" x14ac:dyDescent="0.2">
      <c r="D1326">
        <f t="shared" si="77"/>
        <v>1303</v>
      </c>
      <c r="E1326" s="1">
        <f t="shared" si="75"/>
        <v>189.82679326470199</v>
      </c>
      <c r="F1326" s="1">
        <f t="shared" si="78"/>
        <v>-76.499274889292877</v>
      </c>
      <c r="G1326" s="1">
        <f t="shared" si="76"/>
        <v>5.9811823900400602E-34</v>
      </c>
      <c r="H1326" s="1">
        <f>G1326/$G$21</f>
        <v>4.1942118488161895E-35</v>
      </c>
      <c r="I1326">
        <f>IF($E$11&lt;=D1326, IF(D1326&lt;=$A$15,D1326-$E$11,$F$11),0)</f>
        <v>300</v>
      </c>
      <c r="J1326">
        <f>IF(D1326&lt;=$A$15,0,D1326-$A$15)</f>
        <v>994</v>
      </c>
      <c r="K1326" s="5">
        <f>IF(D1326&lt;$E$11,H1326,0)</f>
        <v>0</v>
      </c>
      <c r="L1326">
        <f>IF(D1326&lt;$A$15,$C$11,$C$11*(1-$G$11))</f>
        <v>200</v>
      </c>
      <c r="M1326">
        <f>IF(D1326&lt;$A$15,0,1)</f>
        <v>1</v>
      </c>
    </row>
    <row r="1327" spans="4:13" x14ac:dyDescent="0.2">
      <c r="D1327">
        <f t="shared" si="77"/>
        <v>1304</v>
      </c>
      <c r="E1327" s="1">
        <f t="shared" si="75"/>
        <v>189.74983222356587</v>
      </c>
      <c r="F1327" s="1">
        <f t="shared" si="78"/>
        <v>-76.576235930428993</v>
      </c>
      <c r="G1327" s="1">
        <f t="shared" si="76"/>
        <v>5.5381318426297551E-34</v>
      </c>
      <c r="H1327" s="1">
        <f>G1327/$G$21</f>
        <v>3.8835294896446691E-35</v>
      </c>
      <c r="I1327">
        <f>IF($E$11&lt;=D1327, IF(D1327&lt;=$A$15,D1327-$E$11,$F$11),0)</f>
        <v>300</v>
      </c>
      <c r="J1327">
        <f>IF(D1327&lt;=$A$15,0,D1327-$A$15)</f>
        <v>995</v>
      </c>
      <c r="K1327" s="5">
        <f>IF(D1327&lt;$E$11,H1327,0)</f>
        <v>0</v>
      </c>
      <c r="L1327">
        <f>IF(D1327&lt;$A$15,$C$11,$C$11*(1-$G$11))</f>
        <v>200</v>
      </c>
      <c r="M1327">
        <f>IF(D1327&lt;$A$15,0,1)</f>
        <v>1</v>
      </c>
    </row>
    <row r="1328" spans="4:13" x14ac:dyDescent="0.2">
      <c r="D1328">
        <f t="shared" si="77"/>
        <v>1305</v>
      </c>
      <c r="E1328" s="1">
        <f t="shared" si="75"/>
        <v>189.67287118242976</v>
      </c>
      <c r="F1328" s="1">
        <f t="shared" si="78"/>
        <v>-76.653196971565109</v>
      </c>
      <c r="G1328" s="1">
        <f t="shared" si="76"/>
        <v>5.127899854286875E-34</v>
      </c>
      <c r="H1328" s="1">
        <f>G1328/$G$21</f>
        <v>3.595860638559924E-35</v>
      </c>
      <c r="I1328">
        <f>IF($E$11&lt;=D1328, IF(D1328&lt;=$A$15,D1328-$E$11,$F$11),0)</f>
        <v>300</v>
      </c>
      <c r="J1328">
        <f>IF(D1328&lt;=$A$15,0,D1328-$A$15)</f>
        <v>996</v>
      </c>
      <c r="K1328" s="5">
        <f>IF(D1328&lt;$E$11,H1328,0)</f>
        <v>0</v>
      </c>
      <c r="L1328">
        <f>IF(D1328&lt;$A$15,$C$11,$C$11*(1-$G$11))</f>
        <v>200</v>
      </c>
      <c r="M1328">
        <f>IF(D1328&lt;$A$15,0,1)</f>
        <v>1</v>
      </c>
    </row>
    <row r="1329" spans="4:13" x14ac:dyDescent="0.2">
      <c r="D1329">
        <f t="shared" si="77"/>
        <v>1306</v>
      </c>
      <c r="E1329" s="1">
        <f t="shared" si="75"/>
        <v>189.59591014129364</v>
      </c>
      <c r="F1329" s="1">
        <f t="shared" si="78"/>
        <v>-76.730158012701224</v>
      </c>
      <c r="G1329" s="1">
        <f t="shared" si="76"/>
        <v>4.7480554206360553E-34</v>
      </c>
      <c r="H1329" s="1">
        <f>G1329/$G$21</f>
        <v>3.3295005912592307E-35</v>
      </c>
      <c r="I1329">
        <f>IF($E$11&lt;=D1329, IF(D1329&lt;=$A$15,D1329-$E$11,$F$11),0)</f>
        <v>300</v>
      </c>
      <c r="J1329">
        <f>IF(D1329&lt;=$A$15,0,D1329-$A$15)</f>
        <v>997</v>
      </c>
      <c r="K1329" s="5">
        <f>IF(D1329&lt;$E$11,H1329,0)</f>
        <v>0</v>
      </c>
      <c r="L1329">
        <f>IF(D1329&lt;$A$15,$C$11,$C$11*(1-$G$11))</f>
        <v>200</v>
      </c>
      <c r="M1329">
        <f>IF(D1329&lt;$A$15,0,1)</f>
        <v>1</v>
      </c>
    </row>
    <row r="1330" spans="4:13" x14ac:dyDescent="0.2">
      <c r="D1330">
        <f t="shared" si="77"/>
        <v>1307</v>
      </c>
      <c r="E1330" s="1">
        <f t="shared" si="75"/>
        <v>189.51894910015753</v>
      </c>
      <c r="F1330" s="1">
        <f t="shared" si="78"/>
        <v>-76.80711905383734</v>
      </c>
      <c r="G1330" s="1">
        <f t="shared" si="76"/>
        <v>4.3963476117001072E-34</v>
      </c>
      <c r="H1330" s="1">
        <f>G1330/$G$21</f>
        <v>3.0828709178326607E-35</v>
      </c>
      <c r="I1330">
        <f>IF($E$11&lt;=D1330, IF(D1330&lt;=$A$15,D1330-$E$11,$F$11),0)</f>
        <v>300</v>
      </c>
      <c r="J1330">
        <f>IF(D1330&lt;=$A$15,0,D1330-$A$15)</f>
        <v>998</v>
      </c>
      <c r="K1330" s="5">
        <f>IF(D1330&lt;$E$11,H1330,0)</f>
        <v>0</v>
      </c>
      <c r="L1330">
        <f>IF(D1330&lt;$A$15,$C$11,$C$11*(1-$G$11))</f>
        <v>200</v>
      </c>
      <c r="M1330">
        <f>IF(D1330&lt;$A$15,0,1)</f>
        <v>1</v>
      </c>
    </row>
    <row r="1331" spans="4:13" x14ac:dyDescent="0.2">
      <c r="D1331">
        <f t="shared" si="77"/>
        <v>1308</v>
      </c>
      <c r="E1331" s="1">
        <f t="shared" si="75"/>
        <v>189.44198805902141</v>
      </c>
      <c r="F1331" s="1">
        <f t="shared" si="78"/>
        <v>-76.884080094973456</v>
      </c>
      <c r="G1331" s="1">
        <f t="shared" si="76"/>
        <v>4.070692233055706E-34</v>
      </c>
      <c r="H1331" s="1">
        <f>G1331/$G$21</f>
        <v>2.8545101091043511E-35</v>
      </c>
      <c r="I1331">
        <f>IF($E$11&lt;=D1331, IF(D1331&lt;=$A$15,D1331-$E$11,$F$11),0)</f>
        <v>300</v>
      </c>
      <c r="J1331">
        <f>IF(D1331&lt;=$A$15,0,D1331-$A$15)</f>
        <v>999</v>
      </c>
      <c r="K1331" s="5">
        <f>IF(D1331&lt;$E$11,H1331,0)</f>
        <v>0</v>
      </c>
      <c r="L1331">
        <f>IF(D1331&lt;$A$15,$C$11,$C$11*(1-$G$11))</f>
        <v>200</v>
      </c>
      <c r="M1331">
        <f>IF(D1331&lt;$A$15,0,1)</f>
        <v>1</v>
      </c>
    </row>
    <row r="1332" spans="4:13" x14ac:dyDescent="0.2">
      <c r="D1332">
        <f t="shared" si="77"/>
        <v>1309</v>
      </c>
      <c r="E1332" s="1">
        <f t="shared" si="75"/>
        <v>189.3650270178853</v>
      </c>
      <c r="F1332" s="1">
        <f t="shared" si="78"/>
        <v>-76.961041136109571</v>
      </c>
      <c r="G1332" s="1">
        <f t="shared" si="76"/>
        <v>3.7691594750516274E-34</v>
      </c>
      <c r="H1332" s="1">
        <f>G1332/$G$21</f>
        <v>2.6430649158373956E-35</v>
      </c>
      <c r="I1332">
        <f>IF($E$11&lt;=D1332, IF(D1332&lt;=$A$15,D1332-$E$11,$F$11),0)</f>
        <v>300</v>
      </c>
      <c r="J1332">
        <f>IF(D1332&lt;=$A$15,0,D1332-$A$15)</f>
        <v>1000</v>
      </c>
      <c r="K1332" s="5">
        <f>IF(D1332&lt;$E$11,H1332,0)</f>
        <v>0</v>
      </c>
      <c r="L1332">
        <f>IF(D1332&lt;$A$15,$C$11,$C$11*(1-$G$11))</f>
        <v>200</v>
      </c>
      <c r="M1332">
        <f>IF(D1332&lt;$A$15,0,1)</f>
        <v>1</v>
      </c>
    </row>
    <row r="1333" spans="4:13" x14ac:dyDescent="0.2">
      <c r="D1333">
        <f t="shared" si="77"/>
        <v>1310</v>
      </c>
      <c r="E1333" s="1">
        <f t="shared" si="75"/>
        <v>189.28806597674918</v>
      </c>
      <c r="F1333" s="1">
        <f t="shared" si="78"/>
        <v>-77.038002177245687</v>
      </c>
      <c r="G1333" s="1">
        <f t="shared" si="76"/>
        <v>3.4899624768996991E-34</v>
      </c>
      <c r="H1333" s="1">
        <f>G1333/$G$21</f>
        <v>2.4472823294791009E-35</v>
      </c>
      <c r="I1333">
        <f>IF($E$11&lt;=D1333, IF(D1333&lt;=$A$15,D1333-$E$11,$F$11),0)</f>
        <v>300</v>
      </c>
      <c r="J1333">
        <f>IF(D1333&lt;=$A$15,0,D1333-$A$15)</f>
        <v>1001</v>
      </c>
      <c r="K1333" s="5">
        <f>IF(D1333&lt;$E$11,H1333,0)</f>
        <v>0</v>
      </c>
      <c r="L1333">
        <f>IF(D1333&lt;$A$15,$C$11,$C$11*(1-$G$11))</f>
        <v>200</v>
      </c>
      <c r="M1333">
        <f>IF(D1333&lt;$A$15,0,1)</f>
        <v>1</v>
      </c>
    </row>
    <row r="1334" spans="4:13" x14ac:dyDescent="0.2">
      <c r="D1334">
        <f t="shared" si="77"/>
        <v>1311</v>
      </c>
      <c r="E1334" s="1">
        <f t="shared" si="75"/>
        <v>189.21110493561306</v>
      </c>
      <c r="F1334" s="1">
        <f t="shared" si="78"/>
        <v>-77.114963218381803</v>
      </c>
      <c r="G1334" s="1">
        <f t="shared" si="76"/>
        <v>3.2314467378701325E-34</v>
      </c>
      <c r="H1334" s="1">
        <f>G1334/$G$21</f>
        <v>2.266002156925122E-35</v>
      </c>
      <c r="I1334">
        <f>IF($E$11&lt;=D1334, IF(D1334&lt;=$A$15,D1334-$E$11,$F$11),0)</f>
        <v>300</v>
      </c>
      <c r="J1334">
        <f>IF(D1334&lt;=$A$15,0,D1334-$A$15)</f>
        <v>1002</v>
      </c>
      <c r="K1334" s="5">
        <f>IF(D1334&lt;$E$11,H1334,0)</f>
        <v>0</v>
      </c>
      <c r="L1334">
        <f>IF(D1334&lt;$A$15,$C$11,$C$11*(1-$G$11))</f>
        <v>200</v>
      </c>
      <c r="M1334">
        <f>IF(D1334&lt;$A$15,0,1)</f>
        <v>1</v>
      </c>
    </row>
    <row r="1335" spans="4:13" x14ac:dyDescent="0.2">
      <c r="D1335">
        <f t="shared" si="77"/>
        <v>1312</v>
      </c>
      <c r="E1335" s="1">
        <f t="shared" si="75"/>
        <v>189.13414389447695</v>
      </c>
      <c r="F1335" s="1">
        <f t="shared" si="78"/>
        <v>-77.191924259517918</v>
      </c>
      <c r="G1335" s="1">
        <f t="shared" si="76"/>
        <v>2.9920803128427534E-34</v>
      </c>
      <c r="H1335" s="1">
        <f>G1335/$G$21</f>
        <v>2.0981501453010656E-35</v>
      </c>
      <c r="I1335">
        <f>IF($E$11&lt;=D1335, IF(D1335&lt;=$A$15,D1335-$E$11,$F$11),0)</f>
        <v>300</v>
      </c>
      <c r="J1335">
        <f>IF(D1335&lt;=$A$15,0,D1335-$A$15)</f>
        <v>1003</v>
      </c>
      <c r="K1335" s="5">
        <f>IF(D1335&lt;$E$11,H1335,0)</f>
        <v>0</v>
      </c>
      <c r="L1335">
        <f>IF(D1335&lt;$A$15,$C$11,$C$11*(1-$G$11))</f>
        <v>200</v>
      </c>
      <c r="M1335">
        <f>IF(D1335&lt;$A$15,0,1)</f>
        <v>1</v>
      </c>
    </row>
    <row r="1336" spans="4:13" x14ac:dyDescent="0.2">
      <c r="D1336">
        <f t="shared" si="77"/>
        <v>1313</v>
      </c>
      <c r="E1336" s="1">
        <f t="shared" si="75"/>
        <v>189.05718285334083</v>
      </c>
      <c r="F1336" s="1">
        <f t="shared" si="78"/>
        <v>-77.268885300654034</v>
      </c>
      <c r="G1336" s="1">
        <f t="shared" si="76"/>
        <v>2.7704447341136954E-34</v>
      </c>
      <c r="H1336" s="1">
        <f>G1336/$G$21</f>
        <v>1.9427316160195296E-35</v>
      </c>
      <c r="I1336">
        <f>IF($E$11&lt;=D1336, IF(D1336&lt;=$A$15,D1336-$E$11,$F$11),0)</f>
        <v>300</v>
      </c>
      <c r="J1336">
        <f>IF(D1336&lt;=$A$15,0,D1336-$A$15)</f>
        <v>1004</v>
      </c>
      <c r="K1336" s="5">
        <f>IF(D1336&lt;$E$11,H1336,0)</f>
        <v>0</v>
      </c>
      <c r="L1336">
        <f>IF(D1336&lt;$A$15,$C$11,$C$11*(1-$G$11))</f>
        <v>200</v>
      </c>
      <c r="M1336">
        <f>IF(D1336&lt;$A$15,0,1)</f>
        <v>1</v>
      </c>
    </row>
    <row r="1337" spans="4:13" x14ac:dyDescent="0.2">
      <c r="D1337">
        <f t="shared" si="77"/>
        <v>1314</v>
      </c>
      <c r="E1337" s="1">
        <f t="shared" si="75"/>
        <v>188.98022181220472</v>
      </c>
      <c r="F1337" s="1">
        <f t="shared" si="78"/>
        <v>-77.34584634179015</v>
      </c>
      <c r="G1337" s="1">
        <f t="shared" si="76"/>
        <v>2.5652266056608617E-34</v>
      </c>
      <c r="H1337" s="1">
        <f>G1337/$G$21</f>
        <v>1.7988255703884763E-35</v>
      </c>
      <c r="I1337">
        <f>IF($E$11&lt;=D1337, IF(D1337&lt;=$A$15,D1337-$E$11,$F$11),0)</f>
        <v>300</v>
      </c>
      <c r="J1337">
        <f>IF(D1337&lt;=$A$15,0,D1337-$A$15)</f>
        <v>1005</v>
      </c>
      <c r="K1337" s="5">
        <f>IF(D1337&lt;$E$11,H1337,0)</f>
        <v>0</v>
      </c>
      <c r="L1337">
        <f>IF(D1337&lt;$A$15,$C$11,$C$11*(1-$G$11))</f>
        <v>200</v>
      </c>
      <c r="M1337">
        <f>IF(D1337&lt;$A$15,0,1)</f>
        <v>1</v>
      </c>
    </row>
    <row r="1338" spans="4:13" x14ac:dyDescent="0.2">
      <c r="D1338">
        <f t="shared" si="77"/>
        <v>1315</v>
      </c>
      <c r="E1338" s="1">
        <f t="shared" si="75"/>
        <v>188.9032607710686</v>
      </c>
      <c r="F1338" s="1">
        <f t="shared" si="78"/>
        <v>-77.422807382926266</v>
      </c>
      <c r="G1338" s="1">
        <f t="shared" si="76"/>
        <v>2.3752098200563835E-34</v>
      </c>
      <c r="H1338" s="1">
        <f>G1338/$G$21</f>
        <v>1.6655792318412029E-35</v>
      </c>
      <c r="I1338">
        <f>IF($E$11&lt;=D1338, IF(D1338&lt;=$A$15,D1338-$E$11,$F$11),0)</f>
        <v>300</v>
      </c>
      <c r="J1338">
        <f>IF(D1338&lt;=$A$15,0,D1338-$A$15)</f>
        <v>1006</v>
      </c>
      <c r="K1338" s="5">
        <f>IF(D1338&lt;$E$11,H1338,0)</f>
        <v>0</v>
      </c>
      <c r="L1338">
        <f>IF(D1338&lt;$A$15,$C$11,$C$11*(1-$G$11))</f>
        <v>200</v>
      </c>
      <c r="M1338">
        <f>IF(D1338&lt;$A$15,0,1)</f>
        <v>1</v>
      </c>
    </row>
    <row r="1339" spans="4:13" x14ac:dyDescent="0.2">
      <c r="D1339">
        <f t="shared" si="77"/>
        <v>1316</v>
      </c>
      <c r="E1339" s="1">
        <f t="shared" si="75"/>
        <v>188.82629972993249</v>
      </c>
      <c r="F1339" s="1">
        <f t="shared" si="78"/>
        <v>-77.499768424062381</v>
      </c>
      <c r="G1339" s="1">
        <f t="shared" si="76"/>
        <v>2.1992683519040865E-34</v>
      </c>
      <c r="H1339" s="1">
        <f>G1339/$G$21</f>
        <v>1.5422029924455775E-35</v>
      </c>
      <c r="I1339">
        <f>IF($E$11&lt;=D1339, IF(D1339&lt;=$A$15,D1339-$E$11,$F$11),0)</f>
        <v>300</v>
      </c>
      <c r="J1339">
        <f>IF(D1339&lt;=$A$15,0,D1339-$A$15)</f>
        <v>1007</v>
      </c>
      <c r="K1339" s="5">
        <f>IF(D1339&lt;$E$11,H1339,0)</f>
        <v>0</v>
      </c>
      <c r="L1339">
        <f>IF(D1339&lt;$A$15,$C$11,$C$11*(1-$G$11))</f>
        <v>200</v>
      </c>
      <c r="M1339">
        <f>IF(D1339&lt;$A$15,0,1)</f>
        <v>1</v>
      </c>
    </row>
    <row r="1340" spans="4:13" x14ac:dyDescent="0.2">
      <c r="D1340">
        <f t="shared" si="77"/>
        <v>1317</v>
      </c>
      <c r="E1340" s="1">
        <f t="shared" si="75"/>
        <v>188.74933868879637</v>
      </c>
      <c r="F1340" s="1">
        <f t="shared" si="78"/>
        <v>-77.576729465198497</v>
      </c>
      <c r="G1340" s="1">
        <f t="shared" si="76"/>
        <v>2.0363595850964022E-34</v>
      </c>
      <c r="H1340" s="1">
        <f>G1340/$G$21</f>
        <v>1.4279657337459233E-35</v>
      </c>
      <c r="I1340">
        <f>IF($E$11&lt;=D1340, IF(D1340&lt;=$A$15,D1340-$E$11,$F$11),0)</f>
        <v>300</v>
      </c>
      <c r="J1340">
        <f>IF(D1340&lt;=$A$15,0,D1340-$A$15)</f>
        <v>1008</v>
      </c>
      <c r="K1340" s="5">
        <f>IF(D1340&lt;$E$11,H1340,0)</f>
        <v>0</v>
      </c>
      <c r="L1340">
        <f>IF(D1340&lt;$A$15,$C$11,$C$11*(1-$G$11))</f>
        <v>200</v>
      </c>
      <c r="M1340">
        <f>IF(D1340&lt;$A$15,0,1)</f>
        <v>1</v>
      </c>
    </row>
    <row r="1341" spans="4:13" x14ac:dyDescent="0.2">
      <c r="D1341">
        <f t="shared" si="77"/>
        <v>1318</v>
      </c>
      <c r="E1341" s="1">
        <f t="shared" si="75"/>
        <v>188.67237764766026</v>
      </c>
      <c r="F1341" s="1">
        <f t="shared" si="78"/>
        <v>-77.653690506334613</v>
      </c>
      <c r="G1341" s="1">
        <f t="shared" si="76"/>
        <v>1.8855181343485443E-34</v>
      </c>
      <c r="H1341" s="1">
        <f>G1341/$G$21</f>
        <v>1.3221904942092048E-35</v>
      </c>
      <c r="I1341">
        <f>IF($E$11&lt;=D1341, IF(D1341&lt;=$A$15,D1341-$E$11,$F$11),0)</f>
        <v>300</v>
      </c>
      <c r="J1341">
        <f>IF(D1341&lt;=$A$15,0,D1341-$A$15)</f>
        <v>1009</v>
      </c>
      <c r="K1341" s="5">
        <f>IF(D1341&lt;$E$11,H1341,0)</f>
        <v>0</v>
      </c>
      <c r="L1341">
        <f>IF(D1341&lt;$A$15,$C$11,$C$11*(1-$G$11))</f>
        <v>200</v>
      </c>
      <c r="M1341">
        <f>IF(D1341&lt;$A$15,0,1)</f>
        <v>1</v>
      </c>
    </row>
    <row r="1342" spans="4:13" x14ac:dyDescent="0.2">
      <c r="D1342">
        <f t="shared" si="77"/>
        <v>1319</v>
      </c>
      <c r="E1342" s="1">
        <f t="shared" si="75"/>
        <v>188.59541660652414</v>
      </c>
      <c r="F1342" s="1">
        <f t="shared" si="78"/>
        <v>-77.730651547470728</v>
      </c>
      <c r="G1342" s="1">
        <f t="shared" si="76"/>
        <v>1.7458501243968222E-34</v>
      </c>
      <c r="H1342" s="1">
        <f>G1342/$G$21</f>
        <v>1.224250457601131E-35</v>
      </c>
      <c r="I1342">
        <f>IF($E$11&lt;=D1342, IF(D1342&lt;=$A$15,D1342-$E$11,$F$11),0)</f>
        <v>300</v>
      </c>
      <c r="J1342">
        <f>IF(D1342&lt;=$A$15,0,D1342-$A$15)</f>
        <v>1010</v>
      </c>
      <c r="K1342" s="5">
        <f>IF(D1342&lt;$E$11,H1342,0)</f>
        <v>0</v>
      </c>
      <c r="L1342">
        <f>IF(D1342&lt;$A$15,$C$11,$C$11*(1-$G$11))</f>
        <v>200</v>
      </c>
      <c r="M1342">
        <f>IF(D1342&lt;$A$15,0,1)</f>
        <v>1</v>
      </c>
    </row>
    <row r="1343" spans="4:13" x14ac:dyDescent="0.2">
      <c r="D1343">
        <f t="shared" si="77"/>
        <v>1320</v>
      </c>
      <c r="E1343" s="1">
        <f t="shared" si="75"/>
        <v>188.51845556538802</v>
      </c>
      <c r="F1343" s="1">
        <f t="shared" si="78"/>
        <v>-77.807612588606844</v>
      </c>
      <c r="G1343" s="1">
        <f t="shared" si="76"/>
        <v>1.6165278929600411E-34</v>
      </c>
      <c r="H1343" s="1">
        <f>G1343/$G$21</f>
        <v>1.1335652385195802E-35</v>
      </c>
      <c r="I1343">
        <f>IF($E$11&lt;=D1343, IF(D1343&lt;=$A$15,D1343-$E$11,$F$11),0)</f>
        <v>300</v>
      </c>
      <c r="J1343">
        <f>IF(D1343&lt;=$A$15,0,D1343-$A$15)</f>
        <v>1011</v>
      </c>
      <c r="K1343" s="5">
        <f>IF(D1343&lt;$E$11,H1343,0)</f>
        <v>0</v>
      </c>
      <c r="L1343">
        <f>IF(D1343&lt;$A$15,$C$11,$C$11*(1-$G$11))</f>
        <v>200</v>
      </c>
      <c r="M1343">
        <f>IF(D1343&lt;$A$15,0,1)</f>
        <v>1</v>
      </c>
    </row>
    <row r="1344" spans="4:13" x14ac:dyDescent="0.2">
      <c r="D1344">
        <f t="shared" si="77"/>
        <v>1321</v>
      </c>
      <c r="E1344" s="1">
        <f t="shared" si="75"/>
        <v>188.44149452425191</v>
      </c>
      <c r="F1344" s="1">
        <f t="shared" si="78"/>
        <v>-77.88457362974296</v>
      </c>
      <c r="G1344" s="1">
        <f t="shared" si="76"/>
        <v>1.4967850860741311E-34</v>
      </c>
      <c r="H1344" s="1">
        <f>G1344/$G$21</f>
        <v>1.0495974430736986E-35</v>
      </c>
      <c r="I1344">
        <f>IF($E$11&lt;=D1344, IF(D1344&lt;=$A$15,D1344-$E$11,$F$11),0)</f>
        <v>300</v>
      </c>
      <c r="J1344">
        <f>IF(D1344&lt;=$A$15,0,D1344-$A$15)</f>
        <v>1012</v>
      </c>
      <c r="K1344" s="5">
        <f>IF(D1344&lt;$E$11,H1344,0)</f>
        <v>0</v>
      </c>
      <c r="L1344">
        <f>IF(D1344&lt;$A$15,$C$11,$C$11*(1-$G$11))</f>
        <v>200</v>
      </c>
      <c r="M1344">
        <f>IF(D1344&lt;$A$15,0,1)</f>
        <v>1</v>
      </c>
    </row>
    <row r="1345" spans="4:13" x14ac:dyDescent="0.2">
      <c r="D1345">
        <f t="shared" si="77"/>
        <v>1322</v>
      </c>
      <c r="E1345" s="1">
        <f t="shared" si="75"/>
        <v>188.36453348311579</v>
      </c>
      <c r="F1345" s="1">
        <f t="shared" si="78"/>
        <v>-77.961534670879075</v>
      </c>
      <c r="G1345" s="1">
        <f t="shared" si="76"/>
        <v>1.385912116735324E-34</v>
      </c>
      <c r="H1345" s="1">
        <f>G1345/$G$21</f>
        <v>9.7184948432751098E-36</v>
      </c>
      <c r="I1345">
        <f>IF($E$11&lt;=D1345, IF(D1345&lt;=$A$15,D1345-$E$11,$F$11),0)</f>
        <v>300</v>
      </c>
      <c r="J1345">
        <f>IF(D1345&lt;=$A$15,0,D1345-$A$15)</f>
        <v>1013</v>
      </c>
      <c r="K1345" s="5">
        <f>IF(D1345&lt;$E$11,H1345,0)</f>
        <v>0</v>
      </c>
      <c r="L1345">
        <f>IF(D1345&lt;$A$15,$C$11,$C$11*(1-$G$11))</f>
        <v>200</v>
      </c>
      <c r="M1345">
        <f>IF(D1345&lt;$A$15,0,1)</f>
        <v>1</v>
      </c>
    </row>
    <row r="1346" spans="4:13" x14ac:dyDescent="0.2">
      <c r="D1346">
        <f t="shared" si="77"/>
        <v>1323</v>
      </c>
      <c r="E1346" s="1">
        <f t="shared" si="75"/>
        <v>188.28757244197968</v>
      </c>
      <c r="F1346" s="1">
        <f t="shared" si="78"/>
        <v>-78.038495712015191</v>
      </c>
      <c r="G1346" s="1">
        <f t="shared" si="76"/>
        <v>1.2832519599401311E-34</v>
      </c>
      <c r="H1346" s="1">
        <f>G1346/$G$21</f>
        <v>8.9986063363659571E-36</v>
      </c>
      <c r="I1346">
        <f>IF($E$11&lt;=D1346, IF(D1346&lt;=$A$15,D1346-$E$11,$F$11),0)</f>
        <v>300</v>
      </c>
      <c r="J1346">
        <f>IF(D1346&lt;=$A$15,0,D1346-$A$15)</f>
        <v>1014</v>
      </c>
      <c r="K1346" s="5">
        <f>IF(D1346&lt;$E$11,H1346,0)</f>
        <v>0</v>
      </c>
      <c r="L1346">
        <f>IF(D1346&lt;$A$15,$C$11,$C$11*(1-$G$11))</f>
        <v>200</v>
      </c>
      <c r="M1346">
        <f>IF(D1346&lt;$A$15,0,1)</f>
        <v>1</v>
      </c>
    </row>
    <row r="1347" spans="4:13" x14ac:dyDescent="0.2">
      <c r="D1347">
        <f t="shared" si="77"/>
        <v>1324</v>
      </c>
      <c r="E1347" s="1">
        <f t="shared" si="75"/>
        <v>188.21061140084356</v>
      </c>
      <c r="F1347" s="1">
        <f t="shared" si="78"/>
        <v>-78.115456753151307</v>
      </c>
      <c r="G1347" s="1">
        <f t="shared" si="76"/>
        <v>1.1881962592038401E-34</v>
      </c>
      <c r="H1347" s="1">
        <f>G1347/$G$21</f>
        <v>8.3320429040426579E-36</v>
      </c>
      <c r="I1347">
        <f>IF($E$11&lt;=D1347, IF(D1347&lt;=$A$15,D1347-$E$11,$F$11),0)</f>
        <v>300</v>
      </c>
      <c r="J1347">
        <f>IF(D1347&lt;=$A$15,0,D1347-$A$15)</f>
        <v>1015</v>
      </c>
      <c r="K1347" s="5">
        <f>IF(D1347&lt;$E$11,H1347,0)</f>
        <v>0</v>
      </c>
      <c r="L1347">
        <f>IF(D1347&lt;$A$15,$C$11,$C$11*(1-$G$11))</f>
        <v>200</v>
      </c>
      <c r="M1347">
        <f>IF(D1347&lt;$A$15,0,1)</f>
        <v>1</v>
      </c>
    </row>
    <row r="1348" spans="4:13" x14ac:dyDescent="0.2">
      <c r="D1348">
        <f t="shared" si="77"/>
        <v>1325</v>
      </c>
      <c r="E1348" s="1">
        <f t="shared" ref="E1348:F1411" si="79">IF($G$11=1,IF(D1348&lt;=$A$15, E1347+LN($C$11)-LN(60/$D$11)-LN(MIN(D1348,$E$11)), E1347-LN(60/$D$11)-LN(MIN(D1348,$E$11))), IF(D1348&lt;=$A$15, E1347+LN($C$11)-LN(60/$D$11)-LN(MIN(D1348,$E$11)), E1347+LN($C$11)+LN(1-$G$11)-LN(60/$D$11)-LN(MIN(D1348,$E$11))))</f>
        <v>188.13365035970745</v>
      </c>
      <c r="F1348" s="1">
        <f t="shared" si="78"/>
        <v>-78.192417794287422</v>
      </c>
      <c r="G1348" s="1">
        <f t="shared" si="76"/>
        <v>1.100181721485051E-34</v>
      </c>
      <c r="H1348" s="1">
        <f>G1348/$G$21</f>
        <v>7.7148545407803351E-36</v>
      </c>
      <c r="I1348">
        <f>IF($E$11&lt;=D1348, IF(D1348&lt;=$A$15,D1348-$E$11,$F$11),0)</f>
        <v>300</v>
      </c>
      <c r="J1348">
        <f>IF(D1348&lt;=$A$15,0,D1348-$A$15)</f>
        <v>1016</v>
      </c>
      <c r="K1348" s="5">
        <f>IF(D1348&lt;$E$11,H1348,0)</f>
        <v>0</v>
      </c>
      <c r="L1348">
        <f>IF(D1348&lt;$A$15,$C$11,$C$11*(1-$G$11))</f>
        <v>200</v>
      </c>
      <c r="M1348">
        <f>IF(D1348&lt;$A$15,0,1)</f>
        <v>1</v>
      </c>
    </row>
    <row r="1349" spans="4:13" x14ac:dyDescent="0.2">
      <c r="D1349">
        <f t="shared" si="77"/>
        <v>1326</v>
      </c>
      <c r="E1349" s="1">
        <f t="shared" si="79"/>
        <v>188.05668931857133</v>
      </c>
      <c r="F1349" s="1">
        <f t="shared" si="78"/>
        <v>-78.269378835423538</v>
      </c>
      <c r="G1349" s="1">
        <f t="shared" si="76"/>
        <v>1.0186867791528379E-34</v>
      </c>
      <c r="H1349" s="1">
        <f>G1349/$G$21</f>
        <v>7.1433838340559575E-36</v>
      </c>
      <c r="I1349">
        <f>IF($E$11&lt;=D1349, IF(D1349&lt;=$A$15,D1349-$E$11,$F$11),0)</f>
        <v>300</v>
      </c>
      <c r="J1349">
        <f>IF(D1349&lt;=$A$15,0,D1349-$A$15)</f>
        <v>1017</v>
      </c>
      <c r="K1349" s="5">
        <f>IF(D1349&lt;$E$11,H1349,0)</f>
        <v>0</v>
      </c>
      <c r="L1349">
        <f>IF(D1349&lt;$A$15,$C$11,$C$11*(1-$G$11))</f>
        <v>200</v>
      </c>
      <c r="M1349">
        <f>IF(D1349&lt;$A$15,0,1)</f>
        <v>1</v>
      </c>
    </row>
    <row r="1350" spans="4:13" x14ac:dyDescent="0.2">
      <c r="D1350">
        <f t="shared" si="77"/>
        <v>1327</v>
      </c>
      <c r="E1350" s="1">
        <f t="shared" si="79"/>
        <v>187.97972827743521</v>
      </c>
      <c r="F1350" s="1">
        <f t="shared" si="78"/>
        <v>-78.346339876559654</v>
      </c>
      <c r="G1350" s="1">
        <f t="shared" si="76"/>
        <v>9.4322849921560257E-35</v>
      </c>
      <c r="H1350" s="1">
        <f>G1350/$G$21</f>
        <v>6.6142442907926356E-36</v>
      </c>
      <c r="I1350">
        <f>IF($E$11&lt;=D1350, IF(D1350&lt;=$A$15,D1350-$E$11,$F$11),0)</f>
        <v>300</v>
      </c>
      <c r="J1350">
        <f>IF(D1350&lt;=$A$15,0,D1350-$A$15)</f>
        <v>1018</v>
      </c>
      <c r="K1350" s="5">
        <f>IF(D1350&lt;$E$11,H1350,0)</f>
        <v>0</v>
      </c>
      <c r="L1350">
        <f>IF(D1350&lt;$A$15,$C$11,$C$11*(1-$G$11))</f>
        <v>200</v>
      </c>
      <c r="M1350">
        <f>IF(D1350&lt;$A$15,0,1)</f>
        <v>1</v>
      </c>
    </row>
    <row r="1351" spans="4:13" x14ac:dyDescent="0.2">
      <c r="D1351">
        <f t="shared" si="77"/>
        <v>1328</v>
      </c>
      <c r="E1351" s="1">
        <f t="shared" si="79"/>
        <v>187.9027672362991</v>
      </c>
      <c r="F1351" s="1">
        <f t="shared" si="78"/>
        <v>-78.423300917695769</v>
      </c>
      <c r="G1351" s="1">
        <f t="shared" si="76"/>
        <v>8.7335972149593934E-35</v>
      </c>
      <c r="H1351" s="1">
        <f>G1351/$G$21</f>
        <v>6.1243002692525179E-36</v>
      </c>
      <c r="I1351">
        <f>IF($E$11&lt;=D1351, IF(D1351&lt;=$A$15,D1351-$E$11,$F$11),0)</f>
        <v>300</v>
      </c>
      <c r="J1351">
        <f>IF(D1351&lt;=$A$15,0,D1351-$A$15)</f>
        <v>1019</v>
      </c>
      <c r="K1351" s="5">
        <f>IF(D1351&lt;$E$11,H1351,0)</f>
        <v>0</v>
      </c>
      <c r="L1351">
        <f>IF(D1351&lt;$A$15,$C$11,$C$11*(1-$G$11))</f>
        <v>200</v>
      </c>
      <c r="M1351">
        <f>IF(D1351&lt;$A$15,0,1)</f>
        <v>1</v>
      </c>
    </row>
    <row r="1352" spans="4:13" x14ac:dyDescent="0.2">
      <c r="D1352">
        <f t="shared" si="77"/>
        <v>1329</v>
      </c>
      <c r="E1352" s="1">
        <f t="shared" si="79"/>
        <v>187.82580619516298</v>
      </c>
      <c r="F1352" s="1">
        <f t="shared" si="78"/>
        <v>-78.500261958831885</v>
      </c>
      <c r="G1352" s="1">
        <f t="shared" si="76"/>
        <v>8.0866640879254671E-35</v>
      </c>
      <c r="H1352" s="1">
        <f>G1352/$G$21</f>
        <v>5.6706483974561075E-36</v>
      </c>
      <c r="I1352">
        <f>IF($E$11&lt;=D1352, IF(D1352&lt;=$A$15,D1352-$E$11,$F$11),0)</f>
        <v>300</v>
      </c>
      <c r="J1352">
        <f>IF(D1352&lt;=$A$15,0,D1352-$A$15)</f>
        <v>1020</v>
      </c>
      <c r="K1352" s="5">
        <f>IF(D1352&lt;$E$11,H1352,0)</f>
        <v>0</v>
      </c>
      <c r="L1352">
        <f>IF(D1352&lt;$A$15,$C$11,$C$11*(1-$G$11))</f>
        <v>200</v>
      </c>
      <c r="M1352">
        <f>IF(D1352&lt;$A$15,0,1)</f>
        <v>1</v>
      </c>
    </row>
    <row r="1353" spans="4:13" x14ac:dyDescent="0.2">
      <c r="D1353">
        <f t="shared" si="77"/>
        <v>1330</v>
      </c>
      <c r="E1353" s="1">
        <f t="shared" si="79"/>
        <v>187.74884515402687</v>
      </c>
      <c r="F1353" s="1">
        <f t="shared" si="78"/>
        <v>-78.577222999968001</v>
      </c>
      <c r="G1353" s="1">
        <f t="shared" si="76"/>
        <v>7.4876519332644154E-35</v>
      </c>
      <c r="H1353" s="1">
        <f>G1353/$G$21</f>
        <v>5.25060036801498E-36</v>
      </c>
      <c r="I1353">
        <f>IF($E$11&lt;=D1353, IF(D1353&lt;=$A$15,D1353-$E$11,$F$11),0)</f>
        <v>300</v>
      </c>
      <c r="J1353">
        <f>IF(D1353&lt;=$A$15,0,D1353-$A$15)</f>
        <v>1021</v>
      </c>
      <c r="K1353" s="5">
        <f>IF(D1353&lt;$E$11,H1353,0)</f>
        <v>0</v>
      </c>
      <c r="L1353">
        <f>IF(D1353&lt;$A$15,$C$11,$C$11*(1-$G$11))</f>
        <v>200</v>
      </c>
      <c r="M1353">
        <f>IF(D1353&lt;$A$15,0,1)</f>
        <v>1</v>
      </c>
    </row>
    <row r="1354" spans="4:13" x14ac:dyDescent="0.2">
      <c r="D1354">
        <f t="shared" si="77"/>
        <v>1331</v>
      </c>
      <c r="E1354" s="1">
        <f t="shared" si="79"/>
        <v>187.67188411289075</v>
      </c>
      <c r="F1354" s="1">
        <f t="shared" si="78"/>
        <v>-78.654184041104116</v>
      </c>
      <c r="G1354" s="1">
        <f t="shared" si="76"/>
        <v>6.9330110493189911E-35</v>
      </c>
      <c r="H1354" s="1">
        <f>G1354/$G$21</f>
        <v>4.8616670074213397E-36</v>
      </c>
      <c r="I1354">
        <f>IF($E$11&lt;=D1354, IF(D1354&lt;=$A$15,D1354-$E$11,$F$11),0)</f>
        <v>300</v>
      </c>
      <c r="J1354">
        <f>IF(D1354&lt;=$A$15,0,D1354-$A$15)</f>
        <v>1022</v>
      </c>
      <c r="K1354" s="5">
        <f>IF(D1354&lt;$E$11,H1354,0)</f>
        <v>0</v>
      </c>
      <c r="L1354">
        <f>IF(D1354&lt;$A$15,$C$11,$C$11*(1-$G$11))</f>
        <v>200</v>
      </c>
      <c r="M1354">
        <f>IF(D1354&lt;$A$15,0,1)</f>
        <v>1</v>
      </c>
    </row>
    <row r="1355" spans="4:13" x14ac:dyDescent="0.2">
      <c r="D1355">
        <f t="shared" si="77"/>
        <v>1332</v>
      </c>
      <c r="E1355" s="1">
        <f t="shared" si="79"/>
        <v>187.59492307175464</v>
      </c>
      <c r="F1355" s="1">
        <f t="shared" si="78"/>
        <v>-78.731145082240232</v>
      </c>
      <c r="G1355" s="1">
        <f t="shared" si="76"/>
        <v>6.4194546752954439E-35</v>
      </c>
      <c r="H1355" s="1">
        <f>G1355/$G$21</f>
        <v>4.5015435253901868E-36</v>
      </c>
      <c r="I1355">
        <f>IF($E$11&lt;=D1355, IF(D1355&lt;=$A$15,D1355-$E$11,$F$11),0)</f>
        <v>300</v>
      </c>
      <c r="J1355">
        <f>IF(D1355&lt;=$A$15,0,D1355-$A$15)</f>
        <v>1023</v>
      </c>
      <c r="K1355" s="5">
        <f>IF(D1355&lt;$E$11,H1355,0)</f>
        <v>0</v>
      </c>
      <c r="L1355">
        <f>IF(D1355&lt;$A$15,$C$11,$C$11*(1-$G$11))</f>
        <v>200</v>
      </c>
      <c r="M1355">
        <f>IF(D1355&lt;$A$15,0,1)</f>
        <v>1</v>
      </c>
    </row>
    <row r="1356" spans="4:13" x14ac:dyDescent="0.2">
      <c r="D1356">
        <f t="shared" si="77"/>
        <v>1333</v>
      </c>
      <c r="E1356" s="1">
        <f t="shared" si="79"/>
        <v>187.51796203061852</v>
      </c>
      <c r="F1356" s="1">
        <f t="shared" si="78"/>
        <v>-78.808106123376348</v>
      </c>
      <c r="G1356" s="1">
        <f t="shared" si="76"/>
        <v>5.9439395141625224E-35</v>
      </c>
      <c r="H1356" s="1">
        <f>G1356/$G$21</f>
        <v>4.1680958568428176E-36</v>
      </c>
      <c r="I1356">
        <f>IF($E$11&lt;=D1356, IF(D1356&lt;=$A$15,D1356-$E$11,$F$11),0)</f>
        <v>300</v>
      </c>
      <c r="J1356">
        <f>IF(D1356&lt;=$A$15,0,D1356-$A$15)</f>
        <v>1024</v>
      </c>
      <c r="K1356" s="5">
        <f>IF(D1356&lt;$E$11,H1356,0)</f>
        <v>0</v>
      </c>
      <c r="L1356">
        <f>IF(D1356&lt;$A$15,$C$11,$C$11*(1-$G$11))</f>
        <v>200</v>
      </c>
      <c r="M1356">
        <f>IF(D1356&lt;$A$15,0,1)</f>
        <v>1</v>
      </c>
    </row>
    <row r="1357" spans="4:13" x14ac:dyDescent="0.2">
      <c r="D1357">
        <f t="shared" si="77"/>
        <v>1334</v>
      </c>
      <c r="E1357" s="1">
        <f t="shared" si="79"/>
        <v>187.4410009894824</v>
      </c>
      <c r="F1357" s="1">
        <f t="shared" si="78"/>
        <v>-78.885067164512463</v>
      </c>
      <c r="G1357" s="1">
        <f t="shared" si="76"/>
        <v>5.5036476982987018E-35</v>
      </c>
      <c r="H1357" s="1">
        <f>G1357/$G$21</f>
        <v>3.8593480155952504E-36</v>
      </c>
      <c r="I1357">
        <f>IF($E$11&lt;=D1357, IF(D1357&lt;=$A$15,D1357-$E$11,$F$11),0)</f>
        <v>300</v>
      </c>
      <c r="J1357">
        <f>IF(D1357&lt;=$A$15,0,D1357-$A$15)</f>
        <v>1025</v>
      </c>
      <c r="K1357" s="5">
        <f>IF(D1357&lt;$E$11,H1357,0)</f>
        <v>0</v>
      </c>
      <c r="L1357">
        <f>IF(D1357&lt;$A$15,$C$11,$C$11*(1-$G$11))</f>
        <v>200</v>
      </c>
      <c r="M1357">
        <f>IF(D1357&lt;$A$15,0,1)</f>
        <v>1</v>
      </c>
    </row>
    <row r="1358" spans="4:13" x14ac:dyDescent="0.2">
      <c r="D1358">
        <f t="shared" si="77"/>
        <v>1335</v>
      </c>
      <c r="E1358" s="1">
        <f t="shared" si="79"/>
        <v>187.36403994834629</v>
      </c>
      <c r="F1358" s="1">
        <f t="shared" si="78"/>
        <v>-78.962028205648579</v>
      </c>
      <c r="G1358" s="1">
        <f t="shared" si="76"/>
        <v>5.0959700910173809E-35</v>
      </c>
      <c r="H1358" s="1">
        <f>G1358/$G$21</f>
        <v>3.5734703848104623E-36</v>
      </c>
      <c r="I1358">
        <f>IF($E$11&lt;=D1358, IF(D1358&lt;=$A$15,D1358-$E$11,$F$11),0)</f>
        <v>300</v>
      </c>
      <c r="J1358">
        <f>IF(D1358&lt;=$A$15,0,D1358-$A$15)</f>
        <v>1026</v>
      </c>
      <c r="K1358" s="5">
        <f>IF(D1358&lt;$E$11,H1358,0)</f>
        <v>0</v>
      </c>
      <c r="L1358">
        <f>IF(D1358&lt;$A$15,$C$11,$C$11*(1-$G$11))</f>
        <v>200</v>
      </c>
      <c r="M1358">
        <f>IF(D1358&lt;$A$15,0,1)</f>
        <v>1</v>
      </c>
    </row>
    <row r="1359" spans="4:13" x14ac:dyDescent="0.2">
      <c r="D1359">
        <f t="shared" si="77"/>
        <v>1336</v>
      </c>
      <c r="E1359" s="1">
        <f t="shared" si="79"/>
        <v>187.28707890721017</v>
      </c>
      <c r="F1359" s="1">
        <f t="shared" si="78"/>
        <v>-79.038989246784695</v>
      </c>
      <c r="G1359" s="1">
        <f t="shared" si="76"/>
        <v>4.7184908250161532E-35</v>
      </c>
      <c r="H1359" s="1">
        <f>G1359/$G$21</f>
        <v>3.3087688748245441E-36</v>
      </c>
      <c r="I1359">
        <f>IF($E$11&lt;=D1359, IF(D1359&lt;=$A$15,D1359-$E$11,$F$11),0)</f>
        <v>300</v>
      </c>
      <c r="J1359">
        <f>IF(D1359&lt;=$A$15,0,D1359-$A$15)</f>
        <v>1027</v>
      </c>
      <c r="K1359" s="5">
        <f>IF(D1359&lt;$E$11,H1359,0)</f>
        <v>0</v>
      </c>
      <c r="L1359">
        <f>IF(D1359&lt;$A$15,$C$11,$C$11*(1-$G$11))</f>
        <v>200</v>
      </c>
      <c r="M1359">
        <f>IF(D1359&lt;$A$15,0,1)</f>
        <v>1</v>
      </c>
    </row>
    <row r="1360" spans="4:13" x14ac:dyDescent="0.2">
      <c r="D1360">
        <f t="shared" si="77"/>
        <v>1337</v>
      </c>
      <c r="E1360" s="1">
        <f t="shared" si="79"/>
        <v>187.21011786607406</v>
      </c>
      <c r="F1360" s="1">
        <f t="shared" si="78"/>
        <v>-79.115950287920811</v>
      </c>
      <c r="G1360" s="1">
        <f t="shared" si="76"/>
        <v>4.3689729861261227E-35</v>
      </c>
      <c r="H1360" s="1">
        <f>G1360/$G$21</f>
        <v>3.0636748840968385E-36</v>
      </c>
      <c r="I1360">
        <f>IF($E$11&lt;=D1360, IF(D1360&lt;=$A$15,D1360-$E$11,$F$11),0)</f>
        <v>300</v>
      </c>
      <c r="J1360">
        <f>IF(D1360&lt;=$A$15,0,D1360-$A$15)</f>
        <v>1028</v>
      </c>
      <c r="K1360" s="5">
        <f>IF(D1360&lt;$E$11,H1360,0)</f>
        <v>0</v>
      </c>
      <c r="L1360">
        <f>IF(D1360&lt;$A$15,$C$11,$C$11*(1-$G$11))</f>
        <v>200</v>
      </c>
      <c r="M1360">
        <f>IF(D1360&lt;$A$15,0,1)</f>
        <v>1</v>
      </c>
    </row>
    <row r="1361" spans="4:13" x14ac:dyDescent="0.2">
      <c r="D1361">
        <f t="shared" si="77"/>
        <v>1338</v>
      </c>
      <c r="E1361" s="1">
        <f t="shared" si="79"/>
        <v>187.13315682493794</v>
      </c>
      <c r="F1361" s="1">
        <f t="shared" si="78"/>
        <v>-79.192911329056926</v>
      </c>
      <c r="G1361" s="1">
        <f t="shared" si="76"/>
        <v>4.045345357524239E-35</v>
      </c>
      <c r="H1361" s="1">
        <f>G1361/$G$21</f>
        <v>2.8367360037934051E-36</v>
      </c>
      <c r="I1361">
        <f>IF($E$11&lt;=D1361, IF(D1361&lt;=$A$15,D1361-$E$11,$F$11),0)</f>
        <v>300</v>
      </c>
      <c r="J1361">
        <f>IF(D1361&lt;=$A$15,0,D1361-$A$15)</f>
        <v>1029</v>
      </c>
      <c r="K1361" s="5">
        <f>IF(D1361&lt;$E$11,H1361,0)</f>
        <v>0</v>
      </c>
      <c r="L1361">
        <f>IF(D1361&lt;$A$15,$C$11,$C$11*(1-$G$11))</f>
        <v>200</v>
      </c>
      <c r="M1361">
        <f>IF(D1361&lt;$A$15,0,1)</f>
        <v>1</v>
      </c>
    </row>
    <row r="1362" spans="4:13" x14ac:dyDescent="0.2">
      <c r="D1362">
        <f t="shared" si="77"/>
        <v>1339</v>
      </c>
      <c r="E1362" s="1">
        <f t="shared" si="79"/>
        <v>187.05619578380183</v>
      </c>
      <c r="F1362" s="1">
        <f t="shared" si="78"/>
        <v>-79.269872370193042</v>
      </c>
      <c r="G1362" s="1">
        <f t="shared" si="76"/>
        <v>3.7456901458558242E-35</v>
      </c>
      <c r="H1362" s="1">
        <f>G1362/$G$21</f>
        <v>2.6266074109198528E-36</v>
      </c>
      <c r="I1362">
        <f>IF($E$11&lt;=D1362, IF(D1362&lt;=$A$15,D1362-$E$11,$F$11),0)</f>
        <v>300</v>
      </c>
      <c r="J1362">
        <f>IF(D1362&lt;=$A$15,0,D1362-$A$15)</f>
        <v>1030</v>
      </c>
      <c r="K1362" s="5">
        <f>IF(D1362&lt;$E$11,H1362,0)</f>
        <v>0</v>
      </c>
      <c r="L1362">
        <f>IF(D1362&lt;$A$15,$C$11,$C$11*(1-$G$11))</f>
        <v>200</v>
      </c>
      <c r="M1362">
        <f>IF(D1362&lt;$A$15,0,1)</f>
        <v>1</v>
      </c>
    </row>
    <row r="1363" spans="4:13" x14ac:dyDescent="0.2">
      <c r="D1363">
        <f t="shared" si="77"/>
        <v>1340</v>
      </c>
      <c r="E1363" s="1">
        <f t="shared" si="79"/>
        <v>186.97923474266571</v>
      </c>
      <c r="F1363" s="1">
        <f t="shared" si="78"/>
        <v>-79.346833411329158</v>
      </c>
      <c r="G1363" s="1">
        <f t="shared" si="76"/>
        <v>3.4682316165332143E-35</v>
      </c>
      <c r="H1363" s="1">
        <f>G1363/$G$21</f>
        <v>2.4320438989998942E-36</v>
      </c>
      <c r="I1363">
        <f>IF($E$11&lt;=D1363, IF(D1363&lt;=$A$15,D1363-$E$11,$F$11),0)</f>
        <v>300</v>
      </c>
      <c r="J1363">
        <f>IF(D1363&lt;=$A$15,0,D1363-$A$15)</f>
        <v>1031</v>
      </c>
      <c r="K1363" s="5">
        <f>IF(D1363&lt;$E$11,H1363,0)</f>
        <v>0</v>
      </c>
      <c r="L1363">
        <f>IF(D1363&lt;$A$15,$C$11,$C$11*(1-$G$11))</f>
        <v>200</v>
      </c>
      <c r="M1363">
        <f>IF(D1363&lt;$A$15,0,1)</f>
        <v>1</v>
      </c>
    </row>
    <row r="1364" spans="4:13" x14ac:dyDescent="0.2">
      <c r="D1364">
        <f t="shared" si="77"/>
        <v>1341</v>
      </c>
      <c r="E1364" s="1">
        <f t="shared" si="79"/>
        <v>186.90227370152959</v>
      </c>
      <c r="F1364" s="1">
        <f t="shared" si="78"/>
        <v>-79.423794452465273</v>
      </c>
      <c r="G1364" s="1">
        <f t="shared" si="76"/>
        <v>3.211325570864128E-35</v>
      </c>
      <c r="H1364" s="1">
        <f>G1364/$G$21</f>
        <v>2.2518924990740045E-36</v>
      </c>
      <c r="I1364">
        <f>IF($E$11&lt;=D1364, IF(D1364&lt;=$A$15,D1364-$E$11,$F$11),0)</f>
        <v>300</v>
      </c>
      <c r="J1364">
        <f>IF(D1364&lt;=$A$15,0,D1364-$A$15)</f>
        <v>1032</v>
      </c>
      <c r="K1364" s="5">
        <f>IF(D1364&lt;$E$11,H1364,0)</f>
        <v>0</v>
      </c>
      <c r="L1364">
        <f>IF(D1364&lt;$A$15,$C$11,$C$11*(1-$G$11))</f>
        <v>200</v>
      </c>
      <c r="M1364">
        <f>IF(D1364&lt;$A$15,0,1)</f>
        <v>1</v>
      </c>
    </row>
    <row r="1365" spans="4:13" x14ac:dyDescent="0.2">
      <c r="D1365">
        <f t="shared" si="77"/>
        <v>1342</v>
      </c>
      <c r="E1365" s="1">
        <f t="shared" si="79"/>
        <v>186.82531266039348</v>
      </c>
      <c r="F1365" s="1">
        <f t="shared" si="78"/>
        <v>-79.500755493601389</v>
      </c>
      <c r="G1365" s="1">
        <f t="shared" si="76"/>
        <v>2.9734496026520078E-35</v>
      </c>
      <c r="H1365" s="1">
        <f>G1365/$G$21</f>
        <v>2.0850856472907714E-36</v>
      </c>
      <c r="I1365">
        <f>IF($E$11&lt;=D1365, IF(D1365&lt;=$A$15,D1365-$E$11,$F$11),0)</f>
        <v>300</v>
      </c>
      <c r="J1365">
        <f>IF(D1365&lt;=$A$15,0,D1365-$A$15)</f>
        <v>1033</v>
      </c>
      <c r="K1365" s="5">
        <f>IF(D1365&lt;$E$11,H1365,0)</f>
        <v>0</v>
      </c>
      <c r="L1365">
        <f>IF(D1365&lt;$A$15,$C$11,$C$11*(1-$G$11))</f>
        <v>200</v>
      </c>
      <c r="M1365">
        <f>IF(D1365&lt;$A$15,0,1)</f>
        <v>1</v>
      </c>
    </row>
    <row r="1366" spans="4:13" x14ac:dyDescent="0.2">
      <c r="D1366">
        <f t="shared" si="77"/>
        <v>1343</v>
      </c>
      <c r="E1366" s="1">
        <f t="shared" si="79"/>
        <v>186.74835161925736</v>
      </c>
      <c r="F1366" s="1">
        <f t="shared" si="78"/>
        <v>-79.577716534737505</v>
      </c>
      <c r="G1366" s="1">
        <f t="shared" si="76"/>
        <v>2.7531940765296718E-35</v>
      </c>
      <c r="H1366" s="1">
        <f>G1366/$G$21</f>
        <v>1.9306348586025905E-36</v>
      </c>
      <c r="I1366">
        <f>IF($E$11&lt;=D1366, IF(D1366&lt;=$A$15,D1366-$E$11,$F$11),0)</f>
        <v>300</v>
      </c>
      <c r="J1366">
        <f>IF(D1366&lt;=$A$15,0,D1366-$A$15)</f>
        <v>1034</v>
      </c>
      <c r="K1366" s="5">
        <f>IF(D1366&lt;$E$11,H1366,0)</f>
        <v>0</v>
      </c>
      <c r="L1366">
        <f>IF(D1366&lt;$A$15,$C$11,$C$11*(1-$G$11))</f>
        <v>200</v>
      </c>
      <c r="M1366">
        <f>IF(D1366&lt;$A$15,0,1)</f>
        <v>1</v>
      </c>
    </row>
    <row r="1367" spans="4:13" x14ac:dyDescent="0.2">
      <c r="D1367">
        <f t="shared" si="77"/>
        <v>1344</v>
      </c>
      <c r="E1367" s="1">
        <f t="shared" si="79"/>
        <v>186.67139057812125</v>
      </c>
      <c r="F1367" s="1">
        <f t="shared" si="78"/>
        <v>-79.65467757587362</v>
      </c>
      <c r="G1367" s="1">
        <f t="shared" si="76"/>
        <v>2.549253774564543E-35</v>
      </c>
      <c r="H1367" s="1">
        <f>G1367/$G$21</f>
        <v>1.7876248690764952E-36</v>
      </c>
      <c r="I1367">
        <f>IF($E$11&lt;=D1367, IF(D1367&lt;=$A$15,D1367-$E$11,$F$11),0)</f>
        <v>300</v>
      </c>
      <c r="J1367">
        <f>IF(D1367&lt;=$A$15,0,D1367-$A$15)</f>
        <v>1035</v>
      </c>
      <c r="K1367" s="5">
        <f>IF(D1367&lt;$E$11,H1367,0)</f>
        <v>0</v>
      </c>
      <c r="L1367">
        <f>IF(D1367&lt;$A$15,$C$11,$C$11*(1-$G$11))</f>
        <v>200</v>
      </c>
      <c r="M1367">
        <f>IF(D1367&lt;$A$15,0,1)</f>
        <v>1</v>
      </c>
    </row>
    <row r="1368" spans="4:13" x14ac:dyDescent="0.2">
      <c r="D1368">
        <f t="shared" si="77"/>
        <v>1345</v>
      </c>
      <c r="E1368" s="1">
        <f t="shared" si="79"/>
        <v>186.59442953698513</v>
      </c>
      <c r="F1368" s="1">
        <f t="shared" si="78"/>
        <v>-79.731638617009736</v>
      </c>
      <c r="G1368" s="1">
        <f t="shared" ref="G1368:G1431" si="80">EXP(F1368)</f>
        <v>2.3604201616338662E-35</v>
      </c>
      <c r="H1368" s="1">
        <f>G1368/$G$21</f>
        <v>1.6552082121078871E-36</v>
      </c>
      <c r="I1368">
        <f>IF($E$11&lt;=D1368, IF(D1368&lt;=$A$15,D1368-$E$11,$F$11),0)</f>
        <v>300</v>
      </c>
      <c r="J1368">
        <f>IF(D1368&lt;=$A$15,0,D1368-$A$15)</f>
        <v>1036</v>
      </c>
      <c r="K1368" s="5">
        <f>IF(D1368&lt;$E$11,H1368,0)</f>
        <v>0</v>
      </c>
      <c r="L1368">
        <f>IF(D1368&lt;$A$15,$C$11,$C$11*(1-$G$11))</f>
        <v>200</v>
      </c>
      <c r="M1368">
        <f>IF(D1368&lt;$A$15,0,1)</f>
        <v>1</v>
      </c>
    </row>
    <row r="1369" spans="4:13" x14ac:dyDescent="0.2">
      <c r="D1369">
        <f t="shared" ref="D1369:D1432" si="81">1+D1368</f>
        <v>1346</v>
      </c>
      <c r="E1369" s="1">
        <f t="shared" si="79"/>
        <v>186.51746849584902</v>
      </c>
      <c r="F1369" s="1">
        <f t="shared" ref="F1369:F1432" si="82">E1369-$E$21</f>
        <v>-79.808599658145852</v>
      </c>
      <c r="G1369" s="1">
        <f t="shared" si="80"/>
        <v>2.1855742237350889E-35</v>
      </c>
      <c r="H1369" s="1">
        <f>G1369/$G$21</f>
        <v>1.5326001963962112E-36</v>
      </c>
      <c r="I1369">
        <f>IF($E$11&lt;=D1369, IF(D1369&lt;=$A$15,D1369-$E$11,$F$11),0)</f>
        <v>300</v>
      </c>
      <c r="J1369">
        <f>IF(D1369&lt;=$A$15,0,D1369-$A$15)</f>
        <v>1037</v>
      </c>
      <c r="K1369" s="5">
        <f>IF(D1369&lt;$E$11,H1369,0)</f>
        <v>0</v>
      </c>
      <c r="L1369">
        <f>IF(D1369&lt;$A$15,$C$11,$C$11*(1-$G$11))</f>
        <v>200</v>
      </c>
      <c r="M1369">
        <f>IF(D1369&lt;$A$15,0,1)</f>
        <v>1</v>
      </c>
    </row>
    <row r="1370" spans="4:13" x14ac:dyDescent="0.2">
      <c r="D1370">
        <f t="shared" si="81"/>
        <v>1347</v>
      </c>
      <c r="E1370" s="1">
        <f t="shared" si="79"/>
        <v>186.4405074547129</v>
      </c>
      <c r="F1370" s="1">
        <f t="shared" si="82"/>
        <v>-79.885560699281967</v>
      </c>
      <c r="G1370" s="1">
        <f t="shared" si="80"/>
        <v>2.0236798367917745E-35</v>
      </c>
      <c r="H1370" s="1">
        <f>G1370/$G$21</f>
        <v>1.4190742559224357E-36</v>
      </c>
      <c r="I1370">
        <f>IF($E$11&lt;=D1370, IF(D1370&lt;=$A$15,D1370-$E$11,$F$11),0)</f>
        <v>300</v>
      </c>
      <c r="J1370">
        <f>IF(D1370&lt;=$A$15,0,D1370-$A$15)</f>
        <v>1038</v>
      </c>
      <c r="K1370" s="5">
        <f>IF(D1370&lt;$E$11,H1370,0)</f>
        <v>0</v>
      </c>
      <c r="L1370">
        <f>IF(D1370&lt;$A$15,$C$11,$C$11*(1-$G$11))</f>
        <v>200</v>
      </c>
      <c r="M1370">
        <f>IF(D1370&lt;$A$15,0,1)</f>
        <v>1</v>
      </c>
    </row>
    <row r="1371" spans="4:13" x14ac:dyDescent="0.2">
      <c r="D1371">
        <f t="shared" si="81"/>
        <v>1348</v>
      </c>
      <c r="E1371" s="1">
        <f t="shared" si="79"/>
        <v>186.36354641357678</v>
      </c>
      <c r="F1371" s="1">
        <f t="shared" si="82"/>
        <v>-79.962521740418083</v>
      </c>
      <c r="G1371" s="1">
        <f t="shared" si="80"/>
        <v>1.8737776266590743E-35</v>
      </c>
      <c r="H1371" s="1">
        <f>G1371/$G$21</f>
        <v>1.3139576443726423E-36</v>
      </c>
      <c r="I1371">
        <f>IF($E$11&lt;=D1371, IF(D1371&lt;=$A$15,D1371-$E$11,$F$11),0)</f>
        <v>300</v>
      </c>
      <c r="J1371">
        <f>IF(D1371&lt;=$A$15,0,D1371-$A$15)</f>
        <v>1039</v>
      </c>
      <c r="K1371" s="5">
        <f>IF(D1371&lt;$E$11,H1371,0)</f>
        <v>0</v>
      </c>
      <c r="L1371">
        <f>IF(D1371&lt;$A$15,$C$11,$C$11*(1-$G$11))</f>
        <v>200</v>
      </c>
      <c r="M1371">
        <f>IF(D1371&lt;$A$15,0,1)</f>
        <v>1</v>
      </c>
    </row>
    <row r="1372" spans="4:13" x14ac:dyDescent="0.2">
      <c r="D1372">
        <f t="shared" si="81"/>
        <v>1349</v>
      </c>
      <c r="E1372" s="1">
        <f t="shared" si="79"/>
        <v>186.28658537244067</v>
      </c>
      <c r="F1372" s="1">
        <f t="shared" si="82"/>
        <v>-80.039482781554199</v>
      </c>
      <c r="G1372" s="1">
        <f t="shared" si="80"/>
        <v>1.7349792839436092E-35</v>
      </c>
      <c r="H1372" s="1">
        <f>G1372/$G$21</f>
        <v>1.2166274484932026E-36</v>
      </c>
      <c r="I1372">
        <f>IF($E$11&lt;=D1372, IF(D1372&lt;=$A$15,D1372-$E$11,$F$11),0)</f>
        <v>300</v>
      </c>
      <c r="J1372">
        <f>IF(D1372&lt;=$A$15,0,D1372-$A$15)</f>
        <v>1040</v>
      </c>
      <c r="K1372" s="5">
        <f>IF(D1372&lt;$E$11,H1372,0)</f>
        <v>0</v>
      </c>
      <c r="L1372">
        <f>IF(D1372&lt;$A$15,$C$11,$C$11*(1-$G$11))</f>
        <v>200</v>
      </c>
      <c r="M1372">
        <f>IF(D1372&lt;$A$15,0,1)</f>
        <v>1</v>
      </c>
    </row>
    <row r="1373" spans="4:13" x14ac:dyDescent="0.2">
      <c r="D1373">
        <f t="shared" si="81"/>
        <v>1350</v>
      </c>
      <c r="E1373" s="1">
        <f t="shared" si="79"/>
        <v>186.20962433130455</v>
      </c>
      <c r="F1373" s="1">
        <f t="shared" si="82"/>
        <v>-80.116443822690314</v>
      </c>
      <c r="G1373" s="1">
        <f t="shared" si="80"/>
        <v>1.6064622999478067E-35</v>
      </c>
      <c r="H1373" s="1">
        <f>G1373/$G$21</f>
        <v>1.1265068967529797E-36</v>
      </c>
      <c r="I1373">
        <f>IF($E$11&lt;=D1373, IF(D1373&lt;=$A$15,D1373-$E$11,$F$11),0)</f>
        <v>300</v>
      </c>
      <c r="J1373">
        <f>IF(D1373&lt;=$A$15,0,D1373-$A$15)</f>
        <v>1041</v>
      </c>
      <c r="K1373" s="5">
        <f>IF(D1373&lt;$E$11,H1373,0)</f>
        <v>0</v>
      </c>
      <c r="L1373">
        <f>IF(D1373&lt;$A$15,$C$11,$C$11*(1-$G$11))</f>
        <v>200</v>
      </c>
      <c r="M1373">
        <f>IF(D1373&lt;$A$15,0,1)</f>
        <v>1</v>
      </c>
    </row>
    <row r="1374" spans="4:13" x14ac:dyDescent="0.2">
      <c r="D1374">
        <f t="shared" si="81"/>
        <v>1351</v>
      </c>
      <c r="E1374" s="1">
        <f t="shared" si="79"/>
        <v>186.13266329016844</v>
      </c>
      <c r="F1374" s="1">
        <f t="shared" si="82"/>
        <v>-80.19340486382643</v>
      </c>
      <c r="G1374" s="1">
        <f t="shared" si="80"/>
        <v>1.4874650925442842E-35</v>
      </c>
      <c r="H1374" s="1">
        <f>G1374/$G$21</f>
        <v>1.0430619414379573E-36</v>
      </c>
      <c r="I1374">
        <f>IF($E$11&lt;=D1374, IF(D1374&lt;=$A$15,D1374-$E$11,$F$11),0)</f>
        <v>300</v>
      </c>
      <c r="J1374">
        <f>IF(D1374&lt;=$A$15,0,D1374-$A$15)</f>
        <v>1042</v>
      </c>
      <c r="K1374" s="5">
        <f>IF(D1374&lt;$E$11,H1374,0)</f>
        <v>0</v>
      </c>
      <c r="L1374">
        <f>IF(D1374&lt;$A$15,$C$11,$C$11*(1-$G$11))</f>
        <v>200</v>
      </c>
      <c r="M1374">
        <f>IF(D1374&lt;$A$15,0,1)</f>
        <v>1</v>
      </c>
    </row>
    <row r="1375" spans="4:13" x14ac:dyDescent="0.2">
      <c r="D1375">
        <f t="shared" si="81"/>
        <v>1352</v>
      </c>
      <c r="E1375" s="1">
        <f t="shared" si="79"/>
        <v>186.05570224903232</v>
      </c>
      <c r="F1375" s="1">
        <f t="shared" si="82"/>
        <v>-80.270365904962546</v>
      </c>
      <c r="G1375" s="1">
        <f t="shared" si="80"/>
        <v>1.3772824930965766E-35</v>
      </c>
      <c r="H1375" s="1">
        <f>G1375/$G$21</f>
        <v>9.6579809392404664E-37</v>
      </c>
      <c r="I1375">
        <f>IF($E$11&lt;=D1375, IF(D1375&lt;=$A$15,D1375-$E$11,$F$11),0)</f>
        <v>300</v>
      </c>
      <c r="J1375">
        <f>IF(D1375&lt;=$A$15,0,D1375-$A$15)</f>
        <v>1043</v>
      </c>
      <c r="K1375" s="5">
        <f>IF(D1375&lt;$E$11,H1375,0)</f>
        <v>0</v>
      </c>
      <c r="L1375">
        <f>IF(D1375&lt;$A$15,$C$11,$C$11*(1-$G$11))</f>
        <v>200</v>
      </c>
      <c r="M1375">
        <f>IF(D1375&lt;$A$15,0,1)</f>
        <v>1</v>
      </c>
    </row>
    <row r="1376" spans="4:13" x14ac:dyDescent="0.2">
      <c r="D1376">
        <f t="shared" si="81"/>
        <v>1353</v>
      </c>
      <c r="E1376" s="1">
        <f t="shared" si="79"/>
        <v>185.97874120789621</v>
      </c>
      <c r="F1376" s="1">
        <f t="shared" si="82"/>
        <v>-80.347326946098661</v>
      </c>
      <c r="G1376" s="1">
        <f t="shared" si="80"/>
        <v>1.2752615676820316E-35</v>
      </c>
      <c r="H1376" s="1">
        <f>G1376/$G$21</f>
        <v>8.9425749437412865E-37</v>
      </c>
      <c r="I1376">
        <f>IF($E$11&lt;=D1376, IF(D1376&lt;=$A$15,D1376-$E$11,$F$11),0)</f>
        <v>300</v>
      </c>
      <c r="J1376">
        <f>IF(D1376&lt;=$A$15,0,D1376-$A$15)</f>
        <v>1044</v>
      </c>
      <c r="K1376" s="5">
        <f>IF(D1376&lt;$E$11,H1376,0)</f>
        <v>0</v>
      </c>
      <c r="L1376">
        <f>IF(D1376&lt;$A$15,$C$11,$C$11*(1-$G$11))</f>
        <v>200</v>
      </c>
      <c r="M1376">
        <f>IF(D1376&lt;$A$15,0,1)</f>
        <v>1</v>
      </c>
    </row>
    <row r="1377" spans="4:13" x14ac:dyDescent="0.2">
      <c r="D1377">
        <f t="shared" si="81"/>
        <v>1354</v>
      </c>
      <c r="E1377" s="1">
        <f t="shared" si="79"/>
        <v>185.90178016676009</v>
      </c>
      <c r="F1377" s="1">
        <f t="shared" si="82"/>
        <v>-80.424287987234777</v>
      </c>
      <c r="G1377" s="1">
        <f t="shared" si="80"/>
        <v>1.180797747853748E-35</v>
      </c>
      <c r="H1377" s="1">
        <f>G1377/$G$21</f>
        <v>8.2801619849457401E-37</v>
      </c>
      <c r="I1377">
        <f>IF($E$11&lt;=D1377, IF(D1377&lt;=$A$15,D1377-$E$11,$F$11),0)</f>
        <v>300</v>
      </c>
      <c r="J1377">
        <f>IF(D1377&lt;=$A$15,0,D1377-$A$15)</f>
        <v>1045</v>
      </c>
      <c r="K1377" s="5">
        <f>IF(D1377&lt;$E$11,H1377,0)</f>
        <v>0</v>
      </c>
      <c r="L1377">
        <f>IF(D1377&lt;$A$15,$C$11,$C$11*(1-$G$11))</f>
        <v>200</v>
      </c>
      <c r="M1377">
        <f>IF(D1377&lt;$A$15,0,1)</f>
        <v>1</v>
      </c>
    </row>
    <row r="1378" spans="4:13" x14ac:dyDescent="0.2">
      <c r="D1378">
        <f t="shared" si="81"/>
        <v>1355</v>
      </c>
      <c r="E1378" s="1">
        <f t="shared" si="79"/>
        <v>185.82481912562397</v>
      </c>
      <c r="F1378" s="1">
        <f t="shared" si="82"/>
        <v>-80.501249028370893</v>
      </c>
      <c r="G1378" s="1">
        <f t="shared" si="80"/>
        <v>1.0933312480127435E-35</v>
      </c>
      <c r="H1378" s="1">
        <f>G1378/$G$21</f>
        <v>7.6668166527276346E-37</v>
      </c>
      <c r="I1378">
        <f>IF($E$11&lt;=D1378, IF(D1378&lt;=$A$15,D1378-$E$11,$F$11),0)</f>
        <v>300</v>
      </c>
      <c r="J1378">
        <f>IF(D1378&lt;=$A$15,0,D1378-$A$15)</f>
        <v>1046</v>
      </c>
      <c r="K1378" s="5">
        <f>IF(D1378&lt;$E$11,H1378,0)</f>
        <v>0</v>
      </c>
      <c r="L1378">
        <f>IF(D1378&lt;$A$15,$C$11,$C$11*(1-$G$11))</f>
        <v>200</v>
      </c>
      <c r="M1378">
        <f>IF(D1378&lt;$A$15,0,1)</f>
        <v>1</v>
      </c>
    </row>
    <row r="1379" spans="4:13" x14ac:dyDescent="0.2">
      <c r="D1379">
        <f t="shared" si="81"/>
        <v>1356</v>
      </c>
      <c r="E1379" s="1">
        <f t="shared" si="79"/>
        <v>185.74785808448786</v>
      </c>
      <c r="F1379" s="1">
        <f t="shared" si="82"/>
        <v>-80.578210069507008</v>
      </c>
      <c r="G1379" s="1">
        <f t="shared" si="80"/>
        <v>1.0123437481599604E-35</v>
      </c>
      <c r="H1379" s="1">
        <f>G1379/$G$21</f>
        <v>7.0989043080812325E-37</v>
      </c>
      <c r="I1379">
        <f>IF($E$11&lt;=D1379, IF(D1379&lt;=$A$15,D1379-$E$11,$F$11),0)</f>
        <v>300</v>
      </c>
      <c r="J1379">
        <f>IF(D1379&lt;=$A$15,0,D1379-$A$15)</f>
        <v>1047</v>
      </c>
      <c r="K1379" s="5">
        <f>IF(D1379&lt;$E$11,H1379,0)</f>
        <v>0</v>
      </c>
      <c r="L1379">
        <f>IF(D1379&lt;$A$15,$C$11,$C$11*(1-$G$11))</f>
        <v>200</v>
      </c>
      <c r="M1379">
        <f>IF(D1379&lt;$A$15,0,1)</f>
        <v>1</v>
      </c>
    </row>
    <row r="1380" spans="4:13" x14ac:dyDescent="0.2">
      <c r="D1380">
        <f t="shared" si="81"/>
        <v>1357</v>
      </c>
      <c r="E1380" s="1">
        <f t="shared" si="79"/>
        <v>185.67089704335174</v>
      </c>
      <c r="F1380" s="1">
        <f t="shared" si="82"/>
        <v>-80.655171110643124</v>
      </c>
      <c r="G1380" s="1">
        <f t="shared" si="80"/>
        <v>9.3735532237034551E-36</v>
      </c>
      <c r="H1380" s="1">
        <f>G1380/$G$21</f>
        <v>6.5730595445197423E-37</v>
      </c>
      <c r="I1380">
        <f>IF($E$11&lt;=D1380, IF(D1380&lt;=$A$15,D1380-$E$11,$F$11),0)</f>
        <v>300</v>
      </c>
      <c r="J1380">
        <f>IF(D1380&lt;=$A$15,0,D1380-$A$15)</f>
        <v>1048</v>
      </c>
      <c r="K1380" s="5">
        <f>IF(D1380&lt;$E$11,H1380,0)</f>
        <v>0</v>
      </c>
      <c r="L1380">
        <f>IF(D1380&lt;$A$15,$C$11,$C$11*(1-$G$11))</f>
        <v>200</v>
      </c>
      <c r="M1380">
        <f>IF(D1380&lt;$A$15,0,1)</f>
        <v>1</v>
      </c>
    </row>
    <row r="1381" spans="4:13" x14ac:dyDescent="0.2">
      <c r="D1381">
        <f t="shared" si="81"/>
        <v>1358</v>
      </c>
      <c r="E1381" s="1">
        <f t="shared" si="79"/>
        <v>185.59393600221563</v>
      </c>
      <c r="F1381" s="1">
        <f t="shared" si="82"/>
        <v>-80.73213215177924</v>
      </c>
      <c r="G1381" s="1">
        <f t="shared" si="80"/>
        <v>8.6792159478736795E-36</v>
      </c>
      <c r="H1381" s="1">
        <f>G1381/$G$21</f>
        <v>6.0861662449257643E-37</v>
      </c>
      <c r="I1381">
        <f>IF($E$11&lt;=D1381, IF(D1381&lt;=$A$15,D1381-$E$11,$F$11),0)</f>
        <v>300</v>
      </c>
      <c r="J1381">
        <f>IF(D1381&lt;=$A$15,0,D1381-$A$15)</f>
        <v>1049</v>
      </c>
      <c r="K1381" s="5">
        <f>IF(D1381&lt;$E$11,H1381,0)</f>
        <v>0</v>
      </c>
      <c r="L1381">
        <f>IF(D1381&lt;$A$15,$C$11,$C$11*(1-$G$11))</f>
        <v>200</v>
      </c>
      <c r="M1381">
        <f>IF(D1381&lt;$A$15,0,1)</f>
        <v>1</v>
      </c>
    </row>
    <row r="1382" spans="4:13" x14ac:dyDescent="0.2">
      <c r="D1382">
        <f t="shared" si="81"/>
        <v>1359</v>
      </c>
      <c r="E1382" s="1">
        <f t="shared" si="79"/>
        <v>185.51697496107951</v>
      </c>
      <c r="F1382" s="1">
        <f t="shared" si="82"/>
        <v>-80.809093192915356</v>
      </c>
      <c r="G1382" s="1">
        <f t="shared" si="80"/>
        <v>8.0363110628461011E-36</v>
      </c>
      <c r="H1382" s="1">
        <f>G1382/$G$21</f>
        <v>5.6353391156720752E-37</v>
      </c>
      <c r="I1382">
        <f>IF($E$11&lt;=D1382, IF(D1382&lt;=$A$15,D1382-$E$11,$F$11),0)</f>
        <v>300</v>
      </c>
      <c r="J1382">
        <f>IF(D1382&lt;=$A$15,0,D1382-$A$15)</f>
        <v>1050</v>
      </c>
      <c r="K1382" s="5">
        <f>IF(D1382&lt;$E$11,H1382,0)</f>
        <v>0</v>
      </c>
      <c r="L1382">
        <f>IF(D1382&lt;$A$15,$C$11,$C$11*(1-$G$11))</f>
        <v>200</v>
      </c>
      <c r="M1382">
        <f>IF(D1382&lt;$A$15,0,1)</f>
        <v>1</v>
      </c>
    </row>
    <row r="1383" spans="4:13" x14ac:dyDescent="0.2">
      <c r="D1383">
        <f t="shared" si="81"/>
        <v>1360</v>
      </c>
      <c r="E1383" s="1">
        <f t="shared" si="79"/>
        <v>185.4400139199434</v>
      </c>
      <c r="F1383" s="1">
        <f t="shared" si="82"/>
        <v>-80.886054234051471</v>
      </c>
      <c r="G1383" s="1">
        <f t="shared" si="80"/>
        <v>7.4410287618946318E-36</v>
      </c>
      <c r="H1383" s="1">
        <f>G1383/$G$21</f>
        <v>5.2179065885853206E-37</v>
      </c>
      <c r="I1383">
        <f>IF($E$11&lt;=D1383, IF(D1383&lt;=$A$15,D1383-$E$11,$F$11),0)</f>
        <v>300</v>
      </c>
      <c r="J1383">
        <f>IF(D1383&lt;=$A$15,0,D1383-$A$15)</f>
        <v>1051</v>
      </c>
      <c r="K1383" s="5">
        <f>IF(D1383&lt;$E$11,H1383,0)</f>
        <v>0</v>
      </c>
      <c r="L1383">
        <f>IF(D1383&lt;$A$15,$C$11,$C$11*(1-$G$11))</f>
        <v>200</v>
      </c>
      <c r="M1383">
        <f>IF(D1383&lt;$A$15,0,1)</f>
        <v>1</v>
      </c>
    </row>
    <row r="1384" spans="4:13" x14ac:dyDescent="0.2">
      <c r="D1384">
        <f t="shared" si="81"/>
        <v>1361</v>
      </c>
      <c r="E1384" s="1">
        <f t="shared" si="79"/>
        <v>185.36305287880728</v>
      </c>
      <c r="F1384" s="1">
        <f t="shared" si="82"/>
        <v>-80.963015275187587</v>
      </c>
      <c r="G1384" s="1">
        <f t="shared" si="80"/>
        <v>6.8898414461988207E-36</v>
      </c>
      <c r="H1384" s="1">
        <f>G1384/$G$21</f>
        <v>4.8313949894309136E-37</v>
      </c>
      <c r="I1384">
        <f>IF($E$11&lt;=D1384, IF(D1384&lt;=$A$15,D1384-$E$11,$F$11),0)</f>
        <v>300</v>
      </c>
      <c r="J1384">
        <f>IF(D1384&lt;=$A$15,0,D1384-$A$15)</f>
        <v>1052</v>
      </c>
      <c r="K1384" s="5">
        <f>IF(D1384&lt;$E$11,H1384,0)</f>
        <v>0</v>
      </c>
      <c r="L1384">
        <f>IF(D1384&lt;$A$15,$C$11,$C$11*(1-$G$11))</f>
        <v>200</v>
      </c>
      <c r="M1384">
        <f>IF(D1384&lt;$A$15,0,1)</f>
        <v>1</v>
      </c>
    </row>
    <row r="1385" spans="4:13" x14ac:dyDescent="0.2">
      <c r="D1385">
        <f t="shared" si="81"/>
        <v>1362</v>
      </c>
      <c r="E1385" s="1">
        <f t="shared" si="79"/>
        <v>185.28609183767117</v>
      </c>
      <c r="F1385" s="1">
        <f t="shared" si="82"/>
        <v>-81.039976316323703</v>
      </c>
      <c r="G1385" s="1">
        <f t="shared" si="80"/>
        <v>6.3794828205545448E-36</v>
      </c>
      <c r="H1385" s="1">
        <f>G1385/$G$21</f>
        <v>4.4735138791027548E-37</v>
      </c>
      <c r="I1385">
        <f>IF($E$11&lt;=D1385, IF(D1385&lt;=$A$15,D1385-$E$11,$F$11),0)</f>
        <v>300</v>
      </c>
      <c r="J1385">
        <f>IF(D1385&lt;=$A$15,0,D1385-$A$15)</f>
        <v>1053</v>
      </c>
      <c r="K1385" s="5">
        <f>IF(D1385&lt;$E$11,H1385,0)</f>
        <v>0</v>
      </c>
      <c r="L1385">
        <f>IF(D1385&lt;$A$15,$C$11,$C$11*(1-$G$11))</f>
        <v>200</v>
      </c>
      <c r="M1385">
        <f>IF(D1385&lt;$A$15,0,1)</f>
        <v>1</v>
      </c>
    </row>
    <row r="1386" spans="4:13" x14ac:dyDescent="0.2">
      <c r="D1386">
        <f t="shared" si="81"/>
        <v>1363</v>
      </c>
      <c r="E1386" s="1">
        <f t="shared" si="79"/>
        <v>185.20913079653505</v>
      </c>
      <c r="F1386" s="1">
        <f t="shared" si="82"/>
        <v>-81.116937357459818</v>
      </c>
      <c r="G1386" s="1">
        <f t="shared" si="80"/>
        <v>5.9069285375505787E-36</v>
      </c>
      <c r="H1386" s="1">
        <f>G1386/$G$21</f>
        <v>4.1421424806507515E-37</v>
      </c>
      <c r="I1386">
        <f>IF($E$11&lt;=D1386, IF(D1386&lt;=$A$15,D1386-$E$11,$F$11),0)</f>
        <v>300</v>
      </c>
      <c r="J1386">
        <f>IF(D1386&lt;=$A$15,0,D1386-$A$15)</f>
        <v>1054</v>
      </c>
      <c r="K1386" s="5">
        <f>IF(D1386&lt;$E$11,H1386,0)</f>
        <v>0</v>
      </c>
      <c r="L1386">
        <f>IF(D1386&lt;$A$15,$C$11,$C$11*(1-$G$11))</f>
        <v>200</v>
      </c>
      <c r="M1386">
        <f>IF(D1386&lt;$A$15,0,1)</f>
        <v>1</v>
      </c>
    </row>
    <row r="1387" spans="4:13" x14ac:dyDescent="0.2">
      <c r="D1387">
        <f t="shared" si="81"/>
        <v>1364</v>
      </c>
      <c r="E1387" s="1">
        <f t="shared" si="79"/>
        <v>185.13216975539893</v>
      </c>
      <c r="F1387" s="1">
        <f t="shared" si="82"/>
        <v>-81.193898398595934</v>
      </c>
      <c r="G1387" s="1">
        <f t="shared" si="80"/>
        <v>5.4693782755098639E-36</v>
      </c>
      <c r="H1387" s="1">
        <f>G1387/$G$21</f>
        <v>3.8353171117137063E-37</v>
      </c>
      <c r="I1387">
        <f>IF($E$11&lt;=D1387, IF(D1387&lt;=$A$15,D1387-$E$11,$F$11),0)</f>
        <v>300</v>
      </c>
      <c r="J1387">
        <f>IF(D1387&lt;=$A$15,0,D1387-$A$15)</f>
        <v>1055</v>
      </c>
      <c r="K1387" s="5">
        <f>IF(D1387&lt;$E$11,H1387,0)</f>
        <v>0</v>
      </c>
      <c r="L1387">
        <f>IF(D1387&lt;$A$15,$C$11,$C$11*(1-$G$11))</f>
        <v>200</v>
      </c>
      <c r="M1387">
        <f>IF(D1387&lt;$A$15,0,1)</f>
        <v>1</v>
      </c>
    </row>
    <row r="1388" spans="4:13" x14ac:dyDescent="0.2">
      <c r="D1388">
        <f t="shared" si="81"/>
        <v>1365</v>
      </c>
      <c r="E1388" s="1">
        <f t="shared" si="79"/>
        <v>185.05520871426282</v>
      </c>
      <c r="F1388" s="1">
        <f t="shared" si="82"/>
        <v>-81.27085943973205</v>
      </c>
      <c r="G1388" s="1">
        <f t="shared" si="80"/>
        <v>5.0642391439906792E-36</v>
      </c>
      <c r="H1388" s="1">
        <f>G1388/$G$21</f>
        <v>3.551219547883107E-37</v>
      </c>
      <c r="I1388">
        <f>IF($E$11&lt;=D1388, IF(D1388&lt;=$A$15,D1388-$E$11,$F$11),0)</f>
        <v>300</v>
      </c>
      <c r="J1388">
        <f>IF(D1388&lt;=$A$15,0,D1388-$A$15)</f>
        <v>1056</v>
      </c>
      <c r="K1388" s="5">
        <f>IF(D1388&lt;$E$11,H1388,0)</f>
        <v>0</v>
      </c>
      <c r="L1388">
        <f>IF(D1388&lt;$A$15,$C$11,$C$11*(1-$G$11))</f>
        <v>200</v>
      </c>
      <c r="M1388">
        <f>IF(D1388&lt;$A$15,0,1)</f>
        <v>1</v>
      </c>
    </row>
    <row r="1389" spans="4:13" x14ac:dyDescent="0.2">
      <c r="D1389">
        <f t="shared" si="81"/>
        <v>1366</v>
      </c>
      <c r="E1389" s="1">
        <f t="shared" si="79"/>
        <v>184.9782476731267</v>
      </c>
      <c r="F1389" s="1">
        <f t="shared" si="82"/>
        <v>-81.347820480868165</v>
      </c>
      <c r="G1389" s="1">
        <f t="shared" si="80"/>
        <v>4.6891103185099472E-36</v>
      </c>
      <c r="H1389" s="1">
        <f>G1389/$G$21</f>
        <v>3.2881662480399552E-37</v>
      </c>
      <c r="I1389">
        <f>IF($E$11&lt;=D1389, IF(D1389&lt;=$A$15,D1389-$E$11,$F$11),0)</f>
        <v>300</v>
      </c>
      <c r="J1389">
        <f>IF(D1389&lt;=$A$15,0,D1389-$A$15)</f>
        <v>1057</v>
      </c>
      <c r="K1389" s="5">
        <f>IF(D1389&lt;$E$11,H1389,0)</f>
        <v>0</v>
      </c>
      <c r="L1389">
        <f>IF(D1389&lt;$A$15,$C$11,$C$11*(1-$G$11))</f>
        <v>200</v>
      </c>
      <c r="M1389">
        <f>IF(D1389&lt;$A$15,0,1)</f>
        <v>1</v>
      </c>
    </row>
    <row r="1390" spans="4:13" x14ac:dyDescent="0.2">
      <c r="D1390">
        <f t="shared" si="81"/>
        <v>1367</v>
      </c>
      <c r="E1390" s="1">
        <f t="shared" si="79"/>
        <v>184.90128663199059</v>
      </c>
      <c r="F1390" s="1">
        <f t="shared" si="82"/>
        <v>-81.424781522004281</v>
      </c>
      <c r="G1390" s="1">
        <f t="shared" si="80"/>
        <v>4.341768813435191E-36</v>
      </c>
      <c r="H1390" s="1">
        <f>G1390/$G$21</f>
        <v>3.044598377814812E-37</v>
      </c>
      <c r="I1390">
        <f>IF($E$11&lt;=D1390, IF(D1390&lt;=$A$15,D1390-$E$11,$F$11),0)</f>
        <v>300</v>
      </c>
      <c r="J1390">
        <f>IF(D1390&lt;=$A$15,0,D1390-$A$15)</f>
        <v>1058</v>
      </c>
      <c r="K1390" s="5">
        <f>IF(D1390&lt;$E$11,H1390,0)</f>
        <v>0</v>
      </c>
      <c r="L1390">
        <f>IF(D1390&lt;$A$15,$C$11,$C$11*(1-$G$11))</f>
        <v>200</v>
      </c>
      <c r="M1390">
        <f>IF(D1390&lt;$A$15,0,1)</f>
        <v>1</v>
      </c>
    </row>
    <row r="1391" spans="4:13" x14ac:dyDescent="0.2">
      <c r="D1391">
        <f t="shared" si="81"/>
        <v>1368</v>
      </c>
      <c r="E1391" s="1">
        <f t="shared" si="79"/>
        <v>184.82432559085447</v>
      </c>
      <c r="F1391" s="1">
        <f t="shared" si="82"/>
        <v>-81.501742563140397</v>
      </c>
      <c r="G1391" s="1">
        <f t="shared" si="80"/>
        <v>4.020156308736339E-36</v>
      </c>
      <c r="H1391" s="1">
        <f>G1391/$G$21</f>
        <v>2.8190725720507876E-37</v>
      </c>
      <c r="I1391">
        <f>IF($E$11&lt;=D1391, IF(D1391&lt;=$A$15,D1391-$E$11,$F$11),0)</f>
        <v>300</v>
      </c>
      <c r="J1391">
        <f>IF(D1391&lt;=$A$15,0,D1391-$A$15)</f>
        <v>1059</v>
      </c>
      <c r="K1391" s="5">
        <f>IF(D1391&lt;$E$11,H1391,0)</f>
        <v>0</v>
      </c>
      <c r="L1391">
        <f>IF(D1391&lt;$A$15,$C$11,$C$11*(1-$G$11))</f>
        <v>200</v>
      </c>
      <c r="M1391">
        <f>IF(D1391&lt;$A$15,0,1)</f>
        <v>1</v>
      </c>
    </row>
    <row r="1392" spans="4:13" x14ac:dyDescent="0.2">
      <c r="D1392">
        <f t="shared" si="81"/>
        <v>1369</v>
      </c>
      <c r="E1392" s="1">
        <f t="shared" si="79"/>
        <v>184.74736454971836</v>
      </c>
      <c r="F1392" s="1">
        <f t="shared" si="82"/>
        <v>-81.578703604276512</v>
      </c>
      <c r="G1392" s="1">
        <f t="shared" si="80"/>
        <v>3.7223669525336942E-36</v>
      </c>
      <c r="H1392" s="1">
        <f>G1392/$G$21</f>
        <v>2.6102523815285398E-37</v>
      </c>
      <c r="I1392">
        <f>IF($E$11&lt;=D1392, IF(D1392&lt;=$A$15,D1392-$E$11,$F$11),0)</f>
        <v>300</v>
      </c>
      <c r="J1392">
        <f>IF(D1392&lt;=$A$15,0,D1392-$A$15)</f>
        <v>1060</v>
      </c>
      <c r="K1392" s="5">
        <f>IF(D1392&lt;$E$11,H1392,0)</f>
        <v>0</v>
      </c>
      <c r="L1392">
        <f>IF(D1392&lt;$A$15,$C$11,$C$11*(1-$G$11))</f>
        <v>200</v>
      </c>
      <c r="M1392">
        <f>IF(D1392&lt;$A$15,0,1)</f>
        <v>1</v>
      </c>
    </row>
    <row r="1393" spans="4:13" x14ac:dyDescent="0.2">
      <c r="D1393">
        <f t="shared" si="81"/>
        <v>1370</v>
      </c>
      <c r="E1393" s="1">
        <f t="shared" si="79"/>
        <v>184.67040350858224</v>
      </c>
      <c r="F1393" s="1">
        <f t="shared" si="82"/>
        <v>-81.655664645412628</v>
      </c>
      <c r="G1393" s="1">
        <f t="shared" si="80"/>
        <v>3.4466360671608714E-36</v>
      </c>
      <c r="H1393" s="1">
        <f>G1393/$G$21</f>
        <v>2.4169003532671968E-37</v>
      </c>
      <c r="I1393">
        <f>IF($E$11&lt;=D1393, IF(D1393&lt;=$A$15,D1393-$E$11,$F$11),0)</f>
        <v>300</v>
      </c>
      <c r="J1393">
        <f>IF(D1393&lt;=$A$15,0,D1393-$A$15)</f>
        <v>1061</v>
      </c>
      <c r="K1393" s="5">
        <f>IF(D1393&lt;$E$11,H1393,0)</f>
        <v>0</v>
      </c>
      <c r="L1393">
        <f>IF(D1393&lt;$A$15,$C$11,$C$11*(1-$G$11))</f>
        <v>200</v>
      </c>
      <c r="M1393">
        <f>IF(D1393&lt;$A$15,0,1)</f>
        <v>1</v>
      </c>
    </row>
    <row r="1394" spans="4:13" x14ac:dyDescent="0.2">
      <c r="D1394">
        <f t="shared" si="81"/>
        <v>1371</v>
      </c>
      <c r="E1394" s="1">
        <f t="shared" si="79"/>
        <v>184.59344246744612</v>
      </c>
      <c r="F1394" s="1">
        <f t="shared" si="82"/>
        <v>-81.732625686548744</v>
      </c>
      <c r="G1394" s="1">
        <f t="shared" si="80"/>
        <v>3.1913296918156624E-36</v>
      </c>
      <c r="H1394" s="1">
        <f>G1394/$G$21</f>
        <v>2.2378706974696554E-37</v>
      </c>
      <c r="I1394">
        <f>IF($E$11&lt;=D1394, IF(D1394&lt;=$A$15,D1394-$E$11,$F$11),0)</f>
        <v>300</v>
      </c>
      <c r="J1394">
        <f>IF(D1394&lt;=$A$15,0,D1394-$A$15)</f>
        <v>1062</v>
      </c>
      <c r="K1394" s="5">
        <f>IF(D1394&lt;$E$11,H1394,0)</f>
        <v>0</v>
      </c>
      <c r="L1394">
        <f>IF(D1394&lt;$A$15,$C$11,$C$11*(1-$G$11))</f>
        <v>200</v>
      </c>
      <c r="M1394">
        <f>IF(D1394&lt;$A$15,0,1)</f>
        <v>1</v>
      </c>
    </row>
    <row r="1395" spans="4:13" x14ac:dyDescent="0.2">
      <c r="D1395">
        <f t="shared" si="81"/>
        <v>1372</v>
      </c>
      <c r="E1395" s="1">
        <f t="shared" si="79"/>
        <v>184.51648142631001</v>
      </c>
      <c r="F1395" s="1">
        <f t="shared" si="82"/>
        <v>-81.809586727684859</v>
      </c>
      <c r="G1395" s="1">
        <f t="shared" si="80"/>
        <v>2.9549348998293541E-36</v>
      </c>
      <c r="H1395" s="1">
        <f>G1395/$G$21</f>
        <v>2.0721024976571142E-37</v>
      </c>
      <c r="I1395">
        <f>IF($E$11&lt;=D1395, IF(D1395&lt;=$A$15,D1395-$E$11,$F$11),0)</f>
        <v>300</v>
      </c>
      <c r="J1395">
        <f>IF(D1395&lt;=$A$15,0,D1395-$A$15)</f>
        <v>1063</v>
      </c>
      <c r="K1395" s="5">
        <f>IF(D1395&lt;$E$11,H1395,0)</f>
        <v>0</v>
      </c>
      <c r="L1395">
        <f>IF(D1395&lt;$A$15,$C$11,$C$11*(1-$G$11))</f>
        <v>200</v>
      </c>
      <c r="M1395">
        <f>IF(D1395&lt;$A$15,0,1)</f>
        <v>1</v>
      </c>
    </row>
    <row r="1396" spans="4:13" x14ac:dyDescent="0.2">
      <c r="D1396">
        <f t="shared" si="81"/>
        <v>1373</v>
      </c>
      <c r="E1396" s="1">
        <f t="shared" si="79"/>
        <v>184.43952038517389</v>
      </c>
      <c r="F1396" s="1">
        <f t="shared" si="82"/>
        <v>-81.886547768820975</v>
      </c>
      <c r="G1396" s="1">
        <f t="shared" si="80"/>
        <v>2.7360508331753626E-36</v>
      </c>
      <c r="H1396" s="1">
        <f>G1396/$G$21</f>
        <v>1.9186134237566117E-37</v>
      </c>
      <c r="I1396">
        <f>IF($E$11&lt;=D1396, IF(D1396&lt;=$A$15,D1396-$E$11,$F$11),0)</f>
        <v>300</v>
      </c>
      <c r="J1396">
        <f>IF(D1396&lt;=$A$15,0,D1396-$A$15)</f>
        <v>1064</v>
      </c>
      <c r="K1396" s="5">
        <f>IF(D1396&lt;$E$11,H1396,0)</f>
        <v>0</v>
      </c>
      <c r="L1396">
        <f>IF(D1396&lt;$A$15,$C$11,$C$11*(1-$G$11))</f>
        <v>200</v>
      </c>
      <c r="M1396">
        <f>IF(D1396&lt;$A$15,0,1)</f>
        <v>1</v>
      </c>
    </row>
    <row r="1397" spans="4:13" x14ac:dyDescent="0.2">
      <c r="D1397">
        <f t="shared" si="81"/>
        <v>1374</v>
      </c>
      <c r="E1397" s="1">
        <f t="shared" si="79"/>
        <v>184.36255934403778</v>
      </c>
      <c r="F1397" s="1">
        <f t="shared" si="82"/>
        <v>-81.963508809957091</v>
      </c>
      <c r="G1397" s="1">
        <f t="shared" si="80"/>
        <v>2.5333804010883306E-36</v>
      </c>
      <c r="H1397" s="1">
        <f>G1397/$G$21</f>
        <v>1.7764939108857739E-37</v>
      </c>
      <c r="I1397">
        <f>IF($E$11&lt;=D1397, IF(D1397&lt;=$A$15,D1397-$E$11,$F$11),0)</f>
        <v>300</v>
      </c>
      <c r="J1397">
        <f>IF(D1397&lt;=$A$15,0,D1397-$A$15)</f>
        <v>1065</v>
      </c>
      <c r="K1397" s="5">
        <f>IF(D1397&lt;$E$11,H1397,0)</f>
        <v>0</v>
      </c>
      <c r="L1397">
        <f>IF(D1397&lt;$A$15,$C$11,$C$11*(1-$G$11))</f>
        <v>200</v>
      </c>
      <c r="M1397">
        <f>IF(D1397&lt;$A$15,0,1)</f>
        <v>1</v>
      </c>
    </row>
    <row r="1398" spans="4:13" x14ac:dyDescent="0.2">
      <c r="D1398">
        <f t="shared" si="81"/>
        <v>1375</v>
      </c>
      <c r="E1398" s="1">
        <f t="shared" si="79"/>
        <v>184.28559830290166</v>
      </c>
      <c r="F1398" s="1">
        <f t="shared" si="82"/>
        <v>-82.040469851093206</v>
      </c>
      <c r="G1398" s="1">
        <f t="shared" si="80"/>
        <v>2.3457225936003358E-36</v>
      </c>
      <c r="H1398" s="1">
        <f>G1398/$G$21</f>
        <v>1.6449017693387004E-37</v>
      </c>
      <c r="I1398">
        <f>IF($E$11&lt;=D1398, IF(D1398&lt;=$A$15,D1398-$E$11,$F$11),0)</f>
        <v>300</v>
      </c>
      <c r="J1398">
        <f>IF(D1398&lt;=$A$15,0,D1398-$A$15)</f>
        <v>1066</v>
      </c>
      <c r="K1398" s="5">
        <f>IF(D1398&lt;$E$11,H1398,0)</f>
        <v>0</v>
      </c>
      <c r="L1398">
        <f>IF(D1398&lt;$A$15,$C$11,$C$11*(1-$G$11))</f>
        <v>200</v>
      </c>
      <c r="M1398">
        <f>IF(D1398&lt;$A$15,0,1)</f>
        <v>1</v>
      </c>
    </row>
    <row r="1399" spans="4:13" x14ac:dyDescent="0.2">
      <c r="D1399">
        <f t="shared" si="81"/>
        <v>1376</v>
      </c>
      <c r="E1399" s="1">
        <f t="shared" si="79"/>
        <v>184.20863726176555</v>
      </c>
      <c r="F1399" s="1">
        <f t="shared" si="82"/>
        <v>-82.117430892229322</v>
      </c>
      <c r="G1399" s="1">
        <f t="shared" si="80"/>
        <v>2.1719653644447829E-36</v>
      </c>
      <c r="H1399" s="1">
        <f>G1399/$G$21</f>
        <v>1.5230571938321493E-37</v>
      </c>
      <c r="I1399">
        <f>IF($E$11&lt;=D1399, IF(D1399&lt;=$A$15,D1399-$E$11,$F$11),0)</f>
        <v>300</v>
      </c>
      <c r="J1399">
        <f>IF(D1399&lt;=$A$15,0,D1399-$A$15)</f>
        <v>1067</v>
      </c>
      <c r="K1399" s="5">
        <f>IF(D1399&lt;$E$11,H1399,0)</f>
        <v>0</v>
      </c>
      <c r="L1399">
        <f>IF(D1399&lt;$A$15,$C$11,$C$11*(1-$G$11))</f>
        <v>200</v>
      </c>
      <c r="M1399">
        <f>IF(D1399&lt;$A$15,0,1)</f>
        <v>1</v>
      </c>
    </row>
    <row r="1400" spans="4:13" x14ac:dyDescent="0.2">
      <c r="D1400">
        <f t="shared" si="81"/>
        <v>1377</v>
      </c>
      <c r="E1400" s="1">
        <f t="shared" si="79"/>
        <v>184.13167622062943</v>
      </c>
      <c r="F1400" s="1">
        <f t="shared" si="82"/>
        <v>-82.194391933365438</v>
      </c>
      <c r="G1400" s="1">
        <f t="shared" si="80"/>
        <v>2.011079041152602E-36</v>
      </c>
      <c r="H1400" s="1">
        <f>G1400/$G$21</f>
        <v>1.4102381424371929E-37</v>
      </c>
      <c r="I1400">
        <f>IF($E$11&lt;=D1400, IF(D1400&lt;=$A$15,D1400-$E$11,$F$11),0)</f>
        <v>300</v>
      </c>
      <c r="J1400">
        <f>IF(D1400&lt;=$A$15,0,D1400-$A$15)</f>
        <v>1068</v>
      </c>
      <c r="K1400" s="5">
        <f>IF(D1400&lt;$E$11,H1400,0)</f>
        <v>0</v>
      </c>
      <c r="L1400">
        <f>IF(D1400&lt;$A$15,$C$11,$C$11*(1-$G$11))</f>
        <v>200</v>
      </c>
      <c r="M1400">
        <f>IF(D1400&lt;$A$15,0,1)</f>
        <v>1</v>
      </c>
    </row>
    <row r="1401" spans="4:13" x14ac:dyDescent="0.2">
      <c r="D1401">
        <f t="shared" si="81"/>
        <v>1378</v>
      </c>
      <c r="E1401" s="1">
        <f t="shared" si="79"/>
        <v>184.05471517949331</v>
      </c>
      <c r="F1401" s="1">
        <f t="shared" si="82"/>
        <v>-82.271352974501553</v>
      </c>
      <c r="G1401" s="1">
        <f t="shared" si="80"/>
        <v>1.8621102232894701E-36</v>
      </c>
      <c r="H1401" s="1">
        <f>G1401/$G$21</f>
        <v>1.3057760578122323E-37</v>
      </c>
      <c r="I1401">
        <f>IF($E$11&lt;=D1401, IF(D1401&lt;=$A$15,D1401-$E$11,$F$11),0)</f>
        <v>300</v>
      </c>
      <c r="J1401">
        <f>IF(D1401&lt;=$A$15,0,D1401-$A$15)</f>
        <v>1069</v>
      </c>
      <c r="K1401" s="5">
        <f>IF(D1401&lt;$E$11,H1401,0)</f>
        <v>0</v>
      </c>
      <c r="L1401">
        <f>IF(D1401&lt;$A$15,$C$11,$C$11*(1-$G$11))</f>
        <v>200</v>
      </c>
      <c r="M1401">
        <f>IF(D1401&lt;$A$15,0,1)</f>
        <v>1</v>
      </c>
    </row>
    <row r="1402" spans="4:13" x14ac:dyDescent="0.2">
      <c r="D1402">
        <f t="shared" si="81"/>
        <v>1379</v>
      </c>
      <c r="E1402" s="1">
        <f t="shared" si="79"/>
        <v>183.9777541383572</v>
      </c>
      <c r="F1402" s="1">
        <f t="shared" si="82"/>
        <v>-82.348314015637669</v>
      </c>
      <c r="G1402" s="1">
        <f t="shared" si="80"/>
        <v>1.7241761326754569E-36</v>
      </c>
      <c r="H1402" s="1">
        <f>G1402/$G$21</f>
        <v>1.2090519053817119E-37</v>
      </c>
      <c r="I1402">
        <f>IF($E$11&lt;=D1402, IF(D1402&lt;=$A$15,D1402-$E$11,$F$11),0)</f>
        <v>300</v>
      </c>
      <c r="J1402">
        <f>IF(D1402&lt;=$A$15,0,D1402-$A$15)</f>
        <v>1070</v>
      </c>
      <c r="K1402" s="5">
        <f>IF(D1402&lt;$E$11,H1402,0)</f>
        <v>0</v>
      </c>
      <c r="L1402">
        <f>IF(D1402&lt;$A$15,$C$11,$C$11*(1-$G$11))</f>
        <v>200</v>
      </c>
      <c r="M1402">
        <f>IF(D1402&lt;$A$15,0,1)</f>
        <v>1</v>
      </c>
    </row>
    <row r="1403" spans="4:13" x14ac:dyDescent="0.2">
      <c r="D1403">
        <f t="shared" si="81"/>
        <v>1380</v>
      </c>
      <c r="E1403" s="1">
        <f t="shared" si="79"/>
        <v>183.90079309722108</v>
      </c>
      <c r="F1403" s="1">
        <f t="shared" si="82"/>
        <v>-82.425275056773785</v>
      </c>
      <c r="G1403" s="1">
        <f t="shared" si="80"/>
        <v>1.5964593821069249E-36</v>
      </c>
      <c r="H1403" s="1">
        <f>G1403/$G$21</f>
        <v>1.1194925049830808E-37</v>
      </c>
      <c r="I1403">
        <f>IF($E$11&lt;=D1403, IF(D1403&lt;=$A$15,D1403-$E$11,$F$11),0)</f>
        <v>300</v>
      </c>
      <c r="J1403">
        <f>IF(D1403&lt;=$A$15,0,D1403-$A$15)</f>
        <v>1071</v>
      </c>
      <c r="K1403" s="5">
        <f>IF(D1403&lt;$E$11,H1403,0)</f>
        <v>0</v>
      </c>
      <c r="L1403">
        <f>IF(D1403&lt;$A$15,$C$11,$C$11*(1-$G$11))</f>
        <v>200</v>
      </c>
      <c r="M1403">
        <f>IF(D1403&lt;$A$15,0,1)</f>
        <v>1</v>
      </c>
    </row>
    <row r="1404" spans="4:13" x14ac:dyDescent="0.2">
      <c r="D1404">
        <f t="shared" si="81"/>
        <v>1381</v>
      </c>
      <c r="E1404" s="1">
        <f t="shared" si="79"/>
        <v>183.82383205608497</v>
      </c>
      <c r="F1404" s="1">
        <f t="shared" si="82"/>
        <v>-82.502236097909901</v>
      </c>
      <c r="G1404" s="1">
        <f t="shared" si="80"/>
        <v>1.4782031315805047E-36</v>
      </c>
      <c r="H1404" s="1">
        <f>G1404/$G$21</f>
        <v>1.0365671342436063E-37</v>
      </c>
      <c r="I1404">
        <f>IF($E$11&lt;=D1404, IF(D1404&lt;=$A$15,D1404-$E$11,$F$11),0)</f>
        <v>300</v>
      </c>
      <c r="J1404">
        <f>IF(D1404&lt;=$A$15,0,D1404-$A$15)</f>
        <v>1072</v>
      </c>
      <c r="K1404" s="5">
        <f>IF(D1404&lt;$E$11,H1404,0)</f>
        <v>0</v>
      </c>
      <c r="L1404">
        <f>IF(D1404&lt;$A$15,$C$11,$C$11*(1-$G$11))</f>
        <v>200</v>
      </c>
      <c r="M1404">
        <f>IF(D1404&lt;$A$15,0,1)</f>
        <v>1</v>
      </c>
    </row>
    <row r="1405" spans="4:13" x14ac:dyDescent="0.2">
      <c r="D1405">
        <f t="shared" si="81"/>
        <v>1382</v>
      </c>
      <c r="E1405" s="1">
        <f t="shared" si="79"/>
        <v>183.74687101494885</v>
      </c>
      <c r="F1405" s="1">
        <f t="shared" si="82"/>
        <v>-82.579197139046016</v>
      </c>
      <c r="G1405" s="1">
        <f t="shared" si="80"/>
        <v>1.3687066033152994E-36</v>
      </c>
      <c r="H1405" s="1">
        <f>G1405/$G$21</f>
        <v>9.5978438355890693E-38</v>
      </c>
      <c r="I1405">
        <f>IF($E$11&lt;=D1405, IF(D1405&lt;=$A$15,D1405-$E$11,$F$11),0)</f>
        <v>300</v>
      </c>
      <c r="J1405">
        <f>IF(D1405&lt;=$A$15,0,D1405-$A$15)</f>
        <v>1073</v>
      </c>
      <c r="K1405" s="5">
        <f>IF(D1405&lt;$E$11,H1405,0)</f>
        <v>0</v>
      </c>
      <c r="L1405">
        <f>IF(D1405&lt;$A$15,$C$11,$C$11*(1-$G$11))</f>
        <v>200</v>
      </c>
      <c r="M1405">
        <f>IF(D1405&lt;$A$15,0,1)</f>
        <v>1</v>
      </c>
    </row>
    <row r="1406" spans="4:13" x14ac:dyDescent="0.2">
      <c r="D1406">
        <f t="shared" si="81"/>
        <v>1383</v>
      </c>
      <c r="E1406" s="1">
        <f t="shared" si="79"/>
        <v>183.66990997381274</v>
      </c>
      <c r="F1406" s="1">
        <f t="shared" si="82"/>
        <v>-82.656158180182132</v>
      </c>
      <c r="G1406" s="1">
        <f t="shared" si="80"/>
        <v>1.2673209289956636E-36</v>
      </c>
      <c r="H1406" s="1">
        <f>G1406/$G$21</f>
        <v>8.8868924403603621E-38</v>
      </c>
      <c r="I1406">
        <f>IF($E$11&lt;=D1406, IF(D1406&lt;=$A$15,D1406-$E$11,$F$11),0)</f>
        <v>300</v>
      </c>
      <c r="J1406">
        <f>IF(D1406&lt;=$A$15,0,D1406-$A$15)</f>
        <v>1074</v>
      </c>
      <c r="K1406" s="5">
        <f>IF(D1406&lt;$E$11,H1406,0)</f>
        <v>0</v>
      </c>
      <c r="L1406">
        <f>IF(D1406&lt;$A$15,$C$11,$C$11*(1-$G$11))</f>
        <v>200</v>
      </c>
      <c r="M1406">
        <f>IF(D1406&lt;$A$15,0,1)</f>
        <v>1</v>
      </c>
    </row>
    <row r="1407" spans="4:13" x14ac:dyDescent="0.2">
      <c r="D1407">
        <f t="shared" si="81"/>
        <v>1384</v>
      </c>
      <c r="E1407" s="1">
        <f t="shared" si="79"/>
        <v>183.59294893267662</v>
      </c>
      <c r="F1407" s="1">
        <f t="shared" si="82"/>
        <v>-82.733119221318248</v>
      </c>
      <c r="G1407" s="1">
        <f t="shared" si="80"/>
        <v>1.1734453046256292E-36</v>
      </c>
      <c r="H1407" s="1">
        <f>G1407/$G$21</f>
        <v>8.2286041114448822E-38</v>
      </c>
      <c r="I1407">
        <f>IF($E$11&lt;=D1407, IF(D1407&lt;=$A$15,D1407-$E$11,$F$11),0)</f>
        <v>300</v>
      </c>
      <c r="J1407">
        <f>IF(D1407&lt;=$A$15,0,D1407-$A$15)</f>
        <v>1075</v>
      </c>
      <c r="K1407" s="5">
        <f>IF(D1407&lt;$E$11,H1407,0)</f>
        <v>0</v>
      </c>
      <c r="L1407">
        <f>IF(D1407&lt;$A$15,$C$11,$C$11*(1-$G$11))</f>
        <v>200</v>
      </c>
      <c r="M1407">
        <f>IF(D1407&lt;$A$15,0,1)</f>
        <v>1</v>
      </c>
    </row>
    <row r="1408" spans="4:13" x14ac:dyDescent="0.2">
      <c r="D1408">
        <f t="shared" si="81"/>
        <v>1385</v>
      </c>
      <c r="E1408" s="1">
        <f t="shared" si="79"/>
        <v>183.5159878915405</v>
      </c>
      <c r="F1408" s="1">
        <f t="shared" si="82"/>
        <v>-82.810080262454363</v>
      </c>
      <c r="G1408" s="1">
        <f t="shared" si="80"/>
        <v>1.0865234302089297E-36</v>
      </c>
      <c r="H1408" s="1">
        <f>G1408/$G$21</f>
        <v>7.6190778809675803E-38</v>
      </c>
      <c r="I1408">
        <f>IF($E$11&lt;=D1408, IF(D1408&lt;=$A$15,D1408-$E$11,$F$11),0)</f>
        <v>300</v>
      </c>
      <c r="J1408">
        <f>IF(D1408&lt;=$A$15,0,D1408-$A$15)</f>
        <v>1076</v>
      </c>
      <c r="K1408" s="5">
        <f>IF(D1408&lt;$E$11,H1408,0)</f>
        <v>0</v>
      </c>
      <c r="L1408">
        <f>IF(D1408&lt;$A$15,$C$11,$C$11*(1-$G$11))</f>
        <v>200</v>
      </c>
      <c r="M1408">
        <f>IF(D1408&lt;$A$15,0,1)</f>
        <v>1</v>
      </c>
    </row>
    <row r="1409" spans="4:13" x14ac:dyDescent="0.2">
      <c r="D1409">
        <f t="shared" si="81"/>
        <v>1386</v>
      </c>
      <c r="E1409" s="1">
        <f t="shared" si="79"/>
        <v>183.43902685040439</v>
      </c>
      <c r="F1409" s="1">
        <f t="shared" si="82"/>
        <v>-82.887041303590479</v>
      </c>
      <c r="G1409" s="1">
        <f t="shared" si="80"/>
        <v>1.0060402131564292E-36</v>
      </c>
      <c r="H1409" s="1">
        <f>G1409/$G$21</f>
        <v>7.0547017416367384E-38</v>
      </c>
      <c r="I1409">
        <f>IF($E$11&lt;=D1409, IF(D1409&lt;=$A$15,D1409-$E$11,$F$11),0)</f>
        <v>300</v>
      </c>
      <c r="J1409">
        <f>IF(D1409&lt;=$A$15,0,D1409-$A$15)</f>
        <v>1077</v>
      </c>
      <c r="K1409" s="5">
        <f>IF(D1409&lt;$E$11,H1409,0)</f>
        <v>0</v>
      </c>
      <c r="L1409">
        <f>IF(D1409&lt;$A$15,$C$11,$C$11*(1-$G$11))</f>
        <v>200</v>
      </c>
      <c r="M1409">
        <f>IF(D1409&lt;$A$15,0,1)</f>
        <v>1</v>
      </c>
    </row>
    <row r="1410" spans="4:13" x14ac:dyDescent="0.2">
      <c r="D1410">
        <f t="shared" si="81"/>
        <v>1387</v>
      </c>
      <c r="E1410" s="1">
        <f t="shared" si="79"/>
        <v>183.36206580926827</v>
      </c>
      <c r="F1410" s="1">
        <f t="shared" si="82"/>
        <v>-82.964002344726595</v>
      </c>
      <c r="G1410" s="1">
        <f t="shared" si="80"/>
        <v>9.3151871588559432E-37</v>
      </c>
      <c r="H1410" s="1">
        <f>G1410/$G$21</f>
        <v>6.5321312422563221E-38</v>
      </c>
      <c r="I1410">
        <f>IF($E$11&lt;=D1410, IF(D1410&lt;=$A$15,D1410-$E$11,$F$11),0)</f>
        <v>300</v>
      </c>
      <c r="J1410">
        <f>IF(D1410&lt;=$A$15,0,D1410-$A$15)</f>
        <v>1078</v>
      </c>
      <c r="K1410" s="5">
        <f>IF(D1410&lt;$E$11,H1410,0)</f>
        <v>0</v>
      </c>
      <c r="L1410">
        <f>IF(D1410&lt;$A$15,$C$11,$C$11*(1-$G$11))</f>
        <v>200</v>
      </c>
      <c r="M1410">
        <f>IF(D1410&lt;$A$15,0,1)</f>
        <v>1</v>
      </c>
    </row>
    <row r="1411" spans="4:13" x14ac:dyDescent="0.2">
      <c r="D1411">
        <f t="shared" si="81"/>
        <v>1388</v>
      </c>
      <c r="E1411" s="1">
        <f t="shared" si="79"/>
        <v>183.28510476813216</v>
      </c>
      <c r="F1411" s="1">
        <f t="shared" si="82"/>
        <v>-83.04096338586271</v>
      </c>
      <c r="G1411" s="1">
        <f t="shared" si="80"/>
        <v>8.6251732952370939E-37</v>
      </c>
      <c r="H1411" s="1">
        <f>G1411/$G$21</f>
        <v>6.0482696687559296E-38</v>
      </c>
      <c r="I1411">
        <f>IF($E$11&lt;=D1411, IF(D1411&lt;=$A$15,D1411-$E$11,$F$11),0)</f>
        <v>300</v>
      </c>
      <c r="J1411">
        <f>IF(D1411&lt;=$A$15,0,D1411-$A$15)</f>
        <v>1079</v>
      </c>
      <c r="K1411" s="5">
        <f>IF(D1411&lt;$E$11,H1411,0)</f>
        <v>0</v>
      </c>
      <c r="L1411">
        <f>IF(D1411&lt;$A$15,$C$11,$C$11*(1-$G$11))</f>
        <v>200</v>
      </c>
      <c r="M1411">
        <f>IF(D1411&lt;$A$15,0,1)</f>
        <v>1</v>
      </c>
    </row>
    <row r="1412" spans="4:13" x14ac:dyDescent="0.2">
      <c r="D1412">
        <f t="shared" si="81"/>
        <v>1389</v>
      </c>
      <c r="E1412" s="1">
        <f t="shared" ref="E1412:F1475" si="83">IF($G$11=1,IF(D1412&lt;=$A$15, E1411+LN($C$11)-LN(60/$D$11)-LN(MIN(D1412,$E$11)), E1411-LN(60/$D$11)-LN(MIN(D1412,$E$11))), IF(D1412&lt;=$A$15, E1411+LN($C$11)-LN(60/$D$11)-LN(MIN(D1412,$E$11)), E1411+LN($C$11)+LN(1-$G$11)-LN(60/$D$11)-LN(MIN(D1412,$E$11))))</f>
        <v>183.20814372699604</v>
      </c>
      <c r="F1412" s="1">
        <f t="shared" si="82"/>
        <v>-83.117924426998826</v>
      </c>
      <c r="G1412" s="1">
        <f t="shared" si="80"/>
        <v>7.986271569664077E-37</v>
      </c>
      <c r="H1412" s="1">
        <f>G1412/$G$21</f>
        <v>5.6002496932925984E-38</v>
      </c>
      <c r="I1412">
        <f>IF($E$11&lt;=D1412, IF(D1412&lt;=$A$15,D1412-$E$11,$F$11),0)</f>
        <v>300</v>
      </c>
      <c r="J1412">
        <f>IF(D1412&lt;=$A$15,0,D1412-$A$15)</f>
        <v>1080</v>
      </c>
      <c r="K1412" s="5">
        <f>IF(D1412&lt;$E$11,H1412,0)</f>
        <v>0</v>
      </c>
      <c r="L1412">
        <f>IF(D1412&lt;$A$15,$C$11,$C$11*(1-$G$11))</f>
        <v>200</v>
      </c>
      <c r="M1412">
        <f>IF(D1412&lt;$A$15,0,1)</f>
        <v>1</v>
      </c>
    </row>
    <row r="1413" spans="4:13" x14ac:dyDescent="0.2">
      <c r="D1413">
        <f t="shared" si="81"/>
        <v>1390</v>
      </c>
      <c r="E1413" s="1">
        <f t="shared" si="83"/>
        <v>183.13118268585993</v>
      </c>
      <c r="F1413" s="1">
        <f t="shared" si="82"/>
        <v>-83.194885468134942</v>
      </c>
      <c r="G1413" s="1">
        <f t="shared" si="80"/>
        <v>7.3946958978372015E-37</v>
      </c>
      <c r="H1413" s="1">
        <f>G1413/$G$21</f>
        <v>5.1854163826783972E-38</v>
      </c>
      <c r="I1413">
        <f>IF($E$11&lt;=D1413, IF(D1413&lt;=$A$15,D1413-$E$11,$F$11),0)</f>
        <v>300</v>
      </c>
      <c r="J1413">
        <f>IF(D1413&lt;=$A$15,0,D1413-$A$15)</f>
        <v>1081</v>
      </c>
      <c r="K1413" s="5">
        <f>IF(D1413&lt;$E$11,H1413,0)</f>
        <v>0</v>
      </c>
      <c r="L1413">
        <f>IF(D1413&lt;$A$15,$C$11,$C$11*(1-$G$11))</f>
        <v>200</v>
      </c>
      <c r="M1413">
        <f>IF(D1413&lt;$A$15,0,1)</f>
        <v>1</v>
      </c>
    </row>
    <row r="1414" spans="4:13" x14ac:dyDescent="0.2">
      <c r="D1414">
        <f t="shared" si="81"/>
        <v>1391</v>
      </c>
      <c r="E1414" s="1">
        <f t="shared" si="83"/>
        <v>183.05422164472381</v>
      </c>
      <c r="F1414" s="1">
        <f t="shared" si="82"/>
        <v>-83.271846509271057</v>
      </c>
      <c r="G1414" s="1">
        <f t="shared" si="80"/>
        <v>6.846940646145643E-37</v>
      </c>
      <c r="H1414" s="1">
        <f>G1414/$G$21</f>
        <v>4.8013114654430211E-38</v>
      </c>
      <c r="I1414">
        <f>IF($E$11&lt;=D1414, IF(D1414&lt;=$A$15,D1414-$E$11,$F$11),0)</f>
        <v>300</v>
      </c>
      <c r="J1414">
        <f>IF(D1414&lt;=$A$15,0,D1414-$A$15)</f>
        <v>1082</v>
      </c>
      <c r="K1414" s="5">
        <f>IF(D1414&lt;$E$11,H1414,0)</f>
        <v>0</v>
      </c>
      <c r="L1414">
        <f>IF(D1414&lt;$A$15,$C$11,$C$11*(1-$G$11))</f>
        <v>200</v>
      </c>
      <c r="M1414">
        <f>IF(D1414&lt;$A$15,0,1)</f>
        <v>1</v>
      </c>
    </row>
    <row r="1415" spans="4:13" x14ac:dyDescent="0.2">
      <c r="D1415">
        <f t="shared" si="81"/>
        <v>1392</v>
      </c>
      <c r="E1415" s="1">
        <f t="shared" si="83"/>
        <v>182.97726060358769</v>
      </c>
      <c r="F1415" s="1">
        <f t="shared" si="82"/>
        <v>-83.348807550407173</v>
      </c>
      <c r="G1415" s="1">
        <f t="shared" si="80"/>
        <v>6.3397598575423422E-37</v>
      </c>
      <c r="H1415" s="1">
        <f>G1415/$G$21</f>
        <v>4.4456587642991499E-38</v>
      </c>
      <c r="I1415">
        <f>IF($E$11&lt;=D1415, IF(D1415&lt;=$A$15,D1415-$E$11,$F$11),0)</f>
        <v>300</v>
      </c>
      <c r="J1415">
        <f>IF(D1415&lt;=$A$15,0,D1415-$A$15)</f>
        <v>1083</v>
      </c>
      <c r="K1415" s="5">
        <f>IF(D1415&lt;$E$11,H1415,0)</f>
        <v>0</v>
      </c>
      <c r="L1415">
        <f>IF(D1415&lt;$A$15,$C$11,$C$11*(1-$G$11))</f>
        <v>200</v>
      </c>
      <c r="M1415">
        <f>IF(D1415&lt;$A$15,0,1)</f>
        <v>1</v>
      </c>
    </row>
    <row r="1416" spans="4:13" x14ac:dyDescent="0.2">
      <c r="D1416">
        <f t="shared" si="81"/>
        <v>1393</v>
      </c>
      <c r="E1416" s="1">
        <f t="shared" si="83"/>
        <v>182.90029956245158</v>
      </c>
      <c r="F1416" s="1">
        <f t="shared" si="82"/>
        <v>-83.425768591543289</v>
      </c>
      <c r="G1416" s="1">
        <f t="shared" si="80"/>
        <v>5.8701480162429835E-37</v>
      </c>
      <c r="H1416" s="1">
        <f>G1416/$G$21</f>
        <v>4.11635070768445E-38</v>
      </c>
      <c r="I1416">
        <f>IF($E$11&lt;=D1416, IF(D1416&lt;=$A$15,D1416-$E$11,$F$11),0)</f>
        <v>300</v>
      </c>
      <c r="J1416">
        <f>IF(D1416&lt;=$A$15,0,D1416-$A$15)</f>
        <v>1084</v>
      </c>
      <c r="K1416" s="5">
        <f>IF(D1416&lt;$E$11,H1416,0)</f>
        <v>0</v>
      </c>
      <c r="L1416">
        <f>IF(D1416&lt;$A$15,$C$11,$C$11*(1-$G$11))</f>
        <v>200</v>
      </c>
      <c r="M1416">
        <f>IF(D1416&lt;$A$15,0,1)</f>
        <v>1</v>
      </c>
    </row>
    <row r="1417" spans="4:13" x14ac:dyDescent="0.2">
      <c r="D1417">
        <f t="shared" si="81"/>
        <v>1394</v>
      </c>
      <c r="E1417" s="1">
        <f t="shared" si="83"/>
        <v>182.82333852131546</v>
      </c>
      <c r="F1417" s="1">
        <f t="shared" si="82"/>
        <v>-83.502729632679404</v>
      </c>
      <c r="G1417" s="1">
        <f t="shared" si="80"/>
        <v>5.4353222372620906E-37</v>
      </c>
      <c r="H1417" s="1">
        <f>G1417/$G$21</f>
        <v>3.8114358404486132E-38</v>
      </c>
      <c r="I1417">
        <f>IF($E$11&lt;=D1417, IF(D1417&lt;=$A$15,D1417-$E$11,$F$11),0)</f>
        <v>300</v>
      </c>
      <c r="J1417">
        <f>IF(D1417&lt;=$A$15,0,D1417-$A$15)</f>
        <v>1085</v>
      </c>
      <c r="K1417" s="5">
        <f>IF(D1417&lt;$E$11,H1417,0)</f>
        <v>0</v>
      </c>
      <c r="L1417">
        <f>IF(D1417&lt;$A$15,$C$11,$C$11*(1-$G$11))</f>
        <v>200</v>
      </c>
      <c r="M1417">
        <f>IF(D1417&lt;$A$15,0,1)</f>
        <v>1</v>
      </c>
    </row>
    <row r="1418" spans="4:13" x14ac:dyDescent="0.2">
      <c r="D1418">
        <f t="shared" si="81"/>
        <v>1395</v>
      </c>
      <c r="E1418" s="1">
        <f t="shared" si="83"/>
        <v>182.74637748017935</v>
      </c>
      <c r="F1418" s="1">
        <f t="shared" si="82"/>
        <v>-83.57969067381552</v>
      </c>
      <c r="G1418" s="1">
        <f t="shared" si="80"/>
        <v>5.03270577524274E-37</v>
      </c>
      <c r="H1418" s="1">
        <f>G1418/$G$21</f>
        <v>3.529107259674686E-38</v>
      </c>
      <c r="I1418">
        <f>IF($E$11&lt;=D1418, IF(D1418&lt;=$A$15,D1418-$E$11,$F$11),0)</f>
        <v>300</v>
      </c>
      <c r="J1418">
        <f>IF(D1418&lt;=$A$15,0,D1418-$A$15)</f>
        <v>1086</v>
      </c>
      <c r="K1418" s="5">
        <f>IF(D1418&lt;$E$11,H1418,0)</f>
        <v>0</v>
      </c>
      <c r="L1418">
        <f>IF(D1418&lt;$A$15,$C$11,$C$11*(1-$G$11))</f>
        <v>200</v>
      </c>
      <c r="M1418">
        <f>IF(D1418&lt;$A$15,0,1)</f>
        <v>1</v>
      </c>
    </row>
    <row r="1419" spans="4:13" x14ac:dyDescent="0.2">
      <c r="D1419">
        <f t="shared" si="81"/>
        <v>1396</v>
      </c>
      <c r="E1419" s="1">
        <f t="shared" si="83"/>
        <v>182.66941643904323</v>
      </c>
      <c r="F1419" s="1">
        <f t="shared" si="82"/>
        <v>-83.656651714951636</v>
      </c>
      <c r="G1419" s="1">
        <f t="shared" si="80"/>
        <v>4.6599127548544481E-37</v>
      </c>
      <c r="H1419" s="1">
        <f>G1419/$G$21</f>
        <v>3.2676919071062325E-38</v>
      </c>
      <c r="I1419">
        <f>IF($E$11&lt;=D1419, IF(D1419&lt;=$A$15,D1419-$E$11,$F$11),0)</f>
        <v>300</v>
      </c>
      <c r="J1419">
        <f>IF(D1419&lt;=$A$15,0,D1419-$A$15)</f>
        <v>1087</v>
      </c>
      <c r="K1419" s="5">
        <f>IF(D1419&lt;$E$11,H1419,0)</f>
        <v>0</v>
      </c>
      <c r="L1419">
        <f>IF(D1419&lt;$A$15,$C$11,$C$11*(1-$G$11))</f>
        <v>200</v>
      </c>
      <c r="M1419">
        <f>IF(D1419&lt;$A$15,0,1)</f>
        <v>1</v>
      </c>
    </row>
    <row r="1420" spans="4:13" x14ac:dyDescent="0.2">
      <c r="D1420">
        <f t="shared" si="81"/>
        <v>1397</v>
      </c>
      <c r="E1420" s="1">
        <f t="shared" si="83"/>
        <v>182.59245539790712</v>
      </c>
      <c r="F1420" s="1">
        <f t="shared" si="82"/>
        <v>-83.733612756087751</v>
      </c>
      <c r="G1420" s="1">
        <f t="shared" si="80"/>
        <v>4.3147340322726915E-37</v>
      </c>
      <c r="H1420" s="1">
        <f>G1420/$G$21</f>
        <v>3.025640654728031E-38</v>
      </c>
      <c r="I1420">
        <f>IF($E$11&lt;=D1420, IF(D1420&lt;=$A$15,D1420-$E$11,$F$11),0)</f>
        <v>300</v>
      </c>
      <c r="J1420">
        <f>IF(D1420&lt;=$A$15,0,D1420-$A$15)</f>
        <v>1088</v>
      </c>
      <c r="K1420" s="5">
        <f>IF(D1420&lt;$E$11,H1420,0)</f>
        <v>0</v>
      </c>
      <c r="L1420">
        <f>IF(D1420&lt;$A$15,$C$11,$C$11*(1-$G$11))</f>
        <v>200</v>
      </c>
      <c r="M1420">
        <f>IF(D1420&lt;$A$15,0,1)</f>
        <v>1</v>
      </c>
    </row>
    <row r="1421" spans="4:13" x14ac:dyDescent="0.2">
      <c r="D1421">
        <f t="shared" si="81"/>
        <v>1398</v>
      </c>
      <c r="E1421" s="1">
        <f t="shared" si="83"/>
        <v>182.515494356771</v>
      </c>
      <c r="F1421" s="1">
        <f t="shared" si="82"/>
        <v>-83.810573797223867</v>
      </c>
      <c r="G1421" s="1">
        <f t="shared" si="80"/>
        <v>3.9951241039562465E-37</v>
      </c>
      <c r="H1421" s="1">
        <f>G1421/$G$21</f>
        <v>2.8015191247482123E-38</v>
      </c>
      <c r="I1421">
        <f>IF($E$11&lt;=D1421, IF(D1421&lt;=$A$15,D1421-$E$11,$F$11),0)</f>
        <v>300</v>
      </c>
      <c r="J1421">
        <f>IF(D1421&lt;=$A$15,0,D1421-$A$15)</f>
        <v>1089</v>
      </c>
      <c r="K1421" s="5">
        <f>IF(D1421&lt;$E$11,H1421,0)</f>
        <v>0</v>
      </c>
      <c r="L1421">
        <f>IF(D1421&lt;$A$15,$C$11,$C$11*(1-$G$11))</f>
        <v>200</v>
      </c>
      <c r="M1421">
        <f>IF(D1421&lt;$A$15,0,1)</f>
        <v>1</v>
      </c>
    </row>
    <row r="1422" spans="4:13" x14ac:dyDescent="0.2">
      <c r="D1422">
        <f t="shared" si="81"/>
        <v>1399</v>
      </c>
      <c r="E1422" s="1">
        <f t="shared" si="83"/>
        <v>182.43853331563488</v>
      </c>
      <c r="F1422" s="1">
        <f t="shared" si="82"/>
        <v>-83.887534838359983</v>
      </c>
      <c r="G1422" s="1">
        <f t="shared" si="80"/>
        <v>3.6991889851447195E-37</v>
      </c>
      <c r="H1422" s="1">
        <f>G1422/$G$21</f>
        <v>2.593999189581711E-38</v>
      </c>
      <c r="I1422">
        <f>IF($E$11&lt;=D1422, IF(D1422&lt;=$A$15,D1422-$E$11,$F$11),0)</f>
        <v>300</v>
      </c>
      <c r="J1422">
        <f>IF(D1422&lt;=$A$15,0,D1422-$A$15)</f>
        <v>1090</v>
      </c>
      <c r="K1422" s="5">
        <f>IF(D1422&lt;$E$11,H1422,0)</f>
        <v>0</v>
      </c>
      <c r="L1422">
        <f>IF(D1422&lt;$A$15,$C$11,$C$11*(1-$G$11))</f>
        <v>200</v>
      </c>
      <c r="M1422">
        <f>IF(D1422&lt;$A$15,0,1)</f>
        <v>1</v>
      </c>
    </row>
    <row r="1423" spans="4:13" x14ac:dyDescent="0.2">
      <c r="D1423">
        <f t="shared" si="81"/>
        <v>1400</v>
      </c>
      <c r="E1423" s="1">
        <f t="shared" si="83"/>
        <v>182.36157227449877</v>
      </c>
      <c r="F1423" s="1">
        <f t="shared" si="82"/>
        <v>-83.964495879496098</v>
      </c>
      <c r="G1423" s="1">
        <f t="shared" si="80"/>
        <v>3.425174986245154E-37</v>
      </c>
      <c r="H1423" s="1">
        <f>G1423/$G$21</f>
        <v>2.4018511014645776E-38</v>
      </c>
      <c r="I1423">
        <f>IF($E$11&lt;=D1423, IF(D1423&lt;=$A$15,D1423-$E$11,$F$11),0)</f>
        <v>300</v>
      </c>
      <c r="J1423">
        <f>IF(D1423&lt;=$A$15,0,D1423-$A$15)</f>
        <v>1091</v>
      </c>
      <c r="K1423" s="5">
        <f>IF(D1423&lt;$E$11,H1423,0)</f>
        <v>0</v>
      </c>
      <c r="L1423">
        <f>IF(D1423&lt;$A$15,$C$11,$C$11*(1-$G$11))</f>
        <v>200</v>
      </c>
      <c r="M1423">
        <f>IF(D1423&lt;$A$15,0,1)</f>
        <v>1</v>
      </c>
    </row>
    <row r="1424" spans="4:13" x14ac:dyDescent="0.2">
      <c r="D1424">
        <f t="shared" si="81"/>
        <v>1401</v>
      </c>
      <c r="E1424" s="1">
        <f t="shared" si="83"/>
        <v>182.28461123336265</v>
      </c>
      <c r="F1424" s="1">
        <f t="shared" si="82"/>
        <v>-84.041456920632214</v>
      </c>
      <c r="G1424" s="1">
        <f t="shared" si="80"/>
        <v>3.171458320597405E-37</v>
      </c>
      <c r="H1424" s="1">
        <f>G1424/$G$21</f>
        <v>2.2239362050598224E-38</v>
      </c>
      <c r="I1424">
        <f>IF($E$11&lt;=D1424, IF(D1424&lt;=$A$15,D1424-$E$11,$F$11),0)</f>
        <v>300</v>
      </c>
      <c r="J1424">
        <f>IF(D1424&lt;=$A$15,0,D1424-$A$15)</f>
        <v>1092</v>
      </c>
      <c r="K1424" s="5">
        <f>IF(D1424&lt;$E$11,H1424,0)</f>
        <v>0</v>
      </c>
      <c r="L1424">
        <f>IF(D1424&lt;$A$15,$C$11,$C$11*(1-$G$11))</f>
        <v>200</v>
      </c>
      <c r="M1424">
        <f>IF(D1424&lt;$A$15,0,1)</f>
        <v>1</v>
      </c>
    </row>
    <row r="1425" spans="4:13" x14ac:dyDescent="0.2">
      <c r="D1425">
        <f t="shared" si="81"/>
        <v>1402</v>
      </c>
      <c r="E1425" s="1">
        <f t="shared" si="83"/>
        <v>182.20765019222654</v>
      </c>
      <c r="F1425" s="1">
        <f t="shared" si="82"/>
        <v>-84.11841796176833</v>
      </c>
      <c r="G1425" s="1">
        <f t="shared" si="80"/>
        <v>2.9365354820346712E-37</v>
      </c>
      <c r="H1425" s="1">
        <f>G1425/$G$21</f>
        <v>2.0592001898702319E-38</v>
      </c>
      <c r="I1425">
        <f>IF($E$11&lt;=D1425, IF(D1425&lt;=$A$15,D1425-$E$11,$F$11),0)</f>
        <v>300</v>
      </c>
      <c r="J1425">
        <f>IF(D1425&lt;=$A$15,0,D1425-$A$15)</f>
        <v>1093</v>
      </c>
      <c r="K1425" s="5">
        <f>IF(D1425&lt;$E$11,H1425,0)</f>
        <v>0</v>
      </c>
      <c r="L1425">
        <f>IF(D1425&lt;$A$15,$C$11,$C$11*(1-$G$11))</f>
        <v>200</v>
      </c>
      <c r="M1425">
        <f>IF(D1425&lt;$A$15,0,1)</f>
        <v>1</v>
      </c>
    </row>
    <row r="1426" spans="4:13" x14ac:dyDescent="0.2">
      <c r="D1426">
        <f t="shared" si="81"/>
        <v>1403</v>
      </c>
      <c r="E1426" s="1">
        <f t="shared" si="83"/>
        <v>182.13068915109042</v>
      </c>
      <c r="F1426" s="1">
        <f t="shared" si="82"/>
        <v>-84.195379002904446</v>
      </c>
      <c r="G1426" s="1">
        <f t="shared" si="80"/>
        <v>2.7190143352173226E-37</v>
      </c>
      <c r="H1426" s="1">
        <f>G1426/$G$21</f>
        <v>1.9066668424724608E-38</v>
      </c>
      <c r="I1426">
        <f>IF($E$11&lt;=D1426, IF(D1426&lt;=$A$15,D1426-$E$11,$F$11),0)</f>
        <v>300</v>
      </c>
      <c r="J1426">
        <f>IF(D1426&lt;=$A$15,0,D1426-$A$15)</f>
        <v>1094</v>
      </c>
      <c r="K1426" s="5">
        <f>IF(D1426&lt;$E$11,H1426,0)</f>
        <v>0</v>
      </c>
      <c r="L1426">
        <f>IF(D1426&lt;$A$15,$C$11,$C$11*(1-$G$11))</f>
        <v>200</v>
      </c>
      <c r="M1426">
        <f>IF(D1426&lt;$A$15,0,1)</f>
        <v>1</v>
      </c>
    </row>
    <row r="1427" spans="4:13" x14ac:dyDescent="0.2">
      <c r="D1427">
        <f t="shared" si="81"/>
        <v>1404</v>
      </c>
      <c r="E1427" s="1">
        <f t="shared" si="83"/>
        <v>182.05372810995431</v>
      </c>
      <c r="F1427" s="1">
        <f t="shared" si="82"/>
        <v>-84.272340044040561</v>
      </c>
      <c r="G1427" s="1">
        <f t="shared" si="80"/>
        <v>2.5176058659419972E-37</v>
      </c>
      <c r="H1427" s="1">
        <f>G1427/$G$21</f>
        <v>1.7654322615485974E-38</v>
      </c>
      <c r="I1427">
        <f>IF($E$11&lt;=D1427, IF(D1427&lt;=$A$15,D1427-$E$11,$F$11),0)</f>
        <v>300</v>
      </c>
      <c r="J1427">
        <f>IF(D1427&lt;=$A$15,0,D1427-$A$15)</f>
        <v>1095</v>
      </c>
      <c r="K1427" s="5">
        <f>IF(D1427&lt;$E$11,H1427,0)</f>
        <v>0</v>
      </c>
      <c r="L1427">
        <f>IF(D1427&lt;$A$15,$C$11,$C$11*(1-$G$11))</f>
        <v>200</v>
      </c>
      <c r="M1427">
        <f>IF(D1427&lt;$A$15,0,1)</f>
        <v>1</v>
      </c>
    </row>
    <row r="1428" spans="4:13" x14ac:dyDescent="0.2">
      <c r="D1428">
        <f t="shared" si="81"/>
        <v>1405</v>
      </c>
      <c r="E1428" s="1">
        <f t="shared" si="83"/>
        <v>181.97676706881819</v>
      </c>
      <c r="F1428" s="1">
        <f t="shared" si="82"/>
        <v>-84.349301085176677</v>
      </c>
      <c r="G1428" s="1">
        <f t="shared" si="80"/>
        <v>2.3311165425389155E-37</v>
      </c>
      <c r="H1428" s="1">
        <f>G1428/$G$21</f>
        <v>1.6346595014339068E-38</v>
      </c>
      <c r="I1428">
        <f>IF($E$11&lt;=D1428, IF(D1428&lt;=$A$15,D1428-$E$11,$F$11),0)</f>
        <v>300</v>
      </c>
      <c r="J1428">
        <f>IF(D1428&lt;=$A$15,0,D1428-$A$15)</f>
        <v>1096</v>
      </c>
      <c r="K1428" s="5">
        <f>IF(D1428&lt;$E$11,H1428,0)</f>
        <v>0</v>
      </c>
      <c r="L1428">
        <f>IF(D1428&lt;$A$15,$C$11,$C$11*(1-$G$11))</f>
        <v>200</v>
      </c>
      <c r="M1428">
        <f>IF(D1428&lt;$A$15,0,1)</f>
        <v>1</v>
      </c>
    </row>
    <row r="1429" spans="4:13" x14ac:dyDescent="0.2">
      <c r="D1429">
        <f t="shared" si="81"/>
        <v>1406</v>
      </c>
      <c r="E1429" s="1">
        <f t="shared" si="83"/>
        <v>181.89980602768208</v>
      </c>
      <c r="F1429" s="1">
        <f t="shared" si="82"/>
        <v>-84.426262126312793</v>
      </c>
      <c r="G1429" s="1">
        <f t="shared" si="80"/>
        <v>2.1584412430916159E-37</v>
      </c>
      <c r="H1429" s="1">
        <f>G1429/$G$21</f>
        <v>1.5135736124388219E-38</v>
      </c>
      <c r="I1429">
        <f>IF($E$11&lt;=D1429, IF(D1429&lt;=$A$15,D1429-$E$11,$F$11),0)</f>
        <v>300</v>
      </c>
      <c r="J1429">
        <f>IF(D1429&lt;=$A$15,0,D1429-$A$15)</f>
        <v>1097</v>
      </c>
      <c r="K1429" s="5">
        <f>IF(D1429&lt;$E$11,H1429,0)</f>
        <v>0</v>
      </c>
      <c r="L1429">
        <f>IF(D1429&lt;$A$15,$C$11,$C$11*(1-$G$11))</f>
        <v>200</v>
      </c>
      <c r="M1429">
        <f>IF(D1429&lt;$A$15,0,1)</f>
        <v>1</v>
      </c>
    </row>
    <row r="1430" spans="4:13" x14ac:dyDescent="0.2">
      <c r="D1430">
        <f t="shared" si="81"/>
        <v>1407</v>
      </c>
      <c r="E1430" s="1">
        <f t="shared" si="83"/>
        <v>181.82284498654596</v>
      </c>
      <c r="F1430" s="1">
        <f t="shared" si="82"/>
        <v>-84.503223167448908</v>
      </c>
      <c r="G1430" s="1">
        <f t="shared" si="80"/>
        <v>1.9985567065663361E-37</v>
      </c>
      <c r="H1430" s="1">
        <f>G1430/$G$21</f>
        <v>1.4014570485544823E-38</v>
      </c>
      <c r="I1430">
        <f>IF($E$11&lt;=D1430, IF(D1430&lt;=$A$15,D1430-$E$11,$F$11),0)</f>
        <v>300</v>
      </c>
      <c r="J1430">
        <f>IF(D1430&lt;=$A$15,0,D1430-$A$15)</f>
        <v>1098</v>
      </c>
      <c r="K1430" s="5">
        <f>IF(D1430&lt;$E$11,H1430,0)</f>
        <v>0</v>
      </c>
      <c r="L1430">
        <f>IF(D1430&lt;$A$15,$C$11,$C$11*(1-$G$11))</f>
        <v>200</v>
      </c>
      <c r="M1430">
        <f>IF(D1430&lt;$A$15,0,1)</f>
        <v>1</v>
      </c>
    </row>
    <row r="1431" spans="4:13" x14ac:dyDescent="0.2">
      <c r="D1431">
        <f t="shared" si="81"/>
        <v>1408</v>
      </c>
      <c r="E1431" s="1">
        <f t="shared" si="83"/>
        <v>181.74588394540984</v>
      </c>
      <c r="F1431" s="1">
        <f t="shared" si="82"/>
        <v>-84.580184208585024</v>
      </c>
      <c r="G1431" s="1">
        <f t="shared" si="80"/>
        <v>1.8505154690429273E-37</v>
      </c>
      <c r="H1431" s="1">
        <f>G1431/$G$21</f>
        <v>1.297645415328241E-38</v>
      </c>
      <c r="I1431">
        <f>IF($E$11&lt;=D1431, IF(D1431&lt;=$A$15,D1431-$E$11,$F$11),0)</f>
        <v>300</v>
      </c>
      <c r="J1431">
        <f>IF(D1431&lt;=$A$15,0,D1431-$A$15)</f>
        <v>1099</v>
      </c>
      <c r="K1431" s="5">
        <f>IF(D1431&lt;$E$11,H1431,0)</f>
        <v>0</v>
      </c>
      <c r="L1431">
        <f>IF(D1431&lt;$A$15,$C$11,$C$11*(1-$G$11))</f>
        <v>200</v>
      </c>
      <c r="M1431">
        <f>IF(D1431&lt;$A$15,0,1)</f>
        <v>1</v>
      </c>
    </row>
    <row r="1432" spans="4:13" x14ac:dyDescent="0.2">
      <c r="D1432">
        <f t="shared" si="81"/>
        <v>1409</v>
      </c>
      <c r="E1432" s="1">
        <f t="shared" si="83"/>
        <v>181.66892290427373</v>
      </c>
      <c r="F1432" s="1">
        <f t="shared" si="82"/>
        <v>-84.65714524972114</v>
      </c>
      <c r="G1432" s="1">
        <f t="shared" ref="G1432:G1495" si="84">EXP(F1432)</f>
        <v>1.7134402491138434E-37</v>
      </c>
      <c r="H1432" s="1">
        <f>G1432/$G$21</f>
        <v>1.2015235327113493E-38</v>
      </c>
      <c r="I1432">
        <f>IF($E$11&lt;=D1432, IF(D1432&lt;=$A$15,D1432-$E$11,$F$11),0)</f>
        <v>300</v>
      </c>
      <c r="J1432">
        <f>IF(D1432&lt;=$A$15,0,D1432-$A$15)</f>
        <v>1100</v>
      </c>
      <c r="K1432" s="5">
        <f>IF(D1432&lt;$E$11,H1432,0)</f>
        <v>0</v>
      </c>
      <c r="L1432">
        <f>IF(D1432&lt;$A$15,$C$11,$C$11*(1-$G$11))</f>
        <v>200</v>
      </c>
      <c r="M1432">
        <f>IF(D1432&lt;$A$15,0,1)</f>
        <v>1</v>
      </c>
    </row>
    <row r="1433" spans="4:13" x14ac:dyDescent="0.2">
      <c r="D1433">
        <f t="shared" ref="D1433:D1496" si="85">1+D1432</f>
        <v>1410</v>
      </c>
      <c r="E1433" s="1">
        <f t="shared" si="83"/>
        <v>181.59196186313761</v>
      </c>
      <c r="F1433" s="1">
        <f t="shared" ref="F1433:F1496" si="86">E1433-$E$21</f>
        <v>-84.734106290857255</v>
      </c>
      <c r="G1433" s="1">
        <f t="shared" si="84"/>
        <v>1.5865187491795046E-37</v>
      </c>
      <c r="H1433" s="1">
        <f>G1433/$G$21</f>
        <v>1.1125217895475598E-38</v>
      </c>
      <c r="I1433">
        <f>IF($E$11&lt;=D1433, IF(D1433&lt;=$A$15,D1433-$E$11,$F$11),0)</f>
        <v>300</v>
      </c>
      <c r="J1433">
        <f>IF(D1433&lt;=$A$15,0,D1433-$A$15)</f>
        <v>1101</v>
      </c>
      <c r="K1433" s="5">
        <f>IF(D1433&lt;$E$11,H1433,0)</f>
        <v>0</v>
      </c>
      <c r="L1433">
        <f>IF(D1433&lt;$A$15,$C$11,$C$11*(1-$G$11))</f>
        <v>200</v>
      </c>
      <c r="M1433">
        <f>IF(D1433&lt;$A$15,0,1)</f>
        <v>1</v>
      </c>
    </row>
    <row r="1434" spans="4:13" x14ac:dyDescent="0.2">
      <c r="D1434">
        <f t="shared" si="85"/>
        <v>1411</v>
      </c>
      <c r="E1434" s="1">
        <f t="shared" si="83"/>
        <v>181.5150008220015</v>
      </c>
      <c r="F1434" s="1">
        <f t="shared" si="86"/>
        <v>-84.811067331993371</v>
      </c>
      <c r="G1434" s="1">
        <f t="shared" si="84"/>
        <v>1.4689988418328932E-37</v>
      </c>
      <c r="H1434" s="1">
        <f>G1434/$G$21</f>
        <v>1.0301127680996055E-38</v>
      </c>
      <c r="I1434">
        <f>IF($E$11&lt;=D1434, IF(D1434&lt;=$A$15,D1434-$E$11,$F$11),0)</f>
        <v>300</v>
      </c>
      <c r="J1434">
        <f>IF(D1434&lt;=$A$15,0,D1434-$A$15)</f>
        <v>1102</v>
      </c>
      <c r="K1434" s="5">
        <f>IF(D1434&lt;$E$11,H1434,0)</f>
        <v>0</v>
      </c>
      <c r="L1434">
        <f>IF(D1434&lt;$A$15,$C$11,$C$11*(1-$G$11))</f>
        <v>200</v>
      </c>
      <c r="M1434">
        <f>IF(D1434&lt;$A$15,0,1)</f>
        <v>1</v>
      </c>
    </row>
    <row r="1435" spans="4:13" x14ac:dyDescent="0.2">
      <c r="D1435">
        <f t="shared" si="85"/>
        <v>1412</v>
      </c>
      <c r="E1435" s="1">
        <f t="shared" si="83"/>
        <v>181.43803978086538</v>
      </c>
      <c r="F1435" s="1">
        <f t="shared" si="86"/>
        <v>-84.888028373129487</v>
      </c>
      <c r="G1435" s="1">
        <f t="shared" si="84"/>
        <v>1.3601841128082516E-37</v>
      </c>
      <c r="H1435" s="1">
        <f>G1435/$G$21</f>
        <v>9.5380811861075783E-39</v>
      </c>
      <c r="I1435">
        <f>IF($E$11&lt;=D1435, IF(D1435&lt;=$A$15,D1435-$E$11,$F$11),0)</f>
        <v>300</v>
      </c>
      <c r="J1435">
        <f>IF(D1435&lt;=$A$15,0,D1435-$A$15)</f>
        <v>1103</v>
      </c>
      <c r="K1435" s="5">
        <f>IF(D1435&lt;$E$11,H1435,0)</f>
        <v>0</v>
      </c>
      <c r="L1435">
        <f>IF(D1435&lt;$A$15,$C$11,$C$11*(1-$G$11))</f>
        <v>200</v>
      </c>
      <c r="M1435">
        <f>IF(D1435&lt;$A$15,0,1)</f>
        <v>1</v>
      </c>
    </row>
    <row r="1436" spans="4:13" x14ac:dyDescent="0.2">
      <c r="D1436">
        <f t="shared" si="85"/>
        <v>1413</v>
      </c>
      <c r="E1436" s="1">
        <f t="shared" si="83"/>
        <v>181.36107873972927</v>
      </c>
      <c r="F1436" s="1">
        <f t="shared" si="86"/>
        <v>-84.964989414265602</v>
      </c>
      <c r="G1436" s="1">
        <f t="shared" si="84"/>
        <v>1.2594297340817303E-37</v>
      </c>
      <c r="H1436" s="1">
        <f>G1436/$G$21</f>
        <v>8.8315566538034241E-39</v>
      </c>
      <c r="I1436">
        <f>IF($E$11&lt;=D1436, IF(D1436&lt;=$A$15,D1436-$E$11,$F$11),0)</f>
        <v>300</v>
      </c>
      <c r="J1436">
        <f>IF(D1436&lt;=$A$15,0,D1436-$A$15)</f>
        <v>1104</v>
      </c>
      <c r="K1436" s="5">
        <f>IF(D1436&lt;$E$11,H1436,0)</f>
        <v>0</v>
      </c>
      <c r="L1436">
        <f>IF(D1436&lt;$A$15,$C$11,$C$11*(1-$G$11))</f>
        <v>200</v>
      </c>
      <c r="M1436">
        <f>IF(D1436&lt;$A$15,0,1)</f>
        <v>1</v>
      </c>
    </row>
    <row r="1437" spans="4:13" x14ac:dyDescent="0.2">
      <c r="D1437">
        <f t="shared" si="85"/>
        <v>1414</v>
      </c>
      <c r="E1437" s="1">
        <f t="shared" si="83"/>
        <v>181.28411769859315</v>
      </c>
      <c r="F1437" s="1">
        <f t="shared" si="86"/>
        <v>-85.041950455401718</v>
      </c>
      <c r="G1437" s="1">
        <f t="shared" si="84"/>
        <v>1.1661386426682837E-37</v>
      </c>
      <c r="H1437" s="1">
        <f>G1437/$G$21</f>
        <v>8.177367272040312E-39</v>
      </c>
      <c r="I1437">
        <f>IF($E$11&lt;=D1437, IF(D1437&lt;=$A$15,D1437-$E$11,$F$11),0)</f>
        <v>300</v>
      </c>
      <c r="J1437">
        <f>IF(D1437&lt;=$A$15,0,D1437-$A$15)</f>
        <v>1105</v>
      </c>
      <c r="K1437" s="5">
        <f>IF(D1437&lt;$E$11,H1437,0)</f>
        <v>0</v>
      </c>
      <c r="L1437">
        <f>IF(D1437&lt;$A$15,$C$11,$C$11*(1-$G$11))</f>
        <v>200</v>
      </c>
      <c r="M1437">
        <f>IF(D1437&lt;$A$15,0,1)</f>
        <v>1</v>
      </c>
    </row>
    <row r="1438" spans="4:13" x14ac:dyDescent="0.2">
      <c r="D1438">
        <f t="shared" si="85"/>
        <v>1415</v>
      </c>
      <c r="E1438" s="1">
        <f t="shared" si="83"/>
        <v>181.20715665745703</v>
      </c>
      <c r="F1438" s="1">
        <f t="shared" si="86"/>
        <v>-85.118911496537834</v>
      </c>
      <c r="G1438" s="1">
        <f t="shared" si="84"/>
        <v>1.0797580024706467E-37</v>
      </c>
      <c r="H1438" s="1">
        <f>G1438/$G$21</f>
        <v>7.5716363630003846E-39</v>
      </c>
      <c r="I1438">
        <f>IF($E$11&lt;=D1438, IF(D1438&lt;=$A$15,D1438-$E$11,$F$11),0)</f>
        <v>300</v>
      </c>
      <c r="J1438">
        <f>IF(D1438&lt;=$A$15,0,D1438-$A$15)</f>
        <v>1106</v>
      </c>
      <c r="K1438" s="5">
        <f>IF(D1438&lt;$E$11,H1438,0)</f>
        <v>0</v>
      </c>
      <c r="L1438">
        <f>IF(D1438&lt;$A$15,$C$11,$C$11*(1-$G$11))</f>
        <v>200</v>
      </c>
      <c r="M1438">
        <f>IF(D1438&lt;$A$15,0,1)</f>
        <v>1</v>
      </c>
    </row>
    <row r="1439" spans="4:13" x14ac:dyDescent="0.2">
      <c r="D1439">
        <f t="shared" si="85"/>
        <v>1416</v>
      </c>
      <c r="E1439" s="1">
        <f t="shared" si="83"/>
        <v>181.13019561632092</v>
      </c>
      <c r="F1439" s="1">
        <f t="shared" si="86"/>
        <v>-85.195872537673949</v>
      </c>
      <c r="G1439" s="1">
        <f t="shared" si="84"/>
        <v>9.9977592821357439E-38</v>
      </c>
      <c r="H1439" s="1">
        <f>G1439/$G$21</f>
        <v>7.01077441018563E-39</v>
      </c>
      <c r="I1439">
        <f>IF($E$11&lt;=D1439, IF(D1439&lt;=$A$15,D1439-$E$11,$F$11),0)</f>
        <v>300</v>
      </c>
      <c r="J1439">
        <f>IF(D1439&lt;=$A$15,0,D1439-$A$15)</f>
        <v>1107</v>
      </c>
      <c r="K1439" s="5">
        <f>IF(D1439&lt;$E$11,H1439,0)</f>
        <v>0</v>
      </c>
      <c r="L1439">
        <f>IF(D1439&lt;$A$15,$C$11,$C$11*(1-$G$11))</f>
        <v>200</v>
      </c>
      <c r="M1439">
        <f>IF(D1439&lt;$A$15,0,1)</f>
        <v>1</v>
      </c>
    </row>
    <row r="1440" spans="4:13" x14ac:dyDescent="0.2">
      <c r="D1440">
        <f t="shared" si="85"/>
        <v>1417</v>
      </c>
      <c r="E1440" s="1">
        <f t="shared" si="83"/>
        <v>181.0532345751848</v>
      </c>
      <c r="F1440" s="1">
        <f t="shared" si="86"/>
        <v>-85.272833578810065</v>
      </c>
      <c r="G1440" s="1">
        <f t="shared" si="84"/>
        <v>9.2571845204961762E-38</v>
      </c>
      <c r="H1440" s="1">
        <f>G1440/$G$21</f>
        <v>6.4914577872089984E-39</v>
      </c>
      <c r="I1440">
        <f>IF($E$11&lt;=D1440, IF(D1440&lt;=$A$15,D1440-$E$11,$F$11),0)</f>
        <v>300</v>
      </c>
      <c r="J1440">
        <f>IF(D1440&lt;=$A$15,0,D1440-$A$15)</f>
        <v>1108</v>
      </c>
      <c r="K1440" s="5">
        <f>IF(D1440&lt;$E$11,H1440,0)</f>
        <v>0</v>
      </c>
      <c r="L1440">
        <f>IF(D1440&lt;$A$15,$C$11,$C$11*(1-$G$11))</f>
        <v>200</v>
      </c>
      <c r="M1440">
        <f>IF(D1440&lt;$A$15,0,1)</f>
        <v>1</v>
      </c>
    </row>
    <row r="1441" spans="4:13" x14ac:dyDescent="0.2">
      <c r="D1441">
        <f t="shared" si="85"/>
        <v>1418</v>
      </c>
      <c r="E1441" s="1">
        <f t="shared" si="83"/>
        <v>180.97627353404869</v>
      </c>
      <c r="F1441" s="1">
        <f t="shared" si="86"/>
        <v>-85.349794619946181</v>
      </c>
      <c r="G1441" s="1">
        <f t="shared" si="84"/>
        <v>8.571467148607679E-38</v>
      </c>
      <c r="H1441" s="1">
        <f>G1441/$G$21</f>
        <v>6.0106090622306298E-39</v>
      </c>
      <c r="I1441">
        <f>IF($E$11&lt;=D1441, IF(D1441&lt;=$A$15,D1441-$E$11,$F$11),0)</f>
        <v>300</v>
      </c>
      <c r="J1441">
        <f>IF(D1441&lt;=$A$15,0,D1441-$A$15)</f>
        <v>1109</v>
      </c>
      <c r="K1441" s="5">
        <f>IF(D1441&lt;$E$11,H1441,0)</f>
        <v>0</v>
      </c>
      <c r="L1441">
        <f>IF(D1441&lt;$A$15,$C$11,$C$11*(1-$G$11))</f>
        <v>200</v>
      </c>
      <c r="M1441">
        <f>IF(D1441&lt;$A$15,0,1)</f>
        <v>1</v>
      </c>
    </row>
    <row r="1442" spans="4:13" x14ac:dyDescent="0.2">
      <c r="D1442">
        <f t="shared" si="85"/>
        <v>1419</v>
      </c>
      <c r="E1442" s="1">
        <f t="shared" si="83"/>
        <v>180.89931249291257</v>
      </c>
      <c r="F1442" s="1">
        <f t="shared" si="86"/>
        <v>-85.426755661082296</v>
      </c>
      <c r="G1442" s="1">
        <f t="shared" si="84"/>
        <v>7.9365436561183211E-38</v>
      </c>
      <c r="H1442" s="1">
        <f>G1442/$G$21</f>
        <v>5.5653787613247276E-39</v>
      </c>
      <c r="I1442">
        <f>IF($E$11&lt;=D1442, IF(D1442&lt;=$A$15,D1442-$E$11,$F$11),0)</f>
        <v>300</v>
      </c>
      <c r="J1442">
        <f>IF(D1442&lt;=$A$15,0,D1442-$A$15)</f>
        <v>1110</v>
      </c>
      <c r="K1442" s="5">
        <f>IF(D1442&lt;$E$11,H1442,0)</f>
        <v>0</v>
      </c>
      <c r="L1442">
        <f>IF(D1442&lt;$A$15,$C$11,$C$11*(1-$G$11))</f>
        <v>200</v>
      </c>
      <c r="M1442">
        <f>IF(D1442&lt;$A$15,0,1)</f>
        <v>1</v>
      </c>
    </row>
    <row r="1443" spans="4:13" x14ac:dyDescent="0.2">
      <c r="D1443">
        <f t="shared" si="85"/>
        <v>1420</v>
      </c>
      <c r="E1443" s="1">
        <f t="shared" si="83"/>
        <v>180.82235145177646</v>
      </c>
      <c r="F1443" s="1">
        <f t="shared" si="86"/>
        <v>-85.503716702218412</v>
      </c>
      <c r="G1443" s="1">
        <f t="shared" si="84"/>
        <v>7.3486515334429831E-38</v>
      </c>
      <c r="H1443" s="1">
        <f>G1443/$G$21</f>
        <v>5.1531284827081464E-39</v>
      </c>
      <c r="I1443">
        <f>IF($E$11&lt;=D1443, IF(D1443&lt;=$A$15,D1443-$E$11,$F$11),0)</f>
        <v>300</v>
      </c>
      <c r="J1443">
        <f>IF(D1443&lt;=$A$15,0,D1443-$A$15)</f>
        <v>1111</v>
      </c>
      <c r="K1443" s="5">
        <f>IF(D1443&lt;$E$11,H1443,0)</f>
        <v>0</v>
      </c>
      <c r="L1443">
        <f>IF(D1443&lt;$A$15,$C$11,$C$11*(1-$G$11))</f>
        <v>200</v>
      </c>
      <c r="M1443">
        <f>IF(D1443&lt;$A$15,0,1)</f>
        <v>1</v>
      </c>
    </row>
    <row r="1444" spans="4:13" x14ac:dyDescent="0.2">
      <c r="D1444">
        <f t="shared" si="85"/>
        <v>1421</v>
      </c>
      <c r="E1444" s="1">
        <f t="shared" si="83"/>
        <v>180.74539041064034</v>
      </c>
      <c r="F1444" s="1">
        <f t="shared" si="86"/>
        <v>-85.580677743354528</v>
      </c>
      <c r="G1444" s="1">
        <f t="shared" si="84"/>
        <v>6.8043069754102556E-38</v>
      </c>
      <c r="H1444" s="1">
        <f>G1444/$G$21</f>
        <v>4.7714152617668628E-39</v>
      </c>
      <c r="I1444">
        <f>IF($E$11&lt;=D1444, IF(D1444&lt;=$A$15,D1444-$E$11,$F$11),0)</f>
        <v>300</v>
      </c>
      <c r="J1444">
        <f>IF(D1444&lt;=$A$15,0,D1444-$A$15)</f>
        <v>1112</v>
      </c>
      <c r="K1444" s="5">
        <f>IF(D1444&lt;$E$11,H1444,0)</f>
        <v>0</v>
      </c>
      <c r="L1444">
        <f>IF(D1444&lt;$A$15,$C$11,$C$11*(1-$G$11))</f>
        <v>200</v>
      </c>
      <c r="M1444">
        <f>IF(D1444&lt;$A$15,0,1)</f>
        <v>1</v>
      </c>
    </row>
    <row r="1445" spans="4:13" x14ac:dyDescent="0.2">
      <c r="D1445">
        <f t="shared" si="85"/>
        <v>1422</v>
      </c>
      <c r="E1445" s="1">
        <f t="shared" si="83"/>
        <v>180.66842936950422</v>
      </c>
      <c r="F1445" s="1">
        <f t="shared" si="86"/>
        <v>-85.657638784490644</v>
      </c>
      <c r="G1445" s="1">
        <f t="shared" si="84"/>
        <v>6.3002842364910565E-38</v>
      </c>
      <c r="H1445" s="1">
        <f>G1445/$G$21</f>
        <v>4.4179770942286317E-39</v>
      </c>
      <c r="I1445">
        <f>IF($E$11&lt;=D1445, IF(D1445&lt;=$A$15,D1445-$E$11,$F$11),0)</f>
        <v>300</v>
      </c>
      <c r="J1445">
        <f>IF(D1445&lt;=$A$15,0,D1445-$A$15)</f>
        <v>1113</v>
      </c>
      <c r="K1445" s="5">
        <f>IF(D1445&lt;$E$11,H1445,0)</f>
        <v>0</v>
      </c>
      <c r="L1445">
        <f>IF(D1445&lt;$A$15,$C$11,$C$11*(1-$G$11))</f>
        <v>200</v>
      </c>
      <c r="M1445">
        <f>IF(D1445&lt;$A$15,0,1)</f>
        <v>1</v>
      </c>
    </row>
    <row r="1446" spans="4:13" x14ac:dyDescent="0.2">
      <c r="D1446">
        <f t="shared" si="85"/>
        <v>1423</v>
      </c>
      <c r="E1446" s="1">
        <f t="shared" si="83"/>
        <v>180.59146832836811</v>
      </c>
      <c r="F1446" s="1">
        <f t="shared" si="86"/>
        <v>-85.734599825626759</v>
      </c>
      <c r="G1446" s="1">
        <f t="shared" si="84"/>
        <v>5.8335965152695704E-38</v>
      </c>
      <c r="H1446" s="1">
        <f>G1446/$G$21</f>
        <v>4.0907195316932293E-39</v>
      </c>
      <c r="I1446">
        <f>IF($E$11&lt;=D1446, IF(D1446&lt;=$A$15,D1446-$E$11,$F$11),0)</f>
        <v>300</v>
      </c>
      <c r="J1446">
        <f>IF(D1446&lt;=$A$15,0,D1446-$A$15)</f>
        <v>1114</v>
      </c>
      <c r="K1446" s="5">
        <f>IF(D1446&lt;$E$11,H1446,0)</f>
        <v>0</v>
      </c>
      <c r="L1446">
        <f>IF(D1446&lt;$A$15,$C$11,$C$11*(1-$G$11))</f>
        <v>200</v>
      </c>
      <c r="M1446">
        <f>IF(D1446&lt;$A$15,0,1)</f>
        <v>1</v>
      </c>
    </row>
    <row r="1447" spans="4:13" x14ac:dyDescent="0.2">
      <c r="D1447">
        <f t="shared" si="85"/>
        <v>1424</v>
      </c>
      <c r="E1447" s="1">
        <f t="shared" si="83"/>
        <v>180.51450728723199</v>
      </c>
      <c r="F1447" s="1">
        <f t="shared" si="86"/>
        <v>-85.811560866762875</v>
      </c>
      <c r="G1447" s="1">
        <f t="shared" si="84"/>
        <v>5.4014782548793E-38</v>
      </c>
      <c r="H1447" s="1">
        <f>G1447/$G$21</f>
        <v>3.7877032700863716E-39</v>
      </c>
      <c r="I1447">
        <f>IF($E$11&lt;=D1447, IF(D1447&lt;=$A$15,D1447-$E$11,$F$11),0)</f>
        <v>300</v>
      </c>
      <c r="J1447">
        <f>IF(D1447&lt;=$A$15,0,D1447-$A$15)</f>
        <v>1115</v>
      </c>
      <c r="K1447" s="5">
        <f>IF(D1447&lt;$E$11,H1447,0)</f>
        <v>0</v>
      </c>
      <c r="L1447">
        <f>IF(D1447&lt;$A$15,$C$11,$C$11*(1-$G$11))</f>
        <v>200</v>
      </c>
      <c r="M1447">
        <f>IF(D1447&lt;$A$15,0,1)</f>
        <v>1</v>
      </c>
    </row>
    <row r="1448" spans="4:13" x14ac:dyDescent="0.2">
      <c r="D1448">
        <f t="shared" si="85"/>
        <v>1425</v>
      </c>
      <c r="E1448" s="1">
        <f t="shared" si="83"/>
        <v>180.43754624609588</v>
      </c>
      <c r="F1448" s="1">
        <f t="shared" si="86"/>
        <v>-85.888521907898991</v>
      </c>
      <c r="G1448" s="1">
        <f t="shared" si="84"/>
        <v>5.0013687545179341E-38</v>
      </c>
      <c r="H1448" s="1">
        <f>G1448/$G$21</f>
        <v>3.5071326574874253E-39</v>
      </c>
      <c r="I1448">
        <f>IF($E$11&lt;=D1448, IF(D1448&lt;=$A$15,D1448-$E$11,$F$11),0)</f>
        <v>300</v>
      </c>
      <c r="J1448">
        <f>IF(D1448&lt;=$A$15,0,D1448-$A$15)</f>
        <v>1116</v>
      </c>
      <c r="K1448" s="5">
        <f>IF(D1448&lt;$E$11,H1448,0)</f>
        <v>0</v>
      </c>
      <c r="L1448">
        <f>IF(D1448&lt;$A$15,$C$11,$C$11*(1-$G$11))</f>
        <v>200</v>
      </c>
      <c r="M1448">
        <f>IF(D1448&lt;$A$15,0,1)</f>
        <v>1</v>
      </c>
    </row>
    <row r="1449" spans="4:13" x14ac:dyDescent="0.2">
      <c r="D1449">
        <f t="shared" si="85"/>
        <v>1426</v>
      </c>
      <c r="E1449" s="1">
        <f t="shared" si="83"/>
        <v>180.36058520495976</v>
      </c>
      <c r="F1449" s="1">
        <f t="shared" si="86"/>
        <v>-85.965482949035106</v>
      </c>
      <c r="G1449" s="1">
        <f t="shared" si="84"/>
        <v>4.6308969949240718E-38</v>
      </c>
      <c r="H1449" s="1">
        <f>G1449/$G$21</f>
        <v>3.247345053229139E-39</v>
      </c>
      <c r="I1449">
        <f>IF($E$11&lt;=D1449, IF(D1449&lt;=$A$15,D1449-$E$11,$F$11),0)</f>
        <v>300</v>
      </c>
      <c r="J1449">
        <f>IF(D1449&lt;=$A$15,0,D1449-$A$15)</f>
        <v>1117</v>
      </c>
      <c r="K1449" s="5">
        <f>IF(D1449&lt;$E$11,H1449,0)</f>
        <v>0</v>
      </c>
      <c r="L1449">
        <f>IF(D1449&lt;$A$15,$C$11,$C$11*(1-$G$11))</f>
        <v>200</v>
      </c>
      <c r="M1449">
        <f>IF(D1449&lt;$A$15,0,1)</f>
        <v>1</v>
      </c>
    </row>
    <row r="1450" spans="4:13" x14ac:dyDescent="0.2">
      <c r="D1450">
        <f t="shared" si="85"/>
        <v>1427</v>
      </c>
      <c r="E1450" s="1">
        <f t="shared" si="83"/>
        <v>180.28362416382365</v>
      </c>
      <c r="F1450" s="1">
        <f t="shared" si="86"/>
        <v>-86.042443990171222</v>
      </c>
      <c r="G1450" s="1">
        <f t="shared" si="84"/>
        <v>4.2878675878927131E-38</v>
      </c>
      <c r="H1450" s="1">
        <f>G1450/$G$21</f>
        <v>3.0068009752122036E-39</v>
      </c>
      <c r="I1450">
        <f>IF($E$11&lt;=D1450, IF(D1450&lt;=$A$15,D1450-$E$11,$F$11),0)</f>
        <v>300</v>
      </c>
      <c r="J1450">
        <f>IF(D1450&lt;=$A$15,0,D1450-$A$15)</f>
        <v>1118</v>
      </c>
      <c r="K1450" s="5">
        <f>IF(D1450&lt;$E$11,H1450,0)</f>
        <v>0</v>
      </c>
      <c r="L1450">
        <f>IF(D1450&lt;$A$15,$C$11,$C$11*(1-$G$11))</f>
        <v>200</v>
      </c>
      <c r="M1450">
        <f>IF(D1450&lt;$A$15,0,1)</f>
        <v>1</v>
      </c>
    </row>
    <row r="1451" spans="4:13" x14ac:dyDescent="0.2">
      <c r="D1451">
        <f t="shared" si="85"/>
        <v>1428</v>
      </c>
      <c r="E1451" s="1">
        <f t="shared" si="83"/>
        <v>180.20666312268753</v>
      </c>
      <c r="F1451" s="1">
        <f t="shared" si="86"/>
        <v>-86.119405031307338</v>
      </c>
      <c r="G1451" s="1">
        <f t="shared" si="84"/>
        <v>3.9702477665673772E-38</v>
      </c>
      <c r="H1451" s="1">
        <f>G1451/$G$21</f>
        <v>2.7840749770483717E-39</v>
      </c>
      <c r="I1451">
        <f>IF($E$11&lt;=D1451, IF(D1451&lt;=$A$15,D1451-$E$11,$F$11),0)</f>
        <v>300</v>
      </c>
      <c r="J1451">
        <f>IF(D1451&lt;=$A$15,0,D1451-$A$15)</f>
        <v>1119</v>
      </c>
      <c r="K1451" s="5">
        <f>IF(D1451&lt;$E$11,H1451,0)</f>
        <v>0</v>
      </c>
      <c r="L1451">
        <f>IF(D1451&lt;$A$15,$C$11,$C$11*(1-$G$11))</f>
        <v>200</v>
      </c>
      <c r="M1451">
        <f>IF(D1451&lt;$A$15,0,1)</f>
        <v>1</v>
      </c>
    </row>
    <row r="1452" spans="4:13" x14ac:dyDescent="0.2">
      <c r="D1452">
        <f t="shared" si="85"/>
        <v>1429</v>
      </c>
      <c r="E1452" s="1">
        <f t="shared" si="83"/>
        <v>180.12970208155141</v>
      </c>
      <c r="F1452" s="1">
        <f t="shared" si="86"/>
        <v>-86.196366072443453</v>
      </c>
      <c r="G1452" s="1">
        <f t="shared" si="84"/>
        <v>3.6761553394142845E-38</v>
      </c>
      <c r="H1452" s="1">
        <f>G1452/$G$21</f>
        <v>2.5778472009707472E-39</v>
      </c>
      <c r="I1452">
        <f>IF($E$11&lt;=D1452, IF(D1452&lt;=$A$15,D1452-$E$11,$F$11),0)</f>
        <v>300</v>
      </c>
      <c r="J1452">
        <f>IF(D1452&lt;=$A$15,0,D1452-$A$15)</f>
        <v>1120</v>
      </c>
      <c r="K1452" s="5">
        <f>IF(D1452&lt;$E$11,H1452,0)</f>
        <v>0</v>
      </c>
      <c r="L1452">
        <f>IF(D1452&lt;$A$15,$C$11,$C$11*(1-$G$11))</f>
        <v>200</v>
      </c>
      <c r="M1452">
        <f>IF(D1452&lt;$A$15,0,1)</f>
        <v>1</v>
      </c>
    </row>
    <row r="1453" spans="4:13" x14ac:dyDescent="0.2">
      <c r="D1453">
        <f t="shared" si="85"/>
        <v>1430</v>
      </c>
      <c r="E1453" s="1">
        <f t="shared" si="83"/>
        <v>180.0527410404153</v>
      </c>
      <c r="F1453" s="1">
        <f t="shared" si="86"/>
        <v>-86.273327113579569</v>
      </c>
      <c r="G1453" s="1">
        <f t="shared" si="84"/>
        <v>3.4038475364947507E-38</v>
      </c>
      <c r="H1453" s="1">
        <f>G1453/$G$21</f>
        <v>2.3868955564544255E-39</v>
      </c>
      <c r="I1453">
        <f>IF($E$11&lt;=D1453, IF(D1453&lt;=$A$15,D1453-$E$11,$F$11),0)</f>
        <v>300</v>
      </c>
      <c r="J1453">
        <f>IF(D1453&lt;=$A$15,0,D1453-$A$15)</f>
        <v>1121</v>
      </c>
      <c r="K1453" s="5">
        <f>IF(D1453&lt;$E$11,H1453,0)</f>
        <v>0</v>
      </c>
      <c r="L1453">
        <f>IF(D1453&lt;$A$15,$C$11,$C$11*(1-$G$11))</f>
        <v>200</v>
      </c>
      <c r="M1453">
        <f>IF(D1453&lt;$A$15,0,1)</f>
        <v>1</v>
      </c>
    </row>
    <row r="1454" spans="4:13" x14ac:dyDescent="0.2">
      <c r="D1454">
        <f t="shared" si="85"/>
        <v>1431</v>
      </c>
      <c r="E1454" s="1">
        <f t="shared" si="83"/>
        <v>179.97577999927918</v>
      </c>
      <c r="F1454" s="1">
        <f t="shared" si="86"/>
        <v>-86.350288154715685</v>
      </c>
      <c r="G1454" s="1">
        <f t="shared" si="84"/>
        <v>3.1517106819396243E-38</v>
      </c>
      <c r="H1454" s="1">
        <f>G1454/$G$21</f>
        <v>2.2100884781985705E-39</v>
      </c>
      <c r="I1454">
        <f>IF($E$11&lt;=D1454, IF(D1454&lt;=$A$15,D1454-$E$11,$F$11),0)</f>
        <v>300</v>
      </c>
      <c r="J1454">
        <f>IF(D1454&lt;=$A$15,0,D1454-$A$15)</f>
        <v>1122</v>
      </c>
      <c r="K1454" s="5">
        <f>IF(D1454&lt;$E$11,H1454,0)</f>
        <v>0</v>
      </c>
      <c r="L1454">
        <f>IF(D1454&lt;$A$15,$C$11,$C$11*(1-$G$11))</f>
        <v>200</v>
      </c>
      <c r="M1454">
        <f>IF(D1454&lt;$A$15,0,1)</f>
        <v>1</v>
      </c>
    </row>
    <row r="1455" spans="4:13" x14ac:dyDescent="0.2">
      <c r="D1455">
        <f t="shared" si="85"/>
        <v>1432</v>
      </c>
      <c r="E1455" s="1">
        <f t="shared" si="83"/>
        <v>179.89881895814307</v>
      </c>
      <c r="F1455" s="1">
        <f t="shared" si="86"/>
        <v>-86.4272491958518</v>
      </c>
      <c r="G1455" s="1">
        <f t="shared" si="84"/>
        <v>2.9182506314256148E-38</v>
      </c>
      <c r="H1455" s="1">
        <f>G1455/$G$21</f>
        <v>2.0463782205542578E-39</v>
      </c>
      <c r="I1455">
        <f>IF($E$11&lt;=D1455, IF(D1455&lt;=$A$15,D1455-$E$11,$F$11),0)</f>
        <v>300</v>
      </c>
      <c r="J1455">
        <f>IF(D1455&lt;=$A$15,0,D1455-$A$15)</f>
        <v>1123</v>
      </c>
      <c r="K1455" s="5">
        <f>IF(D1455&lt;$E$11,H1455,0)</f>
        <v>0</v>
      </c>
      <c r="L1455">
        <f>IF(D1455&lt;$A$15,$C$11,$C$11*(1-$G$11))</f>
        <v>200</v>
      </c>
      <c r="M1455">
        <f>IF(D1455&lt;$A$15,0,1)</f>
        <v>1</v>
      </c>
    </row>
    <row r="1456" spans="4:13" x14ac:dyDescent="0.2">
      <c r="D1456">
        <f t="shared" si="85"/>
        <v>1433</v>
      </c>
      <c r="E1456" s="1">
        <f t="shared" si="83"/>
        <v>179.82185791700695</v>
      </c>
      <c r="F1456" s="1">
        <f t="shared" si="86"/>
        <v>-86.504210236987916</v>
      </c>
      <c r="G1456" s="1">
        <f t="shared" si="84"/>
        <v>2.7020839179867147E-38</v>
      </c>
      <c r="H1456" s="1">
        <f>G1456/$G$21</f>
        <v>1.8947946486613739E-39</v>
      </c>
      <c r="I1456">
        <f>IF($E$11&lt;=D1456, IF(D1456&lt;=$A$15,D1456-$E$11,$F$11),0)</f>
        <v>300</v>
      </c>
      <c r="J1456">
        <f>IF(D1456&lt;=$A$15,0,D1456-$A$15)</f>
        <v>1124</v>
      </c>
      <c r="K1456" s="5">
        <f>IF(D1456&lt;$E$11,H1456,0)</f>
        <v>0</v>
      </c>
      <c r="L1456">
        <f>IF(D1456&lt;$A$15,$C$11,$C$11*(1-$G$11))</f>
        <v>200</v>
      </c>
      <c r="M1456">
        <f>IF(D1456&lt;$A$15,0,1)</f>
        <v>1</v>
      </c>
    </row>
    <row r="1457" spans="4:13" x14ac:dyDescent="0.2">
      <c r="D1457">
        <f t="shared" si="85"/>
        <v>1434</v>
      </c>
      <c r="E1457" s="1">
        <f t="shared" si="83"/>
        <v>179.74489687587084</v>
      </c>
      <c r="F1457" s="1">
        <f t="shared" si="86"/>
        <v>-86.581171278124032</v>
      </c>
      <c r="G1457" s="1">
        <f t="shared" si="84"/>
        <v>2.5019295536914337E-38</v>
      </c>
      <c r="H1457" s="1">
        <f>G1457/$G$21</f>
        <v>1.754439489501294E-39</v>
      </c>
      <c r="I1457">
        <f>IF($E$11&lt;=D1457, IF(D1457&lt;=$A$15,D1457-$E$11,$F$11),0)</f>
        <v>300</v>
      </c>
      <c r="J1457">
        <f>IF(D1457&lt;=$A$15,0,D1457-$A$15)</f>
        <v>1125</v>
      </c>
      <c r="K1457" s="5">
        <f>IF(D1457&lt;$E$11,H1457,0)</f>
        <v>0</v>
      </c>
      <c r="L1457">
        <f>IF(D1457&lt;$A$15,$C$11,$C$11*(1-$G$11))</f>
        <v>200</v>
      </c>
      <c r="M1457">
        <f>IF(D1457&lt;$A$15,0,1)</f>
        <v>1</v>
      </c>
    </row>
    <row r="1458" spans="4:13" x14ac:dyDescent="0.2">
      <c r="D1458">
        <f t="shared" si="85"/>
        <v>1435</v>
      </c>
      <c r="E1458" s="1">
        <f t="shared" si="83"/>
        <v>179.66793583473472</v>
      </c>
      <c r="F1458" s="1">
        <f t="shared" si="86"/>
        <v>-86.658132319260147</v>
      </c>
      <c r="G1458" s="1">
        <f t="shared" si="84"/>
        <v>2.3166014386032089E-38</v>
      </c>
      <c r="H1458" s="1">
        <f>G1458/$G$21</f>
        <v>1.624481008797515E-39</v>
      </c>
      <c r="I1458">
        <f>IF($E$11&lt;=D1458, IF(D1458&lt;=$A$15,D1458-$E$11,$F$11),0)</f>
        <v>300</v>
      </c>
      <c r="J1458">
        <f>IF(D1458&lt;=$A$15,0,D1458-$A$15)</f>
        <v>1126</v>
      </c>
      <c r="K1458" s="5">
        <f>IF(D1458&lt;$E$11,H1458,0)</f>
        <v>0</v>
      </c>
      <c r="L1458">
        <f>IF(D1458&lt;$A$15,$C$11,$C$11*(1-$G$11))</f>
        <v>200</v>
      </c>
      <c r="M1458">
        <f>IF(D1458&lt;$A$15,0,1)</f>
        <v>1</v>
      </c>
    </row>
    <row r="1459" spans="4:13" x14ac:dyDescent="0.2">
      <c r="D1459">
        <f t="shared" si="85"/>
        <v>1436</v>
      </c>
      <c r="E1459" s="1">
        <f t="shared" si="83"/>
        <v>179.5909747935986</v>
      </c>
      <c r="F1459" s="1">
        <f t="shared" si="86"/>
        <v>-86.735093360396263</v>
      </c>
      <c r="G1459" s="1">
        <f t="shared" si="84"/>
        <v>2.1450013320400353E-38</v>
      </c>
      <c r="H1459" s="1">
        <f>G1459/$G$21</f>
        <v>1.5041490822199405E-39</v>
      </c>
      <c r="I1459">
        <f>IF($E$11&lt;=D1459, IF(D1459&lt;=$A$15,D1459-$E$11,$F$11),0)</f>
        <v>300</v>
      </c>
      <c r="J1459">
        <f>IF(D1459&lt;=$A$15,0,D1459-$A$15)</f>
        <v>1127</v>
      </c>
      <c r="K1459" s="5">
        <f>IF(D1459&lt;$E$11,H1459,0)</f>
        <v>0</v>
      </c>
      <c r="L1459">
        <f>IF(D1459&lt;$A$15,$C$11,$C$11*(1-$G$11))</f>
        <v>200</v>
      </c>
      <c r="M1459">
        <f>IF(D1459&lt;$A$15,0,1)</f>
        <v>1</v>
      </c>
    </row>
    <row r="1460" spans="4:13" x14ac:dyDescent="0.2">
      <c r="D1460">
        <f t="shared" si="85"/>
        <v>1437</v>
      </c>
      <c r="E1460" s="1">
        <f t="shared" si="83"/>
        <v>179.51401375246249</v>
      </c>
      <c r="F1460" s="1">
        <f t="shared" si="86"/>
        <v>-86.812054401532379</v>
      </c>
      <c r="G1460" s="1">
        <f t="shared" si="84"/>
        <v>1.9861123444815393E-38</v>
      </c>
      <c r="H1460" s="1">
        <f>G1460/$G$21</f>
        <v>1.3927306316851476E-39</v>
      </c>
      <c r="I1460">
        <f>IF($E$11&lt;=D1460, IF(D1460&lt;=$A$15,D1460-$E$11,$F$11),0)</f>
        <v>300</v>
      </c>
      <c r="J1460">
        <f>IF(D1460&lt;=$A$15,0,D1460-$A$15)</f>
        <v>1128</v>
      </c>
      <c r="K1460" s="5">
        <f>IF(D1460&lt;$E$11,H1460,0)</f>
        <v>0</v>
      </c>
      <c r="L1460">
        <f>IF(D1460&lt;$A$15,$C$11,$C$11*(1-$G$11))</f>
        <v>200</v>
      </c>
      <c r="M1460">
        <f>IF(D1460&lt;$A$15,0,1)</f>
        <v>1</v>
      </c>
    </row>
    <row r="1461" spans="4:13" x14ac:dyDescent="0.2">
      <c r="D1461">
        <f t="shared" si="85"/>
        <v>1438</v>
      </c>
      <c r="E1461" s="1">
        <f t="shared" si="83"/>
        <v>179.43705271132637</v>
      </c>
      <c r="F1461" s="1">
        <f t="shared" si="86"/>
        <v>-86.889015442668494</v>
      </c>
      <c r="G1461" s="1">
        <f t="shared" si="84"/>
        <v>1.8389929115570042E-38</v>
      </c>
      <c r="H1461" s="1">
        <f>G1461/$G$21</f>
        <v>1.2895653997084864E-39</v>
      </c>
      <c r="I1461">
        <f>IF($E$11&lt;=D1461, IF(D1461&lt;=$A$15,D1461-$E$11,$F$11),0)</f>
        <v>300</v>
      </c>
      <c r="J1461">
        <f>IF(D1461&lt;=$A$15,0,D1461-$A$15)</f>
        <v>1129</v>
      </c>
      <c r="K1461" s="5">
        <f>IF(D1461&lt;$E$11,H1461,0)</f>
        <v>0</v>
      </c>
      <c r="L1461">
        <f>IF(D1461&lt;$A$15,$C$11,$C$11*(1-$G$11))</f>
        <v>200</v>
      </c>
      <c r="M1461">
        <f>IF(D1461&lt;$A$15,0,1)</f>
        <v>1</v>
      </c>
    </row>
    <row r="1462" spans="4:13" x14ac:dyDescent="0.2">
      <c r="D1462">
        <f t="shared" si="85"/>
        <v>1439</v>
      </c>
      <c r="E1462" s="1">
        <f t="shared" si="83"/>
        <v>179.36009167019026</v>
      </c>
      <c r="F1462" s="1">
        <f t="shared" si="86"/>
        <v>-86.96597648380461</v>
      </c>
      <c r="G1462" s="1">
        <f t="shared" si="84"/>
        <v>1.7027712144046549E-38</v>
      </c>
      <c r="H1462" s="1">
        <f>G1462/$G$21</f>
        <v>1.194042036767132E-39</v>
      </c>
      <c r="I1462">
        <f>IF($E$11&lt;=D1462, IF(D1462&lt;=$A$15,D1462-$E$11,$F$11),0)</f>
        <v>300</v>
      </c>
      <c r="J1462">
        <f>IF(D1462&lt;=$A$15,0,D1462-$A$15)</f>
        <v>1130</v>
      </c>
      <c r="K1462" s="5">
        <f>IF(D1462&lt;$E$11,H1462,0)</f>
        <v>0</v>
      </c>
      <c r="L1462">
        <f>IF(D1462&lt;$A$15,$C$11,$C$11*(1-$G$11))</f>
        <v>200</v>
      </c>
      <c r="M1462">
        <f>IF(D1462&lt;$A$15,0,1)</f>
        <v>1</v>
      </c>
    </row>
    <row r="1463" spans="4:13" x14ac:dyDescent="0.2">
      <c r="D1463">
        <f t="shared" si="85"/>
        <v>1440</v>
      </c>
      <c r="E1463" s="1">
        <f t="shared" si="83"/>
        <v>179.28313062905414</v>
      </c>
      <c r="F1463" s="1">
        <f t="shared" si="86"/>
        <v>-87.042937524940726</v>
      </c>
      <c r="G1463" s="1">
        <f t="shared" si="84"/>
        <v>1.5766400133376635E-38</v>
      </c>
      <c r="H1463" s="1">
        <f>G1463/$G$21</f>
        <v>1.1055944784880993E-39</v>
      </c>
      <c r="I1463">
        <f>IF($E$11&lt;=D1463, IF(D1463&lt;=$A$15,D1463-$E$11,$F$11),0)</f>
        <v>300</v>
      </c>
      <c r="J1463">
        <f>IF(D1463&lt;=$A$15,0,D1463-$A$15)</f>
        <v>1131</v>
      </c>
      <c r="K1463" s="5">
        <f>IF(D1463&lt;$E$11,H1463,0)</f>
        <v>0</v>
      </c>
      <c r="L1463">
        <f>IF(D1463&lt;$A$15,$C$11,$C$11*(1-$G$11))</f>
        <v>200</v>
      </c>
      <c r="M1463">
        <f>IF(D1463&lt;$A$15,0,1)</f>
        <v>1</v>
      </c>
    </row>
    <row r="1464" spans="4:13" x14ac:dyDescent="0.2">
      <c r="D1464">
        <f t="shared" si="85"/>
        <v>1441</v>
      </c>
      <c r="E1464" s="1">
        <f t="shared" si="83"/>
        <v>179.20616958791803</v>
      </c>
      <c r="F1464" s="1">
        <f t="shared" si="86"/>
        <v>-87.119898566076841</v>
      </c>
      <c r="G1464" s="1">
        <f t="shared" si="84"/>
        <v>1.4598518642015585E-38</v>
      </c>
      <c r="H1464" s="1">
        <f>G1464/$G$21</f>
        <v>1.0236985911926972E-39</v>
      </c>
      <c r="I1464">
        <f>IF($E$11&lt;=D1464, IF(D1464&lt;=$A$15,D1464-$E$11,$F$11),0)</f>
        <v>300</v>
      </c>
      <c r="J1464">
        <f>IF(D1464&lt;=$A$15,0,D1464-$A$15)</f>
        <v>1132</v>
      </c>
      <c r="K1464" s="5">
        <f>IF(D1464&lt;$E$11,H1464,0)</f>
        <v>0</v>
      </c>
      <c r="L1464">
        <f>IF(D1464&lt;$A$15,$C$11,$C$11*(1-$G$11))</f>
        <v>200</v>
      </c>
      <c r="M1464">
        <f>IF(D1464&lt;$A$15,0,1)</f>
        <v>1</v>
      </c>
    </row>
    <row r="1465" spans="4:13" x14ac:dyDescent="0.2">
      <c r="D1465">
        <f t="shared" si="85"/>
        <v>1442</v>
      </c>
      <c r="E1465" s="1">
        <f t="shared" si="83"/>
        <v>179.12920854678191</v>
      </c>
      <c r="F1465" s="1">
        <f t="shared" si="86"/>
        <v>-87.196859607212957</v>
      </c>
      <c r="G1465" s="1">
        <f t="shared" si="84"/>
        <v>1.3517146890755342E-38</v>
      </c>
      <c r="H1465" s="1">
        <f>G1465/$G$21</f>
        <v>9.4786906591917617E-40</v>
      </c>
      <c r="I1465">
        <f>IF($E$11&lt;=D1465, IF(D1465&lt;=$A$15,D1465-$E$11,$F$11),0)</f>
        <v>300</v>
      </c>
      <c r="J1465">
        <f>IF(D1465&lt;=$A$15,0,D1465-$A$15)</f>
        <v>1133</v>
      </c>
      <c r="K1465" s="5">
        <f>IF(D1465&lt;$E$11,H1465,0)</f>
        <v>0</v>
      </c>
      <c r="L1465">
        <f>IF(D1465&lt;$A$15,$C$11,$C$11*(1-$G$11))</f>
        <v>200</v>
      </c>
      <c r="M1465">
        <f>IF(D1465&lt;$A$15,0,1)</f>
        <v>1</v>
      </c>
    </row>
    <row r="1466" spans="4:13" x14ac:dyDescent="0.2">
      <c r="D1466">
        <f t="shared" si="85"/>
        <v>1443</v>
      </c>
      <c r="E1466" s="1">
        <f t="shared" si="83"/>
        <v>179.05224750564579</v>
      </c>
      <c r="F1466" s="1">
        <f t="shared" si="86"/>
        <v>-87.273820648349073</v>
      </c>
      <c r="G1466" s="1">
        <f t="shared" si="84"/>
        <v>1.2515876750699551E-38</v>
      </c>
      <c r="H1466" s="1">
        <f>G1466/$G$21</f>
        <v>8.7765654251776695E-40</v>
      </c>
      <c r="I1466">
        <f>IF($E$11&lt;=D1466, IF(D1466&lt;=$A$15,D1466-$E$11,$F$11),0)</f>
        <v>300</v>
      </c>
      <c r="J1466">
        <f>IF(D1466&lt;=$A$15,0,D1466-$A$15)</f>
        <v>1134</v>
      </c>
      <c r="K1466" s="5">
        <f>IF(D1466&lt;$E$11,H1466,0)</f>
        <v>0</v>
      </c>
      <c r="L1466">
        <f>IF(D1466&lt;$A$15,$C$11,$C$11*(1-$G$11))</f>
        <v>200</v>
      </c>
      <c r="M1466">
        <f>IF(D1466&lt;$A$15,0,1)</f>
        <v>1</v>
      </c>
    </row>
    <row r="1467" spans="4:13" x14ac:dyDescent="0.2">
      <c r="D1467">
        <f t="shared" si="85"/>
        <v>1444</v>
      </c>
      <c r="E1467" s="1">
        <f t="shared" si="83"/>
        <v>178.97528646450968</v>
      </c>
      <c r="F1467" s="1">
        <f t="shared" si="86"/>
        <v>-87.350781689485189</v>
      </c>
      <c r="G1467" s="1">
        <f t="shared" si="84"/>
        <v>1.1588774769166397E-38</v>
      </c>
      <c r="H1467" s="1">
        <f>G1467/$G$21</f>
        <v>8.1264494677572034E-40</v>
      </c>
      <c r="I1467">
        <f>IF($E$11&lt;=D1467, IF(D1467&lt;=$A$15,D1467-$E$11,$F$11),0)</f>
        <v>300</v>
      </c>
      <c r="J1467">
        <f>IF(D1467&lt;=$A$15,0,D1467-$A$15)</f>
        <v>1135</v>
      </c>
      <c r="K1467" s="5">
        <f>IF(D1467&lt;$E$11,H1467,0)</f>
        <v>0</v>
      </c>
      <c r="L1467">
        <f>IF(D1467&lt;$A$15,$C$11,$C$11*(1-$G$11))</f>
        <v>200</v>
      </c>
      <c r="M1467">
        <f>IF(D1467&lt;$A$15,0,1)</f>
        <v>1</v>
      </c>
    </row>
    <row r="1468" spans="4:13" x14ac:dyDescent="0.2">
      <c r="D1468">
        <f t="shared" si="85"/>
        <v>1445</v>
      </c>
      <c r="E1468" s="1">
        <f t="shared" si="83"/>
        <v>178.89832542337356</v>
      </c>
      <c r="F1468" s="1">
        <f t="shared" si="86"/>
        <v>-87.427742730621304</v>
      </c>
      <c r="G1468" s="1">
        <f t="shared" si="84"/>
        <v>1.0730347008487541E-38</v>
      </c>
      <c r="H1468" s="1">
        <f>G1468/$G$21</f>
        <v>7.5244902479234313E-40</v>
      </c>
      <c r="I1468">
        <f>IF($E$11&lt;=D1468, IF(D1468&lt;=$A$15,D1468-$E$11,$F$11),0)</f>
        <v>300</v>
      </c>
      <c r="J1468">
        <f>IF(D1468&lt;=$A$15,0,D1468-$A$15)</f>
        <v>1136</v>
      </c>
      <c r="K1468" s="5">
        <f>IF(D1468&lt;$E$11,H1468,0)</f>
        <v>0</v>
      </c>
      <c r="L1468">
        <f>IF(D1468&lt;$A$15,$C$11,$C$11*(1-$G$11))</f>
        <v>200</v>
      </c>
      <c r="M1468">
        <f>IF(D1468&lt;$A$15,0,1)</f>
        <v>1</v>
      </c>
    </row>
    <row r="1469" spans="4:13" x14ac:dyDescent="0.2">
      <c r="D1469">
        <f t="shared" si="85"/>
        <v>1446</v>
      </c>
      <c r="E1469" s="1">
        <f t="shared" si="83"/>
        <v>178.82136438223745</v>
      </c>
      <c r="F1469" s="1">
        <f t="shared" si="86"/>
        <v>-87.50470377175742</v>
      </c>
      <c r="G1469" s="1">
        <f t="shared" si="84"/>
        <v>9.9355064893404412E-39</v>
      </c>
      <c r="H1469" s="1">
        <f>G1469/$G$21</f>
        <v>6.9671205999291916E-40</v>
      </c>
      <c r="I1469">
        <f>IF($E$11&lt;=D1469, IF(D1469&lt;=$A$15,D1469-$E$11,$F$11),0)</f>
        <v>300</v>
      </c>
      <c r="J1469">
        <f>IF(D1469&lt;=$A$15,0,D1469-$A$15)</f>
        <v>1137</v>
      </c>
      <c r="K1469" s="5">
        <f>IF(D1469&lt;$E$11,H1469,0)</f>
        <v>0</v>
      </c>
      <c r="L1469">
        <f>IF(D1469&lt;$A$15,$C$11,$C$11*(1-$G$11))</f>
        <v>200</v>
      </c>
      <c r="M1469">
        <f>IF(D1469&lt;$A$15,0,1)</f>
        <v>1</v>
      </c>
    </row>
    <row r="1470" spans="4:13" x14ac:dyDescent="0.2">
      <c r="D1470">
        <f t="shared" si="85"/>
        <v>1447</v>
      </c>
      <c r="E1470" s="1">
        <f t="shared" si="83"/>
        <v>178.74440334110133</v>
      </c>
      <c r="F1470" s="1">
        <f t="shared" si="86"/>
        <v>-87.581664812893536</v>
      </c>
      <c r="G1470" s="1">
        <f t="shared" si="84"/>
        <v>9.1995430456857096E-39</v>
      </c>
      <c r="H1470" s="1">
        <f>G1470/$G$21</f>
        <v>6.4510375925271108E-40</v>
      </c>
      <c r="I1470">
        <f>IF($E$11&lt;=D1470, IF(D1470&lt;=$A$15,D1470-$E$11,$F$11),0)</f>
        <v>300</v>
      </c>
      <c r="J1470">
        <f>IF(D1470&lt;=$A$15,0,D1470-$A$15)</f>
        <v>1138</v>
      </c>
      <c r="K1470" s="5">
        <f>IF(D1470&lt;$E$11,H1470,0)</f>
        <v>0</v>
      </c>
      <c r="L1470">
        <f>IF(D1470&lt;$A$15,$C$11,$C$11*(1-$G$11))</f>
        <v>200</v>
      </c>
      <c r="M1470">
        <f>IF(D1470&lt;$A$15,0,1)</f>
        <v>1</v>
      </c>
    </row>
    <row r="1471" spans="4:13" x14ac:dyDescent="0.2">
      <c r="D1471">
        <f t="shared" si="85"/>
        <v>1448</v>
      </c>
      <c r="E1471" s="1">
        <f t="shared" si="83"/>
        <v>178.66744229996522</v>
      </c>
      <c r="F1471" s="1">
        <f t="shared" si="86"/>
        <v>-87.658625854029651</v>
      </c>
      <c r="G1471" s="1">
        <f t="shared" si="84"/>
        <v>8.5180954126720604E-39</v>
      </c>
      <c r="H1471" s="1">
        <f>G1471/$G$21</f>
        <v>5.9731829560436958E-40</v>
      </c>
      <c r="I1471">
        <f>IF($E$11&lt;=D1471, IF(D1471&lt;=$A$15,D1471-$E$11,$F$11),0)</f>
        <v>300</v>
      </c>
      <c r="J1471">
        <f>IF(D1471&lt;=$A$15,0,D1471-$A$15)</f>
        <v>1139</v>
      </c>
      <c r="K1471" s="5">
        <f>IF(D1471&lt;$E$11,H1471,0)</f>
        <v>0</v>
      </c>
      <c r="L1471">
        <f>IF(D1471&lt;$A$15,$C$11,$C$11*(1-$G$11))</f>
        <v>200</v>
      </c>
      <c r="M1471">
        <f>IF(D1471&lt;$A$15,0,1)</f>
        <v>1</v>
      </c>
    </row>
    <row r="1472" spans="4:13" x14ac:dyDescent="0.2">
      <c r="D1472">
        <f t="shared" si="85"/>
        <v>1449</v>
      </c>
      <c r="E1472" s="1">
        <f t="shared" si="83"/>
        <v>178.5904812588291</v>
      </c>
      <c r="F1472" s="1">
        <f t="shared" si="86"/>
        <v>-87.735586895165767</v>
      </c>
      <c r="G1472" s="1">
        <f t="shared" si="84"/>
        <v>7.8871253821038592E-39</v>
      </c>
      <c r="H1472" s="1">
        <f>G1472/$G$21</f>
        <v>5.5307249592997882E-40</v>
      </c>
      <c r="I1472">
        <f>IF($E$11&lt;=D1472, IF(D1472&lt;=$A$15,D1472-$E$11,$F$11),0)</f>
        <v>300</v>
      </c>
      <c r="J1472">
        <f>IF(D1472&lt;=$A$15,0,D1472-$A$15)</f>
        <v>1140</v>
      </c>
      <c r="K1472" s="5">
        <f>IF(D1472&lt;$E$11,H1472,0)</f>
        <v>0</v>
      </c>
      <c r="L1472">
        <f>IF(D1472&lt;$A$15,$C$11,$C$11*(1-$G$11))</f>
        <v>200</v>
      </c>
      <c r="M1472">
        <f>IF(D1472&lt;$A$15,0,1)</f>
        <v>1</v>
      </c>
    </row>
    <row r="1473" spans="4:13" x14ac:dyDescent="0.2">
      <c r="D1473">
        <f t="shared" si="85"/>
        <v>1450</v>
      </c>
      <c r="E1473" s="1">
        <f t="shared" si="83"/>
        <v>178.51352021769299</v>
      </c>
      <c r="F1473" s="1">
        <f t="shared" si="86"/>
        <v>-87.812547936301883</v>
      </c>
      <c r="G1473" s="1">
        <f t="shared" si="84"/>
        <v>7.302893872318481E-39</v>
      </c>
      <c r="H1473" s="1">
        <f>G1473/$G$21</f>
        <v>5.1210416289813506E-40</v>
      </c>
      <c r="I1473">
        <f>IF($E$11&lt;=D1473, IF(D1473&lt;=$A$15,D1473-$E$11,$F$11),0)</f>
        <v>300</v>
      </c>
      <c r="J1473">
        <f>IF(D1473&lt;=$A$15,0,D1473-$A$15)</f>
        <v>1141</v>
      </c>
      <c r="K1473" s="5">
        <f>IF(D1473&lt;$E$11,H1473,0)</f>
        <v>0</v>
      </c>
      <c r="L1473">
        <f>IF(D1473&lt;$A$15,$C$11,$C$11*(1-$G$11))</f>
        <v>200</v>
      </c>
      <c r="M1473">
        <f>IF(D1473&lt;$A$15,0,1)</f>
        <v>1</v>
      </c>
    </row>
    <row r="1474" spans="4:13" x14ac:dyDescent="0.2">
      <c r="D1474">
        <f t="shared" si="85"/>
        <v>1451</v>
      </c>
      <c r="E1474" s="1">
        <f t="shared" si="83"/>
        <v>178.43655917655687</v>
      </c>
      <c r="F1474" s="1">
        <f t="shared" si="86"/>
        <v>-87.889508977437998</v>
      </c>
      <c r="G1474" s="1">
        <f t="shared" si="84"/>
        <v>6.7619387706653453E-39</v>
      </c>
      <c r="H1474" s="1">
        <f>G1474/$G$21</f>
        <v>4.7417052120198285E-40</v>
      </c>
      <c r="I1474">
        <f>IF($E$11&lt;=D1474, IF(D1474&lt;=$A$15,D1474-$E$11,$F$11),0)</f>
        <v>300</v>
      </c>
      <c r="J1474">
        <f>IF(D1474&lt;=$A$15,0,D1474-$A$15)</f>
        <v>1142</v>
      </c>
      <c r="K1474" s="5">
        <f>IF(D1474&lt;$E$11,H1474,0)</f>
        <v>0</v>
      </c>
      <c r="L1474">
        <f>IF(D1474&lt;$A$15,$C$11,$C$11*(1-$G$11))</f>
        <v>200</v>
      </c>
      <c r="M1474">
        <f>IF(D1474&lt;$A$15,0,1)</f>
        <v>1</v>
      </c>
    </row>
    <row r="1475" spans="4:13" x14ac:dyDescent="0.2">
      <c r="D1475">
        <f t="shared" si="85"/>
        <v>1452</v>
      </c>
      <c r="E1475" s="1">
        <f t="shared" si="83"/>
        <v>178.35959813542075</v>
      </c>
      <c r="F1475" s="1">
        <f t="shared" si="86"/>
        <v>-87.966470018574114</v>
      </c>
      <c r="G1475" s="1">
        <f t="shared" si="84"/>
        <v>6.2610544172828071E-39</v>
      </c>
      <c r="H1475" s="1">
        <f>G1475/$G$21</f>
        <v>4.3904677889073051E-40</v>
      </c>
      <c r="I1475">
        <f>IF($E$11&lt;=D1475, IF(D1475&lt;=$A$15,D1475-$E$11,$F$11),0)</f>
        <v>300</v>
      </c>
      <c r="J1475">
        <f>IF(D1475&lt;=$A$15,0,D1475-$A$15)</f>
        <v>1143</v>
      </c>
      <c r="K1475" s="5">
        <f>IF(D1475&lt;$E$11,H1475,0)</f>
        <v>0</v>
      </c>
      <c r="L1475">
        <f>IF(D1475&lt;$A$15,$C$11,$C$11*(1-$G$11))</f>
        <v>200</v>
      </c>
      <c r="M1475">
        <f>IF(D1475&lt;$A$15,0,1)</f>
        <v>1</v>
      </c>
    </row>
    <row r="1476" spans="4:13" x14ac:dyDescent="0.2">
      <c r="D1476">
        <f t="shared" si="85"/>
        <v>1453</v>
      </c>
      <c r="E1476" s="1">
        <f t="shared" ref="E1476:F1539" si="87">IF($G$11=1,IF(D1476&lt;=$A$15, E1475+LN($C$11)-LN(60/$D$11)-LN(MIN(D1476,$E$11)), E1475-LN(60/$D$11)-LN(MIN(D1476,$E$11))), IF(D1476&lt;=$A$15, E1475+LN($C$11)-LN(60/$D$11)-LN(MIN(D1476,$E$11)), E1475+LN($C$11)+LN(1-$G$11)-LN(60/$D$11)-LN(MIN(D1476,$E$11))))</f>
        <v>178.28263709428464</v>
      </c>
      <c r="F1476" s="1">
        <f t="shared" si="86"/>
        <v>-88.04343105971023</v>
      </c>
      <c r="G1476" s="1">
        <f t="shared" si="84"/>
        <v>5.7972726085952643E-39</v>
      </c>
      <c r="H1476" s="1">
        <f>G1476/$G$21</f>
        <v>4.0652479526919999E-40</v>
      </c>
      <c r="I1476">
        <f>IF($E$11&lt;=D1476, IF(D1476&lt;=$A$15,D1476-$E$11,$F$11),0)</f>
        <v>300</v>
      </c>
      <c r="J1476">
        <f>IF(D1476&lt;=$A$15,0,D1476-$A$15)</f>
        <v>1144</v>
      </c>
      <c r="K1476" s="5">
        <f>IF(D1476&lt;$E$11,H1476,0)</f>
        <v>0</v>
      </c>
      <c r="L1476">
        <f>IF(D1476&lt;$A$15,$C$11,$C$11*(1-$G$11))</f>
        <v>200</v>
      </c>
      <c r="M1476">
        <f>IF(D1476&lt;$A$15,0,1)</f>
        <v>1</v>
      </c>
    </row>
    <row r="1477" spans="4:13" x14ac:dyDescent="0.2">
      <c r="D1477">
        <f t="shared" si="85"/>
        <v>1454</v>
      </c>
      <c r="E1477" s="1">
        <f t="shared" si="87"/>
        <v>178.20567605314852</v>
      </c>
      <c r="F1477" s="1">
        <f t="shared" si="86"/>
        <v>-88.120392100846345</v>
      </c>
      <c r="G1477" s="1">
        <f t="shared" si="84"/>
        <v>5.3678450079586462E-39</v>
      </c>
      <c r="H1477" s="1">
        <f>G1477/$G$21</f>
        <v>3.7641184747148623E-40</v>
      </c>
      <c r="I1477">
        <f>IF($E$11&lt;=D1477, IF(D1477&lt;=$A$15,D1477-$E$11,$F$11),0)</f>
        <v>300</v>
      </c>
      <c r="J1477">
        <f>IF(D1477&lt;=$A$15,0,D1477-$A$15)</f>
        <v>1145</v>
      </c>
      <c r="K1477" s="5">
        <f>IF(D1477&lt;$E$11,H1477,0)</f>
        <v>0</v>
      </c>
      <c r="L1477">
        <f>IF(D1477&lt;$A$15,$C$11,$C$11*(1-$G$11))</f>
        <v>200</v>
      </c>
      <c r="M1477">
        <f>IF(D1477&lt;$A$15,0,1)</f>
        <v>1</v>
      </c>
    </row>
    <row r="1478" spans="4:13" x14ac:dyDescent="0.2">
      <c r="D1478">
        <f t="shared" si="85"/>
        <v>1455</v>
      </c>
      <c r="E1478" s="1">
        <f t="shared" si="87"/>
        <v>178.12871501201241</v>
      </c>
      <c r="F1478" s="1">
        <f t="shared" si="86"/>
        <v>-88.197353141982461</v>
      </c>
      <c r="G1478" s="1">
        <f t="shared" si="84"/>
        <v>4.9702268592210317E-39</v>
      </c>
      <c r="H1478" s="1">
        <f>G1478/$G$21</f>
        <v>3.4852948839952873E-40</v>
      </c>
      <c r="I1478">
        <f>IF($E$11&lt;=D1478, IF(D1478&lt;=$A$15,D1478-$E$11,$F$11),0)</f>
        <v>300</v>
      </c>
      <c r="J1478">
        <f>IF(D1478&lt;=$A$15,0,D1478-$A$15)</f>
        <v>1146</v>
      </c>
      <c r="K1478" s="5">
        <f>IF(D1478&lt;$E$11,H1478,0)</f>
        <v>0</v>
      </c>
      <c r="L1478">
        <f>IF(D1478&lt;$A$15,$C$11,$C$11*(1-$G$11))</f>
        <v>200</v>
      </c>
      <c r="M1478">
        <f>IF(D1478&lt;$A$15,0,1)</f>
        <v>1</v>
      </c>
    </row>
    <row r="1479" spans="4:13" x14ac:dyDescent="0.2">
      <c r="D1479">
        <f t="shared" si="85"/>
        <v>1456</v>
      </c>
      <c r="E1479" s="1">
        <f t="shared" si="87"/>
        <v>178.05175397087629</v>
      </c>
      <c r="F1479" s="1">
        <f t="shared" si="86"/>
        <v>-88.274314183118577</v>
      </c>
      <c r="G1479" s="1">
        <f t="shared" si="84"/>
        <v>4.6020619066861988E-39</v>
      </c>
      <c r="H1479" s="1">
        <f>G1479/$G$21</f>
        <v>3.22712489258827E-40</v>
      </c>
      <c r="I1479">
        <f>IF($E$11&lt;=D1479, IF(D1479&lt;=$A$15,D1479-$E$11,$F$11),0)</f>
        <v>300</v>
      </c>
      <c r="J1479">
        <f>IF(D1479&lt;=$A$15,0,D1479-$A$15)</f>
        <v>1147</v>
      </c>
      <c r="K1479" s="5">
        <f>IF(D1479&lt;$E$11,H1479,0)</f>
        <v>0</v>
      </c>
      <c r="L1479">
        <f>IF(D1479&lt;$A$15,$C$11,$C$11*(1-$G$11))</f>
        <v>200</v>
      </c>
      <c r="M1479">
        <f>IF(D1479&lt;$A$15,0,1)</f>
        <v>1</v>
      </c>
    </row>
    <row r="1480" spans="4:13" x14ac:dyDescent="0.2">
      <c r="D1480">
        <f t="shared" si="85"/>
        <v>1457</v>
      </c>
      <c r="E1480" s="1">
        <f t="shared" si="87"/>
        <v>177.97479292974018</v>
      </c>
      <c r="F1480" s="1">
        <f t="shared" si="86"/>
        <v>-88.351275224254692</v>
      </c>
      <c r="G1480" s="1">
        <f t="shared" si="84"/>
        <v>4.2611684321169044E-39</v>
      </c>
      <c r="H1480" s="1">
        <f>G1480/$G$21</f>
        <v>2.9880786042484358E-40</v>
      </c>
      <c r="I1480">
        <f>IF($E$11&lt;=D1480, IF(D1480&lt;=$A$15,D1480-$E$11,$F$11),0)</f>
        <v>300</v>
      </c>
      <c r="J1480">
        <f>IF(D1480&lt;=$A$15,0,D1480-$A$15)</f>
        <v>1148</v>
      </c>
      <c r="K1480" s="5">
        <f>IF(D1480&lt;$E$11,H1480,0)</f>
        <v>0</v>
      </c>
      <c r="L1480">
        <f>IF(D1480&lt;$A$15,$C$11,$C$11*(1-$G$11))</f>
        <v>200</v>
      </c>
      <c r="M1480">
        <f>IF(D1480&lt;$A$15,0,1)</f>
        <v>1</v>
      </c>
    </row>
    <row r="1481" spans="4:13" x14ac:dyDescent="0.2">
      <c r="D1481">
        <f t="shared" si="85"/>
        <v>1458</v>
      </c>
      <c r="E1481" s="1">
        <f t="shared" si="87"/>
        <v>177.89783188860406</v>
      </c>
      <c r="F1481" s="1">
        <f t="shared" si="86"/>
        <v>-88.428236265390808</v>
      </c>
      <c r="G1481" s="1">
        <f t="shared" si="84"/>
        <v>3.9455263260342204E-39</v>
      </c>
      <c r="H1481" s="1">
        <f>G1481/$G$21</f>
        <v>2.7667394483782159E-40</v>
      </c>
      <c r="I1481">
        <f>IF($E$11&lt;=D1481, IF(D1481&lt;=$A$15,D1481-$E$11,$F$11),0)</f>
        <v>300</v>
      </c>
      <c r="J1481">
        <f>IF(D1481&lt;=$A$15,0,D1481-$A$15)</f>
        <v>1149</v>
      </c>
      <c r="K1481" s="5">
        <f>IF(D1481&lt;$E$11,H1481,0)</f>
        <v>0</v>
      </c>
      <c r="L1481">
        <f>IF(D1481&lt;$A$15,$C$11,$C$11*(1-$G$11))</f>
        <v>200</v>
      </c>
      <c r="M1481">
        <f>IF(D1481&lt;$A$15,0,1)</f>
        <v>1</v>
      </c>
    </row>
    <row r="1482" spans="4:13" x14ac:dyDescent="0.2">
      <c r="D1482">
        <f t="shared" si="85"/>
        <v>1459</v>
      </c>
      <c r="E1482" s="1">
        <f t="shared" si="87"/>
        <v>177.82087084746794</v>
      </c>
      <c r="F1482" s="1">
        <f t="shared" si="86"/>
        <v>-88.505197306526924</v>
      </c>
      <c r="G1482" s="1">
        <f t="shared" si="84"/>
        <v>3.6532651166983986E-39</v>
      </c>
      <c r="H1482" s="1">
        <f>G1482/$G$21</f>
        <v>2.5617957855354176E-40</v>
      </c>
      <c r="I1482">
        <f>IF($E$11&lt;=D1482, IF(D1482&lt;=$A$15,D1482-$E$11,$F$11),0)</f>
        <v>300</v>
      </c>
      <c r="J1482">
        <f>IF(D1482&lt;=$A$15,0,D1482-$A$15)</f>
        <v>1150</v>
      </c>
      <c r="K1482" s="5">
        <f>IF(D1482&lt;$E$11,H1482,0)</f>
        <v>0</v>
      </c>
      <c r="L1482">
        <f>IF(D1482&lt;$A$15,$C$11,$C$11*(1-$G$11))</f>
        <v>200</v>
      </c>
      <c r="M1482">
        <f>IF(D1482&lt;$A$15,0,1)</f>
        <v>1</v>
      </c>
    </row>
    <row r="1483" spans="4:13" x14ac:dyDescent="0.2">
      <c r="D1483">
        <f t="shared" si="85"/>
        <v>1460</v>
      </c>
      <c r="E1483" s="1">
        <f t="shared" si="87"/>
        <v>177.74390980633183</v>
      </c>
      <c r="F1483" s="1">
        <f t="shared" si="86"/>
        <v>-88.582158347663039</v>
      </c>
      <c r="G1483" s="1">
        <f t="shared" si="84"/>
        <v>3.3826528858318932E-39</v>
      </c>
      <c r="H1483" s="1">
        <f>G1483/$G$21</f>
        <v>2.3720331347550462E-40</v>
      </c>
      <c r="I1483">
        <f>IF($E$11&lt;=D1483, IF(D1483&lt;=$A$15,D1483-$E$11,$F$11),0)</f>
        <v>300</v>
      </c>
      <c r="J1483">
        <f>IF(D1483&lt;=$A$15,0,D1483-$A$15)</f>
        <v>1151</v>
      </c>
      <c r="K1483" s="5">
        <f>IF(D1483&lt;$E$11,H1483,0)</f>
        <v>0</v>
      </c>
      <c r="L1483">
        <f>IF(D1483&lt;$A$15,$C$11,$C$11*(1-$G$11))</f>
        <v>200</v>
      </c>
      <c r="M1483">
        <f>IF(D1483&lt;$A$15,0,1)</f>
        <v>1</v>
      </c>
    </row>
    <row r="1484" spans="4:13" x14ac:dyDescent="0.2">
      <c r="D1484">
        <f t="shared" si="85"/>
        <v>1461</v>
      </c>
      <c r="E1484" s="1">
        <f t="shared" si="87"/>
        <v>177.66694876519571</v>
      </c>
      <c r="F1484" s="1">
        <f t="shared" si="86"/>
        <v>-88.659119388799155</v>
      </c>
      <c r="G1484" s="1">
        <f t="shared" si="84"/>
        <v>3.1320860053999411E-39</v>
      </c>
      <c r="H1484" s="1">
        <f>G1484/$G$21</f>
        <v>2.196326976625071E-40</v>
      </c>
      <c r="I1484">
        <f>IF($E$11&lt;=D1484, IF(D1484&lt;=$A$15,D1484-$E$11,$F$11),0)</f>
        <v>300</v>
      </c>
      <c r="J1484">
        <f>IF(D1484&lt;=$A$15,0,D1484-$A$15)</f>
        <v>1152</v>
      </c>
      <c r="K1484" s="5">
        <f>IF(D1484&lt;$E$11,H1484,0)</f>
        <v>0</v>
      </c>
      <c r="L1484">
        <f>IF(D1484&lt;$A$15,$C$11,$C$11*(1-$G$11))</f>
        <v>200</v>
      </c>
      <c r="M1484">
        <f>IF(D1484&lt;$A$15,0,1)</f>
        <v>1</v>
      </c>
    </row>
    <row r="1485" spans="4:13" x14ac:dyDescent="0.2">
      <c r="D1485">
        <f t="shared" si="85"/>
        <v>1462</v>
      </c>
      <c r="E1485" s="1">
        <f t="shared" si="87"/>
        <v>177.5899877240596</v>
      </c>
      <c r="F1485" s="1">
        <f t="shared" si="86"/>
        <v>-88.736080429935271</v>
      </c>
      <c r="G1485" s="1">
        <f t="shared" si="84"/>
        <v>2.9000796346296116E-39</v>
      </c>
      <c r="H1485" s="1">
        <f>G1485/$G$21</f>
        <v>2.0336360894676839E-40</v>
      </c>
      <c r="I1485">
        <f>IF($E$11&lt;=D1485, IF(D1485&lt;=$A$15,D1485-$E$11,$F$11),0)</f>
        <v>300</v>
      </c>
      <c r="J1485">
        <f>IF(D1485&lt;=$A$15,0,D1485-$A$15)</f>
        <v>1153</v>
      </c>
      <c r="K1485" s="5">
        <f>IF(D1485&lt;$E$11,H1485,0)</f>
        <v>0</v>
      </c>
      <c r="L1485">
        <f>IF(D1485&lt;$A$15,$C$11,$C$11*(1-$G$11))</f>
        <v>200</v>
      </c>
      <c r="M1485">
        <f>IF(D1485&lt;$A$15,0,1)</f>
        <v>1</v>
      </c>
    </row>
    <row r="1486" spans="4:13" x14ac:dyDescent="0.2">
      <c r="D1486">
        <f t="shared" si="85"/>
        <v>1463</v>
      </c>
      <c r="E1486" s="1">
        <f t="shared" si="87"/>
        <v>177.51302668292348</v>
      </c>
      <c r="F1486" s="1">
        <f t="shared" si="86"/>
        <v>-88.813041471071386</v>
      </c>
      <c r="G1486" s="1">
        <f t="shared" si="84"/>
        <v>2.6852589209533779E-39</v>
      </c>
      <c r="H1486" s="1">
        <f>G1486/$G$21</f>
        <v>1.8829963791367682E-40</v>
      </c>
      <c r="I1486">
        <f>IF($E$11&lt;=D1486, IF(D1486&lt;=$A$15,D1486-$E$11,$F$11),0)</f>
        <v>300</v>
      </c>
      <c r="J1486">
        <f>IF(D1486&lt;=$A$15,0,D1486-$A$15)</f>
        <v>1154</v>
      </c>
      <c r="K1486" s="5">
        <f>IF(D1486&lt;$E$11,H1486,0)</f>
        <v>0</v>
      </c>
      <c r="L1486">
        <f>IF(D1486&lt;$A$15,$C$11,$C$11*(1-$G$11))</f>
        <v>200</v>
      </c>
      <c r="M1486">
        <f>IF(D1486&lt;$A$15,0,1)</f>
        <v>1</v>
      </c>
    </row>
    <row r="1487" spans="4:13" x14ac:dyDescent="0.2">
      <c r="D1487">
        <f t="shared" si="85"/>
        <v>1464</v>
      </c>
      <c r="E1487" s="1">
        <f t="shared" si="87"/>
        <v>177.43606564178737</v>
      </c>
      <c r="F1487" s="1">
        <f t="shared" si="86"/>
        <v>-88.890002512207502</v>
      </c>
      <c r="G1487" s="1">
        <f t="shared" si="84"/>
        <v>2.4863508527346406E-39</v>
      </c>
      <c r="H1487" s="1">
        <f>G1487/$G$21</f>
        <v>1.7435151658673999E-40</v>
      </c>
      <c r="I1487">
        <f>IF($E$11&lt;=D1487, IF(D1487&lt;=$A$15,D1487-$E$11,$F$11),0)</f>
        <v>300</v>
      </c>
      <c r="J1487">
        <f>IF(D1487&lt;=$A$15,0,D1487-$A$15)</f>
        <v>1155</v>
      </c>
      <c r="K1487" s="5">
        <f>IF(D1487&lt;$E$11,H1487,0)</f>
        <v>0</v>
      </c>
      <c r="L1487">
        <f>IF(D1487&lt;$A$15,$C$11,$C$11*(1-$G$11))</f>
        <v>200</v>
      </c>
      <c r="M1487">
        <f>IF(D1487&lt;$A$15,0,1)</f>
        <v>1</v>
      </c>
    </row>
    <row r="1488" spans="4:13" x14ac:dyDescent="0.2">
      <c r="D1488">
        <f t="shared" si="85"/>
        <v>1465</v>
      </c>
      <c r="E1488" s="1">
        <f t="shared" si="87"/>
        <v>177.35910460065125</v>
      </c>
      <c r="F1488" s="1">
        <f t="shared" si="86"/>
        <v>-88.966963553343618</v>
      </c>
      <c r="G1488" s="1">
        <f t="shared" si="84"/>
        <v>2.3021767154950668E-39</v>
      </c>
      <c r="H1488" s="1">
        <f>G1488/$G$21</f>
        <v>1.614365894321687E-40</v>
      </c>
      <c r="I1488">
        <f>IF($E$11&lt;=D1488, IF(D1488&lt;=$A$15,D1488-$E$11,$F$11),0)</f>
        <v>300</v>
      </c>
      <c r="J1488">
        <f>IF(D1488&lt;=$A$15,0,D1488-$A$15)</f>
        <v>1156</v>
      </c>
      <c r="K1488" s="5">
        <f>IF(D1488&lt;$E$11,H1488,0)</f>
        <v>0</v>
      </c>
      <c r="L1488">
        <f>IF(D1488&lt;$A$15,$C$11,$C$11*(1-$G$11))</f>
        <v>200</v>
      </c>
      <c r="M1488">
        <f>IF(D1488&lt;$A$15,0,1)</f>
        <v>1</v>
      </c>
    </row>
    <row r="1489" spans="4:13" x14ac:dyDescent="0.2">
      <c r="D1489">
        <f t="shared" si="85"/>
        <v>1466</v>
      </c>
      <c r="E1489" s="1">
        <f t="shared" si="87"/>
        <v>177.28214355951513</v>
      </c>
      <c r="F1489" s="1">
        <f t="shared" si="86"/>
        <v>-89.043924594479734</v>
      </c>
      <c r="G1489" s="1">
        <f t="shared" si="84"/>
        <v>2.1316451069399036E-39</v>
      </c>
      <c r="H1489" s="1">
        <f>G1489/$G$21</f>
        <v>1.4947832354830624E-40</v>
      </c>
      <c r="I1489">
        <f>IF($E$11&lt;=D1489, IF(D1489&lt;=$A$15,D1489-$E$11,$F$11),0)</f>
        <v>300</v>
      </c>
      <c r="J1489">
        <f>IF(D1489&lt;=$A$15,0,D1489-$A$15)</f>
        <v>1157</v>
      </c>
      <c r="K1489" s="5">
        <f>IF(D1489&lt;$E$11,H1489,0)</f>
        <v>0</v>
      </c>
      <c r="L1489">
        <f>IF(D1489&lt;$A$15,$C$11,$C$11*(1-$G$11))</f>
        <v>200</v>
      </c>
      <c r="M1489">
        <f>IF(D1489&lt;$A$15,0,1)</f>
        <v>1</v>
      </c>
    </row>
    <row r="1490" spans="4:13" x14ac:dyDescent="0.2">
      <c r="D1490">
        <f t="shared" si="85"/>
        <v>1467</v>
      </c>
      <c r="E1490" s="1">
        <f t="shared" si="87"/>
        <v>177.20518251837902</v>
      </c>
      <c r="F1490" s="1">
        <f t="shared" si="86"/>
        <v>-89.120885635615849</v>
      </c>
      <c r="G1490" s="1">
        <f t="shared" si="84"/>
        <v>1.9737454693888246E-39</v>
      </c>
      <c r="H1490" s="1">
        <f>G1490/$G$21</f>
        <v>1.3840585513732234E-40</v>
      </c>
      <c r="I1490">
        <f>IF($E$11&lt;=D1490, IF(D1490&lt;=$A$15,D1490-$E$11,$F$11),0)</f>
        <v>300</v>
      </c>
      <c r="J1490">
        <f>IF(D1490&lt;=$A$15,0,D1490-$A$15)</f>
        <v>1158</v>
      </c>
      <c r="K1490" s="5">
        <f>IF(D1490&lt;$E$11,H1490,0)</f>
        <v>0</v>
      </c>
      <c r="L1490">
        <f>IF(D1490&lt;$A$15,$C$11,$C$11*(1-$G$11))</f>
        <v>200</v>
      </c>
      <c r="M1490">
        <f>IF(D1490&lt;$A$15,0,1)</f>
        <v>1</v>
      </c>
    </row>
    <row r="1491" spans="4:13" x14ac:dyDescent="0.2">
      <c r="D1491">
        <f t="shared" si="85"/>
        <v>1468</v>
      </c>
      <c r="E1491" s="1">
        <f t="shared" si="87"/>
        <v>177.1282214772429</v>
      </c>
      <c r="F1491" s="1">
        <f t="shared" si="86"/>
        <v>-89.197846676751965</v>
      </c>
      <c r="G1491" s="1">
        <f t="shared" si="84"/>
        <v>1.8275421012859719E-39</v>
      </c>
      <c r="H1491" s="1">
        <f>G1491/$G$21</f>
        <v>1.2815356957159638E-40</v>
      </c>
      <c r="I1491">
        <f>IF($E$11&lt;=D1491, IF(D1491&lt;=$A$15,D1491-$E$11,$F$11),0)</f>
        <v>300</v>
      </c>
      <c r="J1491">
        <f>IF(D1491&lt;=$A$15,0,D1491-$A$15)</f>
        <v>1159</v>
      </c>
      <c r="K1491" s="5">
        <f>IF(D1491&lt;$E$11,H1491,0)</f>
        <v>0</v>
      </c>
      <c r="L1491">
        <f>IF(D1491&lt;$A$15,$C$11,$C$11*(1-$G$11))</f>
        <v>200</v>
      </c>
      <c r="M1491">
        <f>IF(D1491&lt;$A$15,0,1)</f>
        <v>1</v>
      </c>
    </row>
    <row r="1492" spans="4:13" x14ac:dyDescent="0.2">
      <c r="D1492">
        <f t="shared" si="85"/>
        <v>1469</v>
      </c>
      <c r="E1492" s="1">
        <f t="shared" si="87"/>
        <v>177.05126043610679</v>
      </c>
      <c r="F1492" s="1">
        <f t="shared" si="86"/>
        <v>-89.274807717888081</v>
      </c>
      <c r="G1492" s="1">
        <f t="shared" si="84"/>
        <v>1.6921686123018469E-39</v>
      </c>
      <c r="H1492" s="1">
        <f>G1492/$G$21</f>
        <v>1.1866071256629443E-40</v>
      </c>
      <c r="I1492">
        <f>IF($E$11&lt;=D1492, IF(D1492&lt;=$A$15,D1492-$E$11,$F$11),0)</f>
        <v>300</v>
      </c>
      <c r="J1492">
        <f>IF(D1492&lt;=$A$15,0,D1492-$A$15)</f>
        <v>1160</v>
      </c>
      <c r="K1492" s="5">
        <f>IF(D1492&lt;$E$11,H1492,0)</f>
        <v>0</v>
      </c>
      <c r="L1492">
        <f>IF(D1492&lt;$A$15,$C$11,$C$11*(1-$G$11))</f>
        <v>200</v>
      </c>
      <c r="M1492">
        <f>IF(D1492&lt;$A$15,0,1)</f>
        <v>1</v>
      </c>
    </row>
    <row r="1493" spans="4:13" x14ac:dyDescent="0.2">
      <c r="D1493">
        <f t="shared" si="85"/>
        <v>1470</v>
      </c>
      <c r="E1493" s="1">
        <f t="shared" si="87"/>
        <v>176.97429939497067</v>
      </c>
      <c r="F1493" s="1">
        <f t="shared" si="86"/>
        <v>-89.351768759024196</v>
      </c>
      <c r="G1493" s="1">
        <f t="shared" si="84"/>
        <v>1.5668227891683966E-39</v>
      </c>
      <c r="H1493" s="1">
        <f>G1493/$G$21</f>
        <v>1.0987103015397772E-40</v>
      </c>
      <c r="I1493">
        <f>IF($E$11&lt;=D1493, IF(D1493&lt;=$A$15,D1493-$E$11,$F$11),0)</f>
        <v>300</v>
      </c>
      <c r="J1493">
        <f>IF(D1493&lt;=$A$15,0,D1493-$A$15)</f>
        <v>1161</v>
      </c>
      <c r="K1493" s="5">
        <f>IF(D1493&lt;$E$11,H1493,0)</f>
        <v>0</v>
      </c>
      <c r="L1493">
        <f>IF(D1493&lt;$A$15,$C$11,$C$11*(1-$G$11))</f>
        <v>200</v>
      </c>
      <c r="M1493">
        <f>IF(D1493&lt;$A$15,0,1)</f>
        <v>1</v>
      </c>
    </row>
    <row r="1494" spans="4:13" x14ac:dyDescent="0.2">
      <c r="D1494">
        <f t="shared" si="85"/>
        <v>1471</v>
      </c>
      <c r="E1494" s="1">
        <f t="shared" si="87"/>
        <v>176.89733835383456</v>
      </c>
      <c r="F1494" s="1">
        <f t="shared" si="86"/>
        <v>-89.428729800160312</v>
      </c>
      <c r="G1494" s="1">
        <f t="shared" si="84"/>
        <v>1.4507618418226078E-39</v>
      </c>
      <c r="H1494" s="1">
        <f>G1494/$G$21</f>
        <v>1.0173243532775843E-40</v>
      </c>
      <c r="I1494">
        <f>IF($E$11&lt;=D1494, IF(D1494&lt;=$A$15,D1494-$E$11,$F$11),0)</f>
        <v>300</v>
      </c>
      <c r="J1494">
        <f>IF(D1494&lt;=$A$15,0,D1494-$A$15)</f>
        <v>1162</v>
      </c>
      <c r="K1494" s="5">
        <f>IF(D1494&lt;$E$11,H1494,0)</f>
        <v>0</v>
      </c>
      <c r="L1494">
        <f>IF(D1494&lt;$A$15,$C$11,$C$11*(1-$G$11))</f>
        <v>200</v>
      </c>
      <c r="M1494">
        <f>IF(D1494&lt;$A$15,0,1)</f>
        <v>1</v>
      </c>
    </row>
    <row r="1495" spans="4:13" x14ac:dyDescent="0.2">
      <c r="D1495">
        <f t="shared" si="85"/>
        <v>1472</v>
      </c>
      <c r="E1495" s="1">
        <f t="shared" si="87"/>
        <v>176.82037731269844</v>
      </c>
      <c r="F1495" s="1">
        <f t="shared" si="86"/>
        <v>-89.505690841296428</v>
      </c>
      <c r="G1495" s="1">
        <f t="shared" si="84"/>
        <v>1.343298001687617E-39</v>
      </c>
      <c r="H1495" s="1">
        <f>G1495/$G$21</f>
        <v>9.4196699377555307E-41</v>
      </c>
      <c r="I1495">
        <f>IF($E$11&lt;=D1495, IF(D1495&lt;=$A$15,D1495-$E$11,$F$11),0)</f>
        <v>300</v>
      </c>
      <c r="J1495">
        <f>IF(D1495&lt;=$A$15,0,D1495-$A$15)</f>
        <v>1163</v>
      </c>
      <c r="K1495" s="5">
        <f>IF(D1495&lt;$E$11,H1495,0)</f>
        <v>0</v>
      </c>
      <c r="L1495">
        <f>IF(D1495&lt;$A$15,$C$11,$C$11*(1-$G$11))</f>
        <v>200</v>
      </c>
      <c r="M1495">
        <f>IF(D1495&lt;$A$15,0,1)</f>
        <v>1</v>
      </c>
    </row>
    <row r="1496" spans="4:13" x14ac:dyDescent="0.2">
      <c r="D1496">
        <f t="shared" si="85"/>
        <v>1473</v>
      </c>
      <c r="E1496" s="1">
        <f t="shared" si="87"/>
        <v>176.74341627156232</v>
      </c>
      <c r="F1496" s="1">
        <f t="shared" si="86"/>
        <v>-89.582651882432543</v>
      </c>
      <c r="G1496" s="1">
        <f t="shared" ref="G1496:G1559" si="88">EXP(F1496)</f>
        <v>1.2437944460070685E-39</v>
      </c>
      <c r="H1496" s="1">
        <f>G1496/$G$21</f>
        <v>8.7219166090330089E-41</v>
      </c>
      <c r="I1496">
        <f>IF($E$11&lt;=D1496, IF(D1496&lt;=$A$15,D1496-$E$11,$F$11),0)</f>
        <v>300</v>
      </c>
      <c r="J1496">
        <f>IF(D1496&lt;=$A$15,0,D1496-$A$15)</f>
        <v>1164</v>
      </c>
      <c r="K1496" s="5">
        <f>IF(D1496&lt;$E$11,H1496,0)</f>
        <v>0</v>
      </c>
      <c r="L1496">
        <f>IF(D1496&lt;$A$15,$C$11,$C$11*(1-$G$11))</f>
        <v>200</v>
      </c>
      <c r="M1496">
        <f>IF(D1496&lt;$A$15,0,1)</f>
        <v>1</v>
      </c>
    </row>
    <row r="1497" spans="4:13" x14ac:dyDescent="0.2">
      <c r="D1497">
        <f t="shared" ref="D1497:D1560" si="89">1+D1496</f>
        <v>1474</v>
      </c>
      <c r="E1497" s="1">
        <f t="shared" si="87"/>
        <v>176.66645523042621</v>
      </c>
      <c r="F1497" s="1">
        <f t="shared" ref="F1497:F1560" si="90">E1497-$E$21</f>
        <v>-89.659612923568659</v>
      </c>
      <c r="G1497" s="1">
        <f t="shared" si="88"/>
        <v>1.1516615240806335E-39</v>
      </c>
      <c r="H1497" s="1">
        <f>G1497/$G$21</f>
        <v>8.0758487120677027E-41</v>
      </c>
      <c r="I1497">
        <f>IF($E$11&lt;=D1497, IF(D1497&lt;=$A$15,D1497-$E$11,$F$11),0)</f>
        <v>300</v>
      </c>
      <c r="J1497">
        <f>IF(D1497&lt;=$A$15,0,D1497-$A$15)</f>
        <v>1165</v>
      </c>
      <c r="K1497" s="5">
        <f>IF(D1497&lt;$E$11,H1497,0)</f>
        <v>0</v>
      </c>
      <c r="L1497">
        <f>IF(D1497&lt;$A$15,$C$11,$C$11*(1-$G$11))</f>
        <v>200</v>
      </c>
      <c r="M1497">
        <f>IF(D1497&lt;$A$15,0,1)</f>
        <v>1</v>
      </c>
    </row>
    <row r="1498" spans="4:13" x14ac:dyDescent="0.2">
      <c r="D1498">
        <f t="shared" si="89"/>
        <v>1475</v>
      </c>
      <c r="E1498" s="1">
        <f t="shared" si="87"/>
        <v>176.58949418929009</v>
      </c>
      <c r="F1498" s="1">
        <f t="shared" si="90"/>
        <v>-89.736573964704775</v>
      </c>
      <c r="G1498" s="1">
        <f t="shared" si="88"/>
        <v>1.066353263037637E-39</v>
      </c>
      <c r="H1498" s="1">
        <f>G1498/$G$21</f>
        <v>7.4776376963590778E-41</v>
      </c>
      <c r="I1498">
        <f>IF($E$11&lt;=D1498, IF(D1498&lt;=$A$15,D1498-$E$11,$F$11),0)</f>
        <v>300</v>
      </c>
      <c r="J1498">
        <f>IF(D1498&lt;=$A$15,0,D1498-$A$15)</f>
        <v>1166</v>
      </c>
      <c r="K1498" s="5">
        <f>IF(D1498&lt;$E$11,H1498,0)</f>
        <v>0</v>
      </c>
      <c r="L1498">
        <f>IF(D1498&lt;$A$15,$C$11,$C$11*(1-$G$11))</f>
        <v>200</v>
      </c>
      <c r="M1498">
        <f>IF(D1498&lt;$A$15,0,1)</f>
        <v>1</v>
      </c>
    </row>
    <row r="1499" spans="4:13" x14ac:dyDescent="0.2">
      <c r="D1499">
        <f t="shared" si="89"/>
        <v>1476</v>
      </c>
      <c r="E1499" s="1">
        <f t="shared" si="87"/>
        <v>176.51253314815398</v>
      </c>
      <c r="F1499" s="1">
        <f t="shared" si="90"/>
        <v>-89.81353500584089</v>
      </c>
      <c r="G1499" s="1">
        <f t="shared" si="88"/>
        <v>9.8736413244226906E-40</v>
      </c>
      <c r="H1499" s="1">
        <f>G1499/$G$21</f>
        <v>6.9237386077399751E-41</v>
      </c>
      <c r="I1499">
        <f>IF($E$11&lt;=D1499, IF(D1499&lt;=$A$15,D1499-$E$11,$F$11),0)</f>
        <v>300</v>
      </c>
      <c r="J1499">
        <f>IF(D1499&lt;=$A$15,0,D1499-$A$15)</f>
        <v>1167</v>
      </c>
      <c r="K1499" s="5">
        <f>IF(D1499&lt;$E$11,H1499,0)</f>
        <v>0</v>
      </c>
      <c r="L1499">
        <f>IF(D1499&lt;$A$15,$C$11,$C$11*(1-$G$11))</f>
        <v>200</v>
      </c>
      <c r="M1499">
        <f>IF(D1499&lt;$A$15,0,1)</f>
        <v>1</v>
      </c>
    </row>
    <row r="1500" spans="4:13" x14ac:dyDescent="0.2">
      <c r="D1500">
        <f t="shared" si="89"/>
        <v>1477</v>
      </c>
      <c r="E1500" s="1">
        <f t="shared" si="87"/>
        <v>176.43557210701786</v>
      </c>
      <c r="F1500" s="1">
        <f t="shared" si="90"/>
        <v>-89.890496046977006</v>
      </c>
      <c r="G1500" s="1">
        <f t="shared" si="88"/>
        <v>9.1422604855766797E-40</v>
      </c>
      <c r="H1500" s="1">
        <f>G1500/$G$21</f>
        <v>6.4108690812407977E-41</v>
      </c>
      <c r="I1500">
        <f>IF($E$11&lt;=D1500, IF(D1500&lt;=$A$15,D1500-$E$11,$F$11),0)</f>
        <v>300</v>
      </c>
      <c r="J1500">
        <f>IF(D1500&lt;=$A$15,0,D1500-$A$15)</f>
        <v>1168</v>
      </c>
      <c r="K1500" s="5">
        <f>IF(D1500&lt;$E$11,H1500,0)</f>
        <v>0</v>
      </c>
      <c r="L1500">
        <f>IF(D1500&lt;$A$15,$C$11,$C$11*(1-$G$11))</f>
        <v>200</v>
      </c>
      <c r="M1500">
        <f>IF(D1500&lt;$A$15,0,1)</f>
        <v>1</v>
      </c>
    </row>
    <row r="1501" spans="4:13" x14ac:dyDescent="0.2">
      <c r="D1501">
        <f t="shared" si="89"/>
        <v>1478</v>
      </c>
      <c r="E1501" s="1">
        <f t="shared" si="87"/>
        <v>176.35861106588175</v>
      </c>
      <c r="F1501" s="1">
        <f t="shared" si="90"/>
        <v>-89.967457088113122</v>
      </c>
      <c r="G1501" s="1">
        <f t="shared" si="88"/>
        <v>8.4650560051637001E-40</v>
      </c>
      <c r="H1501" s="1">
        <f>G1501/$G$21</f>
        <v>5.9359898900378511E-41</v>
      </c>
      <c r="I1501">
        <f>IF($E$11&lt;=D1501, IF(D1501&lt;=$A$15,D1501-$E$11,$F$11),0)</f>
        <v>300</v>
      </c>
      <c r="J1501">
        <f>IF(D1501&lt;=$A$15,0,D1501-$A$15)</f>
        <v>1169</v>
      </c>
      <c r="K1501" s="5">
        <f>IF(D1501&lt;$E$11,H1501,0)</f>
        <v>0</v>
      </c>
      <c r="L1501">
        <f>IF(D1501&lt;$A$15,$C$11,$C$11*(1-$G$11))</f>
        <v>200</v>
      </c>
      <c r="M1501">
        <f>IF(D1501&lt;$A$15,0,1)</f>
        <v>1</v>
      </c>
    </row>
    <row r="1502" spans="4:13" x14ac:dyDescent="0.2">
      <c r="D1502">
        <f t="shared" si="89"/>
        <v>1479</v>
      </c>
      <c r="E1502" s="1">
        <f t="shared" si="87"/>
        <v>176.28165002474563</v>
      </c>
      <c r="F1502" s="1">
        <f t="shared" si="90"/>
        <v>-90.044418129249237</v>
      </c>
      <c r="G1502" s="1">
        <f t="shared" si="88"/>
        <v>7.8380148195961179E-40</v>
      </c>
      <c r="H1502" s="1">
        <f>G1502/$G$21</f>
        <v>5.4962869352203026E-41</v>
      </c>
      <c r="I1502">
        <f>IF($E$11&lt;=D1502, IF(D1502&lt;=$A$15,D1502-$E$11,$F$11),0)</f>
        <v>300</v>
      </c>
      <c r="J1502">
        <f>IF(D1502&lt;=$A$15,0,D1502-$A$15)</f>
        <v>1170</v>
      </c>
      <c r="K1502" s="5">
        <f>IF(D1502&lt;$E$11,H1502,0)</f>
        <v>0</v>
      </c>
      <c r="L1502">
        <f>IF(D1502&lt;$A$15,$C$11,$C$11*(1-$G$11))</f>
        <v>200</v>
      </c>
      <c r="M1502">
        <f>IF(D1502&lt;$A$15,0,1)</f>
        <v>1</v>
      </c>
    </row>
    <row r="1503" spans="4:13" x14ac:dyDescent="0.2">
      <c r="D1503">
        <f t="shared" si="89"/>
        <v>1480</v>
      </c>
      <c r="E1503" s="1">
        <f t="shared" si="87"/>
        <v>176.20468898360951</v>
      </c>
      <c r="F1503" s="1">
        <f t="shared" si="90"/>
        <v>-90.121379170385353</v>
      </c>
      <c r="G1503" s="1">
        <f t="shared" si="88"/>
        <v>7.2574211292557562E-40</v>
      </c>
      <c r="H1503" s="1">
        <f>G1503/$G$21</f>
        <v>5.0891545696484926E-41</v>
      </c>
      <c r="I1503">
        <f>IF($E$11&lt;=D1503, IF(D1503&lt;=$A$15,D1503-$E$11,$F$11),0)</f>
        <v>300</v>
      </c>
      <c r="J1503">
        <f>IF(D1503&lt;=$A$15,0,D1503-$A$15)</f>
        <v>1171</v>
      </c>
      <c r="K1503" s="5">
        <f>IF(D1503&lt;$E$11,H1503,0)</f>
        <v>0</v>
      </c>
      <c r="L1503">
        <f>IF(D1503&lt;$A$15,$C$11,$C$11*(1-$G$11))</f>
        <v>200</v>
      </c>
      <c r="M1503">
        <f>IF(D1503&lt;$A$15,0,1)</f>
        <v>1</v>
      </c>
    </row>
    <row r="1504" spans="4:13" x14ac:dyDescent="0.2">
      <c r="D1504">
        <f t="shared" si="89"/>
        <v>1481</v>
      </c>
      <c r="E1504" s="1">
        <f t="shared" si="87"/>
        <v>176.1277279424734</v>
      </c>
      <c r="F1504" s="1">
        <f t="shared" si="90"/>
        <v>-90.198340211521469</v>
      </c>
      <c r="G1504" s="1">
        <f t="shared" si="88"/>
        <v>6.7198343789405997E-40</v>
      </c>
      <c r="H1504" s="1">
        <f>G1504/$G$21</f>
        <v>4.7121801570819972E-41</v>
      </c>
      <c r="I1504">
        <f>IF($E$11&lt;=D1504, IF(D1504&lt;=$A$15,D1504-$E$11,$F$11),0)</f>
        <v>300</v>
      </c>
      <c r="J1504">
        <f>IF(D1504&lt;=$A$15,0,D1504-$A$15)</f>
        <v>1172</v>
      </c>
      <c r="K1504" s="5">
        <f>IF(D1504&lt;$E$11,H1504,0)</f>
        <v>0</v>
      </c>
      <c r="L1504">
        <f>IF(D1504&lt;$A$15,$C$11,$C$11*(1-$G$11))</f>
        <v>200</v>
      </c>
      <c r="M1504">
        <f>IF(D1504&lt;$A$15,0,1)</f>
        <v>1</v>
      </c>
    </row>
    <row r="1505" spans="4:13" x14ac:dyDescent="0.2">
      <c r="D1505">
        <f t="shared" si="89"/>
        <v>1482</v>
      </c>
      <c r="E1505" s="1">
        <f t="shared" si="87"/>
        <v>176.05076690133728</v>
      </c>
      <c r="F1505" s="1">
        <f t="shared" si="90"/>
        <v>-90.275301252657584</v>
      </c>
      <c r="G1505" s="1">
        <f t="shared" si="88"/>
        <v>6.2220688693895228E-40</v>
      </c>
      <c r="H1505" s="1">
        <f>G1505/$G$21</f>
        <v>4.3631297750759781E-41</v>
      </c>
      <c r="I1505">
        <f>IF($E$11&lt;=D1505, IF(D1505&lt;=$A$15,D1505-$E$11,$F$11),0)</f>
        <v>300</v>
      </c>
      <c r="J1505">
        <f>IF(D1505&lt;=$A$15,0,D1505-$A$15)</f>
        <v>1173</v>
      </c>
      <c r="K1505" s="5">
        <f>IF(D1505&lt;$E$11,H1505,0)</f>
        <v>0</v>
      </c>
      <c r="L1505">
        <f>IF(D1505&lt;$A$15,$C$11,$C$11*(1-$G$11))</f>
        <v>200</v>
      </c>
      <c r="M1505">
        <f>IF(D1505&lt;$A$15,0,1)</f>
        <v>1</v>
      </c>
    </row>
    <row r="1506" spans="4:13" x14ac:dyDescent="0.2">
      <c r="D1506">
        <f t="shared" si="89"/>
        <v>1483</v>
      </c>
      <c r="E1506" s="1">
        <f t="shared" si="87"/>
        <v>175.97380586020117</v>
      </c>
      <c r="F1506" s="1">
        <f t="shared" si="90"/>
        <v>-90.3522622937937</v>
      </c>
      <c r="G1506" s="1">
        <f t="shared" si="88"/>
        <v>5.761174879064446E-40</v>
      </c>
      <c r="H1506" s="1">
        <f>G1506/$G$21</f>
        <v>4.0399349769222532E-41</v>
      </c>
      <c r="I1506">
        <f>IF($E$11&lt;=D1506, IF(D1506&lt;=$A$15,D1506-$E$11,$F$11),0)</f>
        <v>300</v>
      </c>
      <c r="J1506">
        <f>IF(D1506&lt;=$A$15,0,D1506-$A$15)</f>
        <v>1174</v>
      </c>
      <c r="K1506" s="5">
        <f>IF(D1506&lt;$E$11,H1506,0)</f>
        <v>0</v>
      </c>
      <c r="L1506">
        <f>IF(D1506&lt;$A$15,$C$11,$C$11*(1-$G$11))</f>
        <v>200</v>
      </c>
      <c r="M1506">
        <f>IF(D1506&lt;$A$15,0,1)</f>
        <v>1</v>
      </c>
    </row>
    <row r="1507" spans="4:13" x14ac:dyDescent="0.2">
      <c r="D1507">
        <f t="shared" si="89"/>
        <v>1484</v>
      </c>
      <c r="E1507" s="1">
        <f t="shared" si="87"/>
        <v>175.89684481906505</v>
      </c>
      <c r="F1507" s="1">
        <f t="shared" si="90"/>
        <v>-90.429223334929816</v>
      </c>
      <c r="G1507" s="1">
        <f t="shared" si="88"/>
        <v>5.3344211843189991E-40</v>
      </c>
      <c r="H1507" s="1">
        <f>G1507/$G$21</f>
        <v>3.7406805341873186E-41</v>
      </c>
      <c r="I1507">
        <f>IF($E$11&lt;=D1507, IF(D1507&lt;=$A$15,D1507-$E$11,$F$11),0)</f>
        <v>300</v>
      </c>
      <c r="J1507">
        <f>IF(D1507&lt;=$A$15,0,D1507-$A$15)</f>
        <v>1175</v>
      </c>
      <c r="K1507" s="5">
        <f>IF(D1507&lt;$E$11,H1507,0)</f>
        <v>0</v>
      </c>
      <c r="L1507">
        <f>IF(D1507&lt;$A$15,$C$11,$C$11*(1-$G$11))</f>
        <v>200</v>
      </c>
      <c r="M1507">
        <f>IF(D1507&lt;$A$15,0,1)</f>
        <v>1</v>
      </c>
    </row>
    <row r="1508" spans="4:13" x14ac:dyDescent="0.2">
      <c r="D1508">
        <f t="shared" si="89"/>
        <v>1485</v>
      </c>
      <c r="E1508" s="1">
        <f t="shared" si="87"/>
        <v>175.81988377792894</v>
      </c>
      <c r="F1508" s="1">
        <f t="shared" si="90"/>
        <v>-90.506184376065931</v>
      </c>
      <c r="G1508" s="1">
        <f t="shared" si="88"/>
        <v>4.9392788743695061E-40</v>
      </c>
      <c r="H1508" s="1">
        <f>G1508/$G$21</f>
        <v>3.4635930872105242E-41</v>
      </c>
      <c r="I1508">
        <f>IF($E$11&lt;=D1508, IF(D1508&lt;=$A$15,D1508-$E$11,$F$11),0)</f>
        <v>300</v>
      </c>
      <c r="J1508">
        <f>IF(D1508&lt;=$A$15,0,D1508-$A$15)</f>
        <v>1176</v>
      </c>
      <c r="K1508" s="5">
        <f>IF(D1508&lt;$E$11,H1508,0)</f>
        <v>0</v>
      </c>
      <c r="L1508">
        <f>IF(D1508&lt;$A$15,$C$11,$C$11*(1-$G$11))</f>
        <v>200</v>
      </c>
      <c r="M1508">
        <f>IF(D1508&lt;$A$15,0,1)</f>
        <v>1</v>
      </c>
    </row>
    <row r="1509" spans="4:13" x14ac:dyDescent="0.2">
      <c r="D1509">
        <f t="shared" si="89"/>
        <v>1486</v>
      </c>
      <c r="E1509" s="1">
        <f t="shared" si="87"/>
        <v>175.74292273679282</v>
      </c>
      <c r="F1509" s="1">
        <f t="shared" si="90"/>
        <v>-90.583145417202047</v>
      </c>
      <c r="G1509" s="1">
        <f t="shared" si="88"/>
        <v>4.5734063651570078E-40</v>
      </c>
      <c r="H1509" s="1">
        <f>G1509/$G$21</f>
        <v>3.2070306363060815E-41</v>
      </c>
      <c r="I1509">
        <f>IF($E$11&lt;=D1509, IF(D1509&lt;=$A$15,D1509-$E$11,$F$11),0)</f>
        <v>300</v>
      </c>
      <c r="J1509">
        <f>IF(D1509&lt;=$A$15,0,D1509-$A$15)</f>
        <v>1177</v>
      </c>
      <c r="K1509" s="5">
        <f>IF(D1509&lt;$E$11,H1509,0)</f>
        <v>0</v>
      </c>
      <c r="L1509">
        <f>IF(D1509&lt;$A$15,$C$11,$C$11*(1-$G$11))</f>
        <v>200</v>
      </c>
      <c r="M1509">
        <f>IF(D1509&lt;$A$15,0,1)</f>
        <v>1</v>
      </c>
    </row>
    <row r="1510" spans="4:13" x14ac:dyDescent="0.2">
      <c r="D1510">
        <f t="shared" si="89"/>
        <v>1487</v>
      </c>
      <c r="E1510" s="1">
        <f t="shared" si="87"/>
        <v>175.6659616956567</v>
      </c>
      <c r="F1510" s="1">
        <f t="shared" si="90"/>
        <v>-90.660106458338163</v>
      </c>
      <c r="G1510" s="1">
        <f t="shared" si="88"/>
        <v>4.2346355232935792E-40</v>
      </c>
      <c r="H1510" s="1">
        <f>G1510/$G$21</f>
        <v>2.9694728113945575E-41</v>
      </c>
      <c r="I1510">
        <f>IF($E$11&lt;=D1510, IF(D1510&lt;=$A$15,D1510-$E$11,$F$11),0)</f>
        <v>300</v>
      </c>
      <c r="J1510">
        <f>IF(D1510&lt;=$A$15,0,D1510-$A$15)</f>
        <v>1178</v>
      </c>
      <c r="K1510" s="5">
        <f>IF(D1510&lt;$E$11,H1510,0)</f>
        <v>0</v>
      </c>
      <c r="L1510">
        <f>IF(D1510&lt;$A$15,$C$11,$C$11*(1-$G$11))</f>
        <v>200</v>
      </c>
      <c r="M1510">
        <f>IF(D1510&lt;$A$15,0,1)</f>
        <v>1</v>
      </c>
    </row>
    <row r="1511" spans="4:13" x14ac:dyDescent="0.2">
      <c r="D1511">
        <f t="shared" si="89"/>
        <v>1488</v>
      </c>
      <c r="E1511" s="1">
        <f t="shared" si="87"/>
        <v>175.58900065452059</v>
      </c>
      <c r="F1511" s="1">
        <f t="shared" si="90"/>
        <v>-90.737067499474279</v>
      </c>
      <c r="G1511" s="1">
        <f t="shared" si="88"/>
        <v>3.9209588178644751E-40</v>
      </c>
      <c r="H1511" s="1">
        <f>G1511/$G$21</f>
        <v>2.7495118624024028E-41</v>
      </c>
      <c r="I1511">
        <f>IF($E$11&lt;=D1511, IF(D1511&lt;=$A$15,D1511-$E$11,$F$11),0)</f>
        <v>300</v>
      </c>
      <c r="J1511">
        <f>IF(D1511&lt;=$A$15,0,D1511-$A$15)</f>
        <v>1179</v>
      </c>
      <c r="K1511" s="5">
        <f>IF(D1511&lt;$E$11,H1511,0)</f>
        <v>0</v>
      </c>
      <c r="L1511">
        <f>IF(D1511&lt;$A$15,$C$11,$C$11*(1-$G$11))</f>
        <v>200</v>
      </c>
      <c r="M1511">
        <f>IF(D1511&lt;$A$15,0,1)</f>
        <v>1</v>
      </c>
    </row>
    <row r="1512" spans="4:13" x14ac:dyDescent="0.2">
      <c r="D1512">
        <f t="shared" si="89"/>
        <v>1489</v>
      </c>
      <c r="E1512" s="1">
        <f t="shared" si="87"/>
        <v>175.51203961338447</v>
      </c>
      <c r="F1512" s="1">
        <f t="shared" si="90"/>
        <v>-90.814028540610394</v>
      </c>
      <c r="G1512" s="1">
        <f t="shared" si="88"/>
        <v>3.6305174239486338E-40</v>
      </c>
      <c r="H1512" s="1">
        <f>G1512/$G$21</f>
        <v>2.5458443170392938E-41</v>
      </c>
      <c r="I1512">
        <f>IF($E$11&lt;=D1512, IF(D1512&lt;=$A$15,D1512-$E$11,$F$11),0)</f>
        <v>300</v>
      </c>
      <c r="J1512">
        <f>IF(D1512&lt;=$A$15,0,D1512-$A$15)</f>
        <v>1180</v>
      </c>
      <c r="K1512" s="5">
        <f>IF(D1512&lt;$E$11,H1512,0)</f>
        <v>0</v>
      </c>
      <c r="L1512">
        <f>IF(D1512&lt;$A$15,$C$11,$C$11*(1-$G$11))</f>
        <v>200</v>
      </c>
      <c r="M1512">
        <f>IF(D1512&lt;$A$15,0,1)</f>
        <v>1</v>
      </c>
    </row>
    <row r="1513" spans="4:13" x14ac:dyDescent="0.2">
      <c r="D1513">
        <f t="shared" si="89"/>
        <v>1490</v>
      </c>
      <c r="E1513" s="1">
        <f t="shared" si="87"/>
        <v>175.43507857224836</v>
      </c>
      <c r="F1513" s="1">
        <f t="shared" si="90"/>
        <v>-90.89098958174651</v>
      </c>
      <c r="G1513" s="1">
        <f t="shared" si="88"/>
        <v>3.3615902073598887E-40</v>
      </c>
      <c r="H1513" s="1">
        <f>G1513/$G$21</f>
        <v>2.3572632565178946E-41</v>
      </c>
      <c r="I1513">
        <f>IF($E$11&lt;=D1513, IF(D1513&lt;=$A$15,D1513-$E$11,$F$11),0)</f>
        <v>300</v>
      </c>
      <c r="J1513">
        <f>IF(D1513&lt;=$A$15,0,D1513-$A$15)</f>
        <v>1181</v>
      </c>
      <c r="K1513" s="5">
        <f>IF(D1513&lt;$E$11,H1513,0)</f>
        <v>0</v>
      </c>
      <c r="L1513">
        <f>IF(D1513&lt;$A$15,$C$11,$C$11*(1-$G$11))</f>
        <v>200</v>
      </c>
      <c r="M1513">
        <f>IF(D1513&lt;$A$15,0,1)</f>
        <v>1</v>
      </c>
    </row>
    <row r="1514" spans="4:13" x14ac:dyDescent="0.2">
      <c r="D1514">
        <f t="shared" si="89"/>
        <v>1491</v>
      </c>
      <c r="E1514" s="1">
        <f t="shared" si="87"/>
        <v>175.35811753111224</v>
      </c>
      <c r="F1514" s="1">
        <f t="shared" si="90"/>
        <v>-90.967950622882626</v>
      </c>
      <c r="G1514" s="1">
        <f t="shared" si="88"/>
        <v>3.1125835253332694E-40</v>
      </c>
      <c r="H1514" s="1">
        <f>G1514/$G$21</f>
        <v>2.1826511634425225E-41</v>
      </c>
      <c r="I1514">
        <f>IF($E$11&lt;=D1514, IF(D1514&lt;=$A$15,D1514-$E$11,$F$11),0)</f>
        <v>300</v>
      </c>
      <c r="J1514">
        <f>IF(D1514&lt;=$A$15,0,D1514-$A$15)</f>
        <v>1182</v>
      </c>
      <c r="K1514" s="5">
        <f>IF(D1514&lt;$E$11,H1514,0)</f>
        <v>0</v>
      </c>
      <c r="L1514">
        <f>IF(D1514&lt;$A$15,$C$11,$C$11*(1-$G$11))</f>
        <v>200</v>
      </c>
      <c r="M1514">
        <f>IF(D1514&lt;$A$15,0,1)</f>
        <v>1</v>
      </c>
    </row>
    <row r="1515" spans="4:13" x14ac:dyDescent="0.2">
      <c r="D1515">
        <f t="shared" si="89"/>
        <v>1492</v>
      </c>
      <c r="E1515" s="1">
        <f t="shared" si="87"/>
        <v>175.28115648997613</v>
      </c>
      <c r="F1515" s="1">
        <f t="shared" si="90"/>
        <v>-91.044911664018741</v>
      </c>
      <c r="G1515" s="1">
        <f t="shared" si="88"/>
        <v>2.8820217827160267E-40</v>
      </c>
      <c r="H1515" s="1">
        <f>G1515/$G$21</f>
        <v>2.0209732994838428E-41</v>
      </c>
      <c r="I1515">
        <f>IF($E$11&lt;=D1515, IF(D1515&lt;=$A$15,D1515-$E$11,$F$11),0)</f>
        <v>300</v>
      </c>
      <c r="J1515">
        <f>IF(D1515&lt;=$A$15,0,D1515-$A$15)</f>
        <v>1183</v>
      </c>
      <c r="K1515" s="5">
        <f>IF(D1515&lt;$E$11,H1515,0)</f>
        <v>0</v>
      </c>
      <c r="L1515">
        <f>IF(D1515&lt;$A$15,$C$11,$C$11*(1-$G$11))</f>
        <v>200</v>
      </c>
      <c r="M1515">
        <f>IF(D1515&lt;$A$15,0,1)</f>
        <v>1</v>
      </c>
    </row>
    <row r="1516" spans="4:13" x14ac:dyDescent="0.2">
      <c r="D1516">
        <f t="shared" si="89"/>
        <v>1493</v>
      </c>
      <c r="E1516" s="1">
        <f t="shared" si="87"/>
        <v>175.20419544884001</v>
      </c>
      <c r="F1516" s="1">
        <f t="shared" si="90"/>
        <v>-91.121872705154857</v>
      </c>
      <c r="G1516" s="1">
        <f t="shared" si="88"/>
        <v>2.6685386877000586E-40</v>
      </c>
      <c r="H1516" s="1">
        <f>G1516/$G$21</f>
        <v>1.8712715735961745E-41</v>
      </c>
      <c r="I1516">
        <f>IF($E$11&lt;=D1516, IF(D1516&lt;=$A$15,D1516-$E$11,$F$11),0)</f>
        <v>300</v>
      </c>
      <c r="J1516">
        <f>IF(D1516&lt;=$A$15,0,D1516-$A$15)</f>
        <v>1184</v>
      </c>
      <c r="K1516" s="5">
        <f>IF(D1516&lt;$E$11,H1516,0)</f>
        <v>0</v>
      </c>
      <c r="L1516">
        <f>IF(D1516&lt;$A$15,$C$11,$C$11*(1-$G$11))</f>
        <v>200</v>
      </c>
      <c r="M1516">
        <f>IF(D1516&lt;$A$15,0,1)</f>
        <v>1</v>
      </c>
    </row>
    <row r="1517" spans="4:13" x14ac:dyDescent="0.2">
      <c r="D1517">
        <f t="shared" si="89"/>
        <v>1494</v>
      </c>
      <c r="E1517" s="1">
        <f t="shared" si="87"/>
        <v>175.1272344077039</v>
      </c>
      <c r="F1517" s="1">
        <f t="shared" si="90"/>
        <v>-91.198833746290973</v>
      </c>
      <c r="G1517" s="1">
        <f t="shared" si="88"/>
        <v>2.470869155277863E-40</v>
      </c>
      <c r="H1517" s="1">
        <f>G1517/$G$21</f>
        <v>1.732658864440924E-41</v>
      </c>
      <c r="I1517">
        <f>IF($E$11&lt;=D1517, IF(D1517&lt;=$A$15,D1517-$E$11,$F$11),0)</f>
        <v>300</v>
      </c>
      <c r="J1517">
        <f>IF(D1517&lt;=$A$15,0,D1517-$A$15)</f>
        <v>1185</v>
      </c>
      <c r="K1517" s="5">
        <f>IF(D1517&lt;$E$11,H1517,0)</f>
        <v>0</v>
      </c>
      <c r="L1517">
        <f>IF(D1517&lt;$A$15,$C$11,$C$11*(1-$G$11))</f>
        <v>200</v>
      </c>
      <c r="M1517">
        <f>IF(D1517&lt;$A$15,0,1)</f>
        <v>1</v>
      </c>
    </row>
    <row r="1518" spans="4:13" x14ac:dyDescent="0.2">
      <c r="D1518">
        <f t="shared" si="89"/>
        <v>1495</v>
      </c>
      <c r="E1518" s="1">
        <f t="shared" si="87"/>
        <v>175.05027336656778</v>
      </c>
      <c r="F1518" s="1">
        <f t="shared" si="90"/>
        <v>-91.275794787427088</v>
      </c>
      <c r="G1518" s="1">
        <f t="shared" si="88"/>
        <v>2.2878418104424949E-40</v>
      </c>
      <c r="H1518" s="1">
        <f>G1518/$G$21</f>
        <v>1.6043137633712464E-41</v>
      </c>
      <c r="I1518">
        <f>IF($E$11&lt;=D1518, IF(D1518&lt;=$A$15,D1518-$E$11,$F$11),0)</f>
        <v>300</v>
      </c>
      <c r="J1518">
        <f>IF(D1518&lt;=$A$15,0,D1518-$A$15)</f>
        <v>1186</v>
      </c>
      <c r="K1518" s="5">
        <f>IF(D1518&lt;$E$11,H1518,0)</f>
        <v>0</v>
      </c>
      <c r="L1518">
        <f>IF(D1518&lt;$A$15,$C$11,$C$11*(1-$G$11))</f>
        <v>200</v>
      </c>
      <c r="M1518">
        <f>IF(D1518&lt;$A$15,0,1)</f>
        <v>1</v>
      </c>
    </row>
    <row r="1519" spans="4:13" x14ac:dyDescent="0.2">
      <c r="D1519">
        <f t="shared" si="89"/>
        <v>1496</v>
      </c>
      <c r="E1519" s="1">
        <f t="shared" si="87"/>
        <v>174.97331232543166</v>
      </c>
      <c r="F1519" s="1">
        <f t="shared" si="90"/>
        <v>-91.352755828563204</v>
      </c>
      <c r="G1519" s="1">
        <f t="shared" si="88"/>
        <v>2.1183720467060407E-40</v>
      </c>
      <c r="H1519" s="1">
        <f>G1519/$G$21</f>
        <v>1.4854757068252469E-41</v>
      </c>
      <c r="I1519">
        <f>IF($E$11&lt;=D1519, IF(D1519&lt;=$A$15,D1519-$E$11,$F$11),0)</f>
        <v>300</v>
      </c>
      <c r="J1519">
        <f>IF(D1519&lt;=$A$15,0,D1519-$A$15)</f>
        <v>1187</v>
      </c>
      <c r="K1519" s="5">
        <f>IF(D1519&lt;$E$11,H1519,0)</f>
        <v>0</v>
      </c>
      <c r="L1519">
        <f>IF(D1519&lt;$A$15,$C$11,$C$11*(1-$G$11))</f>
        <v>200</v>
      </c>
      <c r="M1519">
        <f>IF(D1519&lt;$A$15,0,1)</f>
        <v>1</v>
      </c>
    </row>
    <row r="1520" spans="4:13" x14ac:dyDescent="0.2">
      <c r="D1520">
        <f t="shared" si="89"/>
        <v>1497</v>
      </c>
      <c r="E1520" s="1">
        <f t="shared" si="87"/>
        <v>174.89635128429555</v>
      </c>
      <c r="F1520" s="1">
        <f t="shared" si="90"/>
        <v>-91.42971686969932</v>
      </c>
      <c r="G1520" s="1">
        <f t="shared" si="88"/>
        <v>1.9614555988019139E-40</v>
      </c>
      <c r="H1520" s="1">
        <f>G1520/$G$21</f>
        <v>1.3754404692826532E-41</v>
      </c>
      <c r="I1520">
        <f>IF($E$11&lt;=D1520, IF(D1520&lt;=$A$15,D1520-$E$11,$F$11),0)</f>
        <v>300</v>
      </c>
      <c r="J1520">
        <f>IF(D1520&lt;=$A$15,0,D1520-$A$15)</f>
        <v>1188</v>
      </c>
      <c r="K1520" s="5">
        <f>IF(D1520&lt;$E$11,H1520,0)</f>
        <v>0</v>
      </c>
      <c r="L1520">
        <f>IF(D1520&lt;$A$15,$C$11,$C$11*(1-$G$11))</f>
        <v>200</v>
      </c>
      <c r="M1520">
        <f>IF(D1520&lt;$A$15,0,1)</f>
        <v>1</v>
      </c>
    </row>
    <row r="1521" spans="4:13" x14ac:dyDescent="0.2">
      <c r="D1521">
        <f t="shared" si="89"/>
        <v>1498</v>
      </c>
      <c r="E1521" s="1">
        <f t="shared" si="87"/>
        <v>174.81939024315943</v>
      </c>
      <c r="F1521" s="1">
        <f t="shared" si="90"/>
        <v>-91.506677910835435</v>
      </c>
      <c r="G1521" s="1">
        <f t="shared" si="88"/>
        <v>1.8161625914832769E-40</v>
      </c>
      <c r="H1521" s="1">
        <f>G1521/$G$21</f>
        <v>1.2735559900765469E-41</v>
      </c>
      <c r="I1521">
        <f>IF($E$11&lt;=D1521, IF(D1521&lt;=$A$15,D1521-$E$11,$F$11),0)</f>
        <v>300</v>
      </c>
      <c r="J1521">
        <f>IF(D1521&lt;=$A$15,0,D1521-$A$15)</f>
        <v>1189</v>
      </c>
      <c r="K1521" s="5">
        <f>IF(D1521&lt;$E$11,H1521,0)</f>
        <v>0</v>
      </c>
      <c r="L1521">
        <f>IF(D1521&lt;$A$15,$C$11,$C$11*(1-$G$11))</f>
        <v>200</v>
      </c>
      <c r="M1521">
        <f>IF(D1521&lt;$A$15,0,1)</f>
        <v>1</v>
      </c>
    </row>
    <row r="1522" spans="4:13" x14ac:dyDescent="0.2">
      <c r="D1522">
        <f t="shared" si="89"/>
        <v>1499</v>
      </c>
      <c r="E1522" s="1">
        <f t="shared" si="87"/>
        <v>174.74242920202332</v>
      </c>
      <c r="F1522" s="1">
        <f t="shared" si="90"/>
        <v>-91.583638951971551</v>
      </c>
      <c r="G1522" s="1">
        <f t="shared" si="88"/>
        <v>1.6816320291512034E-40</v>
      </c>
      <c r="H1522" s="1">
        <f>G1522/$G$21</f>
        <v>1.179218509330151E-41</v>
      </c>
      <c r="I1522">
        <f>IF($E$11&lt;=D1522, IF(D1522&lt;=$A$15,D1522-$E$11,$F$11),0)</f>
        <v>300</v>
      </c>
      <c r="J1522">
        <f>IF(D1522&lt;=$A$15,0,D1522-$A$15)</f>
        <v>1190</v>
      </c>
      <c r="K1522" s="5">
        <f>IF(D1522&lt;$E$11,H1522,0)</f>
        <v>0</v>
      </c>
      <c r="L1522">
        <f>IF(D1522&lt;$A$15,$C$11,$C$11*(1-$G$11))</f>
        <v>200</v>
      </c>
      <c r="M1522">
        <f>IF(D1522&lt;$A$15,0,1)</f>
        <v>1</v>
      </c>
    </row>
    <row r="1523" spans="4:13" x14ac:dyDescent="0.2">
      <c r="D1523">
        <f t="shared" si="89"/>
        <v>1500</v>
      </c>
      <c r="E1523" s="1">
        <f t="shared" si="87"/>
        <v>174.6654681608872</v>
      </c>
      <c r="F1523" s="1">
        <f t="shared" si="90"/>
        <v>-91.660599993107667</v>
      </c>
      <c r="G1523" s="1">
        <f t="shared" si="88"/>
        <v>1.5570666936585415E-40</v>
      </c>
      <c r="H1523" s="1">
        <f>G1523/$G$21</f>
        <v>1.091868990120524E-41</v>
      </c>
      <c r="I1523">
        <f>IF($E$11&lt;=D1523, IF(D1523&lt;=$A$15,D1523-$E$11,$F$11),0)</f>
        <v>300</v>
      </c>
      <c r="J1523">
        <f>IF(D1523&lt;=$A$15,0,D1523-$A$15)</f>
        <v>1191</v>
      </c>
      <c r="K1523" s="5">
        <f>IF(D1523&lt;$E$11,H1523,0)</f>
        <v>0</v>
      </c>
      <c r="L1523">
        <f>IF(D1523&lt;$A$15,$C$11,$C$11*(1-$G$11))</f>
        <v>200</v>
      </c>
      <c r="M1523">
        <f>IF(D1523&lt;$A$15,0,1)</f>
        <v>1</v>
      </c>
    </row>
    <row r="1524" spans="4:13" x14ac:dyDescent="0.2">
      <c r="D1524">
        <f t="shared" si="89"/>
        <v>1501</v>
      </c>
      <c r="E1524" s="1">
        <f t="shared" si="87"/>
        <v>174.58850711975109</v>
      </c>
      <c r="F1524" s="1">
        <f t="shared" si="90"/>
        <v>-91.737561034243782</v>
      </c>
      <c r="G1524" s="1">
        <f t="shared" si="88"/>
        <v>1.4417284200542233E-40</v>
      </c>
      <c r="H1524" s="1">
        <f>G1524/$G$21</f>
        <v>1.0109898056671647E-41</v>
      </c>
      <c r="I1524">
        <f>IF($E$11&lt;=D1524, IF(D1524&lt;=$A$15,D1524-$E$11,$F$11),0)</f>
        <v>300</v>
      </c>
      <c r="J1524">
        <f>IF(D1524&lt;=$A$15,0,D1524-$A$15)</f>
        <v>1192</v>
      </c>
      <c r="K1524" s="5">
        <f>IF(D1524&lt;$E$11,H1524,0)</f>
        <v>0</v>
      </c>
      <c r="L1524">
        <f>IF(D1524&lt;$A$15,$C$11,$C$11*(1-$G$11))</f>
        <v>200</v>
      </c>
      <c r="M1524">
        <f>IF(D1524&lt;$A$15,0,1)</f>
        <v>1</v>
      </c>
    </row>
    <row r="1525" spans="4:13" x14ac:dyDescent="0.2">
      <c r="D1525">
        <f t="shared" si="89"/>
        <v>1502</v>
      </c>
      <c r="E1525" s="1">
        <f t="shared" si="87"/>
        <v>174.51154607861497</v>
      </c>
      <c r="F1525" s="1">
        <f t="shared" si="90"/>
        <v>-91.814522075379898</v>
      </c>
      <c r="G1525" s="1">
        <f t="shared" si="88"/>
        <v>1.3349337222724459E-40</v>
      </c>
      <c r="H1525" s="1">
        <f>G1525/$G$21</f>
        <v>9.3610167191405323E-42</v>
      </c>
      <c r="I1525">
        <f>IF($E$11&lt;=D1525, IF(D1525&lt;=$A$15,D1525-$E$11,$F$11),0)</f>
        <v>300</v>
      </c>
      <c r="J1525">
        <f>IF(D1525&lt;=$A$15,0,D1525-$A$15)</f>
        <v>1193</v>
      </c>
      <c r="K1525" s="5">
        <f>IF(D1525&lt;$E$11,H1525,0)</f>
        <v>0</v>
      </c>
      <c r="L1525">
        <f>IF(D1525&lt;$A$15,$C$11,$C$11*(1-$G$11))</f>
        <v>200</v>
      </c>
      <c r="M1525">
        <f>IF(D1525&lt;$A$15,0,1)</f>
        <v>1</v>
      </c>
    </row>
    <row r="1526" spans="4:13" x14ac:dyDescent="0.2">
      <c r="D1526">
        <f t="shared" si="89"/>
        <v>1503</v>
      </c>
      <c r="E1526" s="1">
        <f t="shared" si="87"/>
        <v>174.43458503747885</v>
      </c>
      <c r="F1526" s="1">
        <f t="shared" si="90"/>
        <v>-91.891483116516014</v>
      </c>
      <c r="G1526" s="1">
        <f t="shared" si="88"/>
        <v>1.2360497428448728E-40</v>
      </c>
      <c r="H1526" s="1">
        <f>G1526/$G$21</f>
        <v>8.6676080732783794E-42</v>
      </c>
      <c r="I1526">
        <f>IF($E$11&lt;=D1526, IF(D1526&lt;=$A$15,D1526-$E$11,$F$11),0)</f>
        <v>300</v>
      </c>
      <c r="J1526">
        <f>IF(D1526&lt;=$A$15,0,D1526-$A$15)</f>
        <v>1194</v>
      </c>
      <c r="K1526" s="5">
        <f>IF(D1526&lt;$E$11,H1526,0)</f>
        <v>0</v>
      </c>
      <c r="L1526">
        <f>IF(D1526&lt;$A$15,$C$11,$C$11*(1-$G$11))</f>
        <v>200</v>
      </c>
      <c r="M1526">
        <f>IF(D1526&lt;$A$15,0,1)</f>
        <v>1</v>
      </c>
    </row>
    <row r="1527" spans="4:13" x14ac:dyDescent="0.2">
      <c r="D1527">
        <f t="shared" si="89"/>
        <v>1504</v>
      </c>
      <c r="E1527" s="1">
        <f t="shared" si="87"/>
        <v>174.35762399634274</v>
      </c>
      <c r="F1527" s="1">
        <f t="shared" si="90"/>
        <v>-91.968444157652129</v>
      </c>
      <c r="G1527" s="1">
        <f t="shared" si="88"/>
        <v>1.1444905026341561E-40</v>
      </c>
      <c r="H1527" s="1">
        <f>G1527/$G$21</f>
        <v>8.0255630308134168E-42</v>
      </c>
      <c r="I1527">
        <f>IF($E$11&lt;=D1527, IF(D1527&lt;=$A$15,D1527-$E$11,$F$11),0)</f>
        <v>300</v>
      </c>
      <c r="J1527">
        <f>IF(D1527&lt;=$A$15,0,D1527-$A$15)</f>
        <v>1195</v>
      </c>
      <c r="K1527" s="5">
        <f>IF(D1527&lt;$E$11,H1527,0)</f>
        <v>0</v>
      </c>
      <c r="L1527">
        <f>IF(D1527&lt;$A$15,$C$11,$C$11*(1-$G$11))</f>
        <v>200</v>
      </c>
      <c r="M1527">
        <f>IF(D1527&lt;$A$15,0,1)</f>
        <v>1</v>
      </c>
    </row>
    <row r="1528" spans="4:13" x14ac:dyDescent="0.2">
      <c r="D1528">
        <f t="shared" si="89"/>
        <v>1505</v>
      </c>
      <c r="E1528" s="1">
        <f t="shared" si="87"/>
        <v>174.28066295520662</v>
      </c>
      <c r="F1528" s="1">
        <f t="shared" si="90"/>
        <v>-92.045405198788245</v>
      </c>
      <c r="G1528" s="1">
        <f t="shared" si="88"/>
        <v>1.0597134283649726E-40</v>
      </c>
      <c r="H1528" s="1">
        <f>G1528/$G$21</f>
        <v>7.4310768803828861E-42</v>
      </c>
      <c r="I1528">
        <f>IF($E$11&lt;=D1528, IF(D1528&lt;=$A$15,D1528-$E$11,$F$11),0)</f>
        <v>300</v>
      </c>
      <c r="J1528">
        <f>IF(D1528&lt;=$A$15,0,D1528-$A$15)</f>
        <v>1196</v>
      </c>
      <c r="K1528" s="5">
        <f>IF(D1528&lt;$E$11,H1528,0)</f>
        <v>0</v>
      </c>
      <c r="L1528">
        <f>IF(D1528&lt;$A$15,$C$11,$C$11*(1-$G$11))</f>
        <v>200</v>
      </c>
      <c r="M1528">
        <f>IF(D1528&lt;$A$15,0,1)</f>
        <v>1</v>
      </c>
    </row>
    <row r="1529" spans="4:13" x14ac:dyDescent="0.2">
      <c r="D1529">
        <f t="shared" si="89"/>
        <v>1506</v>
      </c>
      <c r="E1529" s="1">
        <f t="shared" si="87"/>
        <v>174.20370191407051</v>
      </c>
      <c r="F1529" s="1">
        <f t="shared" si="90"/>
        <v>-92.122366239924361</v>
      </c>
      <c r="G1529" s="1">
        <f t="shared" si="88"/>
        <v>9.8121613737498704E-41</v>
      </c>
      <c r="H1529" s="1">
        <f>G1529/$G$21</f>
        <v>6.8806267410953514E-42</v>
      </c>
      <c r="I1529">
        <f>IF($E$11&lt;=D1529, IF(D1529&lt;=$A$15,D1529-$E$11,$F$11),0)</f>
        <v>300</v>
      </c>
      <c r="J1529">
        <f>IF(D1529&lt;=$A$15,0,D1529-$A$15)</f>
        <v>1197</v>
      </c>
      <c r="K1529" s="5">
        <f>IF(D1529&lt;$E$11,H1529,0)</f>
        <v>0</v>
      </c>
      <c r="L1529">
        <f>IF(D1529&lt;$A$15,$C$11,$C$11*(1-$G$11))</f>
        <v>200</v>
      </c>
      <c r="M1529">
        <f>IF(D1529&lt;$A$15,0,1)</f>
        <v>1</v>
      </c>
    </row>
    <row r="1530" spans="4:13" x14ac:dyDescent="0.2">
      <c r="D1530">
        <f t="shared" si="89"/>
        <v>1507</v>
      </c>
      <c r="E1530" s="1">
        <f t="shared" si="87"/>
        <v>174.12674087293439</v>
      </c>
      <c r="F1530" s="1">
        <f t="shared" si="90"/>
        <v>-92.199327281060476</v>
      </c>
      <c r="G1530" s="1">
        <f t="shared" si="88"/>
        <v>9.085334605324069E-41</v>
      </c>
      <c r="H1530" s="1">
        <f>G1530/$G$21</f>
        <v>6.3709506861994799E-42</v>
      </c>
      <c r="I1530">
        <f>IF($E$11&lt;=D1530, IF(D1530&lt;=$A$15,D1530-$E$11,$F$11),0)</f>
        <v>300</v>
      </c>
      <c r="J1530">
        <f>IF(D1530&lt;=$A$15,0,D1530-$A$15)</f>
        <v>1198</v>
      </c>
      <c r="K1530" s="5">
        <f>IF(D1530&lt;$E$11,H1530,0)</f>
        <v>0</v>
      </c>
      <c r="L1530">
        <f>IF(D1530&lt;$A$15,$C$11,$C$11*(1-$G$11))</f>
        <v>200</v>
      </c>
      <c r="M1530">
        <f>IF(D1530&lt;$A$15,0,1)</f>
        <v>1</v>
      </c>
    </row>
    <row r="1531" spans="4:13" x14ac:dyDescent="0.2">
      <c r="D1531">
        <f t="shared" si="89"/>
        <v>1508</v>
      </c>
      <c r="E1531" s="1">
        <f t="shared" si="87"/>
        <v>174.04977983179828</v>
      </c>
      <c r="F1531" s="1">
        <f t="shared" si="90"/>
        <v>-92.276288322196592</v>
      </c>
      <c r="G1531" s="1">
        <f t="shared" si="88"/>
        <v>8.412346856781652E-41</v>
      </c>
      <c r="H1531" s="1">
        <f>G1531/$G$21</f>
        <v>5.8990284131477412E-42</v>
      </c>
      <c r="I1531">
        <f>IF($E$11&lt;=D1531, IF(D1531&lt;=$A$15,D1531-$E$11,$F$11),0)</f>
        <v>300</v>
      </c>
      <c r="J1531">
        <f>IF(D1531&lt;=$A$15,0,D1531-$A$15)</f>
        <v>1199</v>
      </c>
      <c r="K1531" s="5">
        <f>IF(D1531&lt;$E$11,H1531,0)</f>
        <v>0</v>
      </c>
      <c r="L1531">
        <f>IF(D1531&lt;$A$15,$C$11,$C$11*(1-$G$11))</f>
        <v>200</v>
      </c>
      <c r="M1531">
        <f>IF(D1531&lt;$A$15,0,1)</f>
        <v>1</v>
      </c>
    </row>
    <row r="1532" spans="4:13" x14ac:dyDescent="0.2">
      <c r="D1532">
        <f t="shared" si="89"/>
        <v>1509</v>
      </c>
      <c r="E1532" s="1">
        <f t="shared" si="87"/>
        <v>173.97281879066216</v>
      </c>
      <c r="F1532" s="1">
        <f t="shared" si="90"/>
        <v>-92.353249363332708</v>
      </c>
      <c r="G1532" s="1">
        <f t="shared" si="88"/>
        <v>7.7892100525757018E-41</v>
      </c>
      <c r="H1532" s="1">
        <f>G1532/$G$21</f>
        <v>5.4620633455072369E-42</v>
      </c>
      <c r="I1532">
        <f>IF($E$11&lt;=D1532, IF(D1532&lt;=$A$15,D1532-$E$11,$F$11),0)</f>
        <v>300</v>
      </c>
      <c r="J1532">
        <f>IF(D1532&lt;=$A$15,0,D1532-$A$15)</f>
        <v>1200</v>
      </c>
      <c r="K1532" s="5">
        <f>IF(D1532&lt;$E$11,H1532,0)</f>
        <v>0</v>
      </c>
      <c r="L1532">
        <f>IF(D1532&lt;$A$15,$C$11,$C$11*(1-$G$11))</f>
        <v>200</v>
      </c>
      <c r="M1532">
        <f>IF(D1532&lt;$A$15,0,1)</f>
        <v>1</v>
      </c>
    </row>
    <row r="1533" spans="4:13" x14ac:dyDescent="0.2">
      <c r="D1533">
        <f t="shared" si="89"/>
        <v>1510</v>
      </c>
      <c r="E1533" s="1">
        <f t="shared" si="87"/>
        <v>173.89585774952604</v>
      </c>
      <c r="F1533" s="1">
        <f t="shared" si="90"/>
        <v>-92.430210404468824</v>
      </c>
      <c r="G1533" s="1">
        <f t="shared" si="88"/>
        <v>7.2122315301627789E-41</v>
      </c>
      <c r="H1533" s="1">
        <f>G1533/$G$21</f>
        <v>5.0574660606549139E-42</v>
      </c>
      <c r="I1533">
        <f>IF($E$11&lt;=D1533, IF(D1533&lt;=$A$15,D1533-$E$11,$F$11),0)</f>
        <v>300</v>
      </c>
      <c r="J1533">
        <f>IF(D1533&lt;=$A$15,0,D1533-$A$15)</f>
        <v>1201</v>
      </c>
      <c r="K1533" s="5">
        <f>IF(D1533&lt;$E$11,H1533,0)</f>
        <v>0</v>
      </c>
      <c r="L1533">
        <f>IF(D1533&lt;$A$15,$C$11,$C$11*(1-$G$11))</f>
        <v>200</v>
      </c>
      <c r="M1533">
        <f>IF(D1533&lt;$A$15,0,1)</f>
        <v>1</v>
      </c>
    </row>
    <row r="1534" spans="4:13" x14ac:dyDescent="0.2">
      <c r="D1534">
        <f t="shared" si="89"/>
        <v>1511</v>
      </c>
      <c r="E1534" s="1">
        <f t="shared" si="87"/>
        <v>173.81889670838993</v>
      </c>
      <c r="F1534" s="1">
        <f t="shared" si="90"/>
        <v>-92.507171445604939</v>
      </c>
      <c r="G1534" s="1">
        <f t="shared" si="88"/>
        <v>6.6779921575582129E-41</v>
      </c>
      <c r="H1534" s="1">
        <f>G1534/$G$21</f>
        <v>4.6828389450509048E-42</v>
      </c>
      <c r="I1534">
        <f>IF($E$11&lt;=D1534, IF(D1534&lt;=$A$15,D1534-$E$11,$F$11),0)</f>
        <v>300</v>
      </c>
      <c r="J1534">
        <f>IF(D1534&lt;=$A$15,0,D1534-$A$15)</f>
        <v>1202</v>
      </c>
      <c r="K1534" s="5">
        <f>IF(D1534&lt;$E$11,H1534,0)</f>
        <v>0</v>
      </c>
      <c r="L1534">
        <f>IF(D1534&lt;$A$15,$C$11,$C$11*(1-$G$11))</f>
        <v>200</v>
      </c>
      <c r="M1534">
        <f>IF(D1534&lt;$A$15,0,1)</f>
        <v>1</v>
      </c>
    </row>
    <row r="1535" spans="4:13" x14ac:dyDescent="0.2">
      <c r="D1535">
        <f t="shared" si="89"/>
        <v>1512</v>
      </c>
      <c r="E1535" s="1">
        <f t="shared" si="87"/>
        <v>173.74193566725381</v>
      </c>
      <c r="F1535" s="1">
        <f t="shared" si="90"/>
        <v>-92.584132486741055</v>
      </c>
      <c r="G1535" s="1">
        <f t="shared" si="88"/>
        <v>6.1833260718132377E-41</v>
      </c>
      <c r="H1535" s="1">
        <f>G1535/$G$21</f>
        <v>4.3359619861583E-42</v>
      </c>
      <c r="I1535">
        <f>IF($E$11&lt;=D1535, IF(D1535&lt;=$A$15,D1535-$E$11,$F$11),0)</f>
        <v>300</v>
      </c>
      <c r="J1535">
        <f>IF(D1535&lt;=$A$15,0,D1535-$A$15)</f>
        <v>1203</v>
      </c>
      <c r="K1535" s="5">
        <f>IF(D1535&lt;$E$11,H1535,0)</f>
        <v>0</v>
      </c>
      <c r="L1535">
        <f>IF(D1535&lt;$A$15,$C$11,$C$11*(1-$G$11))</f>
        <v>200</v>
      </c>
      <c r="M1535">
        <f>IF(D1535&lt;$A$15,0,1)</f>
        <v>1</v>
      </c>
    </row>
    <row r="1536" spans="4:13" x14ac:dyDescent="0.2">
      <c r="D1536">
        <f t="shared" si="89"/>
        <v>1513</v>
      </c>
      <c r="E1536" s="1">
        <f t="shared" si="87"/>
        <v>173.6649746261177</v>
      </c>
      <c r="F1536" s="1">
        <f t="shared" si="90"/>
        <v>-92.661093527877171</v>
      </c>
      <c r="G1536" s="1">
        <f t="shared" si="88"/>
        <v>5.7253019183456634E-41</v>
      </c>
      <c r="H1536" s="1">
        <f>G1536/$G$21</f>
        <v>4.0147796168132919E-42</v>
      </c>
      <c r="I1536">
        <f>IF($E$11&lt;=D1536, IF(D1536&lt;=$A$15,D1536-$E$11,$F$11),0)</f>
        <v>300</v>
      </c>
      <c r="J1536">
        <f>IF(D1536&lt;=$A$15,0,D1536-$A$15)</f>
        <v>1204</v>
      </c>
      <c r="K1536" s="5">
        <f>IF(D1536&lt;$E$11,H1536,0)</f>
        <v>0</v>
      </c>
      <c r="L1536">
        <f>IF(D1536&lt;$A$15,$C$11,$C$11*(1-$G$11))</f>
        <v>200</v>
      </c>
      <c r="M1536">
        <f>IF(D1536&lt;$A$15,0,1)</f>
        <v>1</v>
      </c>
    </row>
    <row r="1537" spans="4:13" x14ac:dyDescent="0.2">
      <c r="D1537">
        <f t="shared" si="89"/>
        <v>1514</v>
      </c>
      <c r="E1537" s="1">
        <f t="shared" si="87"/>
        <v>173.58801358498158</v>
      </c>
      <c r="F1537" s="1">
        <f t="shared" si="90"/>
        <v>-92.738054569013286</v>
      </c>
      <c r="G1537" s="1">
        <f t="shared" si="88"/>
        <v>5.3012054799497552E-41</v>
      </c>
      <c r="H1537" s="1">
        <f>G1537/$G$21</f>
        <v>3.7173885340864282E-42</v>
      </c>
      <c r="I1537">
        <f>IF($E$11&lt;=D1537, IF(D1537&lt;=$A$15,D1537-$E$11,$F$11),0)</f>
        <v>300</v>
      </c>
      <c r="J1537">
        <f>IF(D1537&lt;=$A$15,0,D1537-$A$15)</f>
        <v>1205</v>
      </c>
      <c r="K1537" s="5">
        <f>IF(D1537&lt;$E$11,H1537,0)</f>
        <v>0</v>
      </c>
      <c r="L1537">
        <f>IF(D1537&lt;$A$15,$C$11,$C$11*(1-$G$11))</f>
        <v>200</v>
      </c>
      <c r="M1537">
        <f>IF(D1537&lt;$A$15,0,1)</f>
        <v>1</v>
      </c>
    </row>
    <row r="1538" spans="4:13" x14ac:dyDescent="0.2">
      <c r="D1538">
        <f t="shared" si="89"/>
        <v>1515</v>
      </c>
      <c r="E1538" s="1">
        <f t="shared" si="87"/>
        <v>173.51105254384547</v>
      </c>
      <c r="F1538" s="1">
        <f t="shared" si="90"/>
        <v>-92.815015610149402</v>
      </c>
      <c r="G1538" s="1">
        <f t="shared" si="88"/>
        <v>4.9085235925461313E-41</v>
      </c>
      <c r="H1538" s="1">
        <f>G1538/$G$21</f>
        <v>3.4420264204504397E-42</v>
      </c>
      <c r="I1538">
        <f>IF($E$11&lt;=D1538, IF(D1538&lt;=$A$15,D1538-$E$11,$F$11),0)</f>
        <v>300</v>
      </c>
      <c r="J1538">
        <f>IF(D1538&lt;=$A$15,0,D1538-$A$15)</f>
        <v>1206</v>
      </c>
      <c r="K1538" s="5">
        <f>IF(D1538&lt;$E$11,H1538,0)</f>
        <v>0</v>
      </c>
      <c r="L1538">
        <f>IF(D1538&lt;$A$15,$C$11,$C$11*(1-$G$11))</f>
        <v>200</v>
      </c>
      <c r="M1538">
        <f>IF(D1538&lt;$A$15,0,1)</f>
        <v>1</v>
      </c>
    </row>
    <row r="1539" spans="4:13" x14ac:dyDescent="0.2">
      <c r="D1539">
        <f t="shared" si="89"/>
        <v>1516</v>
      </c>
      <c r="E1539" s="1">
        <f t="shared" si="87"/>
        <v>173.43409150270935</v>
      </c>
      <c r="F1539" s="1">
        <f t="shared" si="90"/>
        <v>-92.891976651285518</v>
      </c>
      <c r="G1539" s="1">
        <f t="shared" si="88"/>
        <v>4.5449292523575868E-41</v>
      </c>
      <c r="H1539" s="1">
        <f>G1539/$G$21</f>
        <v>3.1870615004171145E-42</v>
      </c>
      <c r="I1539">
        <f>IF($E$11&lt;=D1539, IF(D1539&lt;=$A$15,D1539-$E$11,$F$11),0)</f>
        <v>300</v>
      </c>
      <c r="J1539">
        <f>IF(D1539&lt;=$A$15,0,D1539-$A$15)</f>
        <v>1207</v>
      </c>
      <c r="K1539" s="5">
        <f>IF(D1539&lt;$E$11,H1539,0)</f>
        <v>0</v>
      </c>
      <c r="L1539">
        <f>IF(D1539&lt;$A$15,$C$11,$C$11*(1-$G$11))</f>
        <v>200</v>
      </c>
      <c r="M1539">
        <f>IF(D1539&lt;$A$15,0,1)</f>
        <v>1</v>
      </c>
    </row>
    <row r="1540" spans="4:13" x14ac:dyDescent="0.2">
      <c r="D1540">
        <f t="shared" si="89"/>
        <v>1517</v>
      </c>
      <c r="E1540" s="1">
        <f t="shared" ref="E1540:F1603" si="91">IF($G$11=1,IF(D1540&lt;=$A$15, E1539+LN($C$11)-LN(60/$D$11)-LN(MIN(D1540,$E$11)), E1539-LN(60/$D$11)-LN(MIN(D1540,$E$11))), IF(D1540&lt;=$A$15, E1539+LN($C$11)-LN(60/$D$11)-LN(MIN(D1540,$E$11)), E1539+LN($C$11)+LN(1-$G$11)-LN(60/$D$11)-LN(MIN(D1540,$E$11))))</f>
        <v>173.35713046157323</v>
      </c>
      <c r="F1540" s="1">
        <f t="shared" si="90"/>
        <v>-92.968937692421633</v>
      </c>
      <c r="G1540" s="1">
        <f t="shared" si="88"/>
        <v>4.2082678262570781E-41</v>
      </c>
      <c r="H1540" s="1">
        <f>G1540/$G$21</f>
        <v>2.950982870756625E-42</v>
      </c>
      <c r="I1540">
        <f>IF($E$11&lt;=D1540, IF(D1540&lt;=$A$15,D1540-$E$11,$F$11),0)</f>
        <v>300</v>
      </c>
      <c r="J1540">
        <f>IF(D1540&lt;=$A$15,0,D1540-$A$15)</f>
        <v>1208</v>
      </c>
      <c r="K1540" s="5">
        <f>IF(D1540&lt;$E$11,H1540,0)</f>
        <v>0</v>
      </c>
      <c r="L1540">
        <f>IF(D1540&lt;$A$15,$C$11,$C$11*(1-$G$11))</f>
        <v>200</v>
      </c>
      <c r="M1540">
        <f>IF(D1540&lt;$A$15,0,1)</f>
        <v>1</v>
      </c>
    </row>
    <row r="1541" spans="4:13" x14ac:dyDescent="0.2">
      <c r="D1541">
        <f t="shared" si="89"/>
        <v>1518</v>
      </c>
      <c r="E1541" s="1">
        <f t="shared" si="91"/>
        <v>173.28016942043712</v>
      </c>
      <c r="F1541" s="1">
        <f t="shared" si="90"/>
        <v>-93.045898733557749</v>
      </c>
      <c r="G1541" s="1">
        <f t="shared" si="88"/>
        <v>3.8965442835714177E-41</v>
      </c>
      <c r="H1541" s="1">
        <f>G1541/$G$21</f>
        <v>2.7323915469969092E-42</v>
      </c>
      <c r="I1541">
        <f>IF($E$11&lt;=D1541, IF(D1541&lt;=$A$15,D1541-$E$11,$F$11),0)</f>
        <v>300</v>
      </c>
      <c r="J1541">
        <f>IF(D1541&lt;=$A$15,0,D1541-$A$15)</f>
        <v>1209</v>
      </c>
      <c r="K1541" s="5">
        <f>IF(D1541&lt;$E$11,H1541,0)</f>
        <v>0</v>
      </c>
      <c r="L1541">
        <f>IF(D1541&lt;$A$15,$C$11,$C$11*(1-$G$11))</f>
        <v>200</v>
      </c>
      <c r="M1541">
        <f>IF(D1541&lt;$A$15,0,1)</f>
        <v>1</v>
      </c>
    </row>
    <row r="1542" spans="4:13" x14ac:dyDescent="0.2">
      <c r="D1542">
        <f t="shared" si="89"/>
        <v>1519</v>
      </c>
      <c r="E1542" s="1">
        <f t="shared" si="91"/>
        <v>173.203208379301</v>
      </c>
      <c r="F1542" s="1">
        <f t="shared" si="90"/>
        <v>-93.122859774693865</v>
      </c>
      <c r="G1542" s="1">
        <f t="shared" si="88"/>
        <v>3.6079113736772842E-41</v>
      </c>
      <c r="H1542" s="1">
        <f>G1542/$G$21</f>
        <v>2.5299921731453181E-42</v>
      </c>
      <c r="I1542">
        <f>IF($E$11&lt;=D1542, IF(D1542&lt;=$A$15,D1542-$E$11,$F$11),0)</f>
        <v>300</v>
      </c>
      <c r="J1542">
        <f>IF(D1542&lt;=$A$15,0,D1542-$A$15)</f>
        <v>1210</v>
      </c>
      <c r="K1542" s="5">
        <f>IF(D1542&lt;$E$11,H1542,0)</f>
        <v>0</v>
      </c>
      <c r="L1542">
        <f>IF(D1542&lt;$A$15,$C$11,$C$11*(1-$G$11))</f>
        <v>200</v>
      </c>
      <c r="M1542">
        <f>IF(D1542&lt;$A$15,0,1)</f>
        <v>1</v>
      </c>
    </row>
    <row r="1543" spans="4:13" x14ac:dyDescent="0.2">
      <c r="D1543">
        <f t="shared" si="89"/>
        <v>1520</v>
      </c>
      <c r="E1543" s="1">
        <f t="shared" si="91"/>
        <v>173.12624733816489</v>
      </c>
      <c r="F1543" s="1">
        <f t="shared" si="90"/>
        <v>-93.19982081582998</v>
      </c>
      <c r="G1543" s="1">
        <f t="shared" si="88"/>
        <v>3.3406586793308608E-41</v>
      </c>
      <c r="H1543" s="1">
        <f>G1543/$G$21</f>
        <v>2.3425853455049537E-42</v>
      </c>
      <c r="I1543">
        <f>IF($E$11&lt;=D1543, IF(D1543&lt;=$A$15,D1543-$E$11,$F$11),0)</f>
        <v>300</v>
      </c>
      <c r="J1543">
        <f>IF(D1543&lt;=$A$15,0,D1543-$A$15)</f>
        <v>1211</v>
      </c>
      <c r="K1543" s="5">
        <f>IF(D1543&lt;$E$11,H1543,0)</f>
        <v>0</v>
      </c>
      <c r="L1543">
        <f>IF(D1543&lt;$A$15,$C$11,$C$11*(1-$G$11))</f>
        <v>200</v>
      </c>
      <c r="M1543">
        <f>IF(D1543&lt;$A$15,0,1)</f>
        <v>1</v>
      </c>
    </row>
    <row r="1544" spans="4:13" x14ac:dyDescent="0.2">
      <c r="D1544">
        <f t="shared" si="89"/>
        <v>1521</v>
      </c>
      <c r="E1544" s="1">
        <f t="shared" si="91"/>
        <v>173.04928629702877</v>
      </c>
      <c r="F1544" s="1">
        <f t="shared" si="90"/>
        <v>-93.276781856966096</v>
      </c>
      <c r="G1544" s="1">
        <f t="shared" si="88"/>
        <v>3.0932024808619472E-41</v>
      </c>
      <c r="H1544" s="1">
        <f>G1544/$G$21</f>
        <v>2.1690605050972069E-42</v>
      </c>
      <c r="I1544">
        <f>IF($E$11&lt;=D1544, IF(D1544&lt;=$A$15,D1544-$E$11,$F$11),0)</f>
        <v>300</v>
      </c>
      <c r="J1544">
        <f>IF(D1544&lt;=$A$15,0,D1544-$A$15)</f>
        <v>1212</v>
      </c>
      <c r="K1544" s="5">
        <f>IF(D1544&lt;$E$11,H1544,0)</f>
        <v>0</v>
      </c>
      <c r="L1544">
        <f>IF(D1544&lt;$A$15,$C$11,$C$11*(1-$G$11))</f>
        <v>200</v>
      </c>
      <c r="M1544">
        <f>IF(D1544&lt;$A$15,0,1)</f>
        <v>1</v>
      </c>
    </row>
    <row r="1545" spans="4:13" x14ac:dyDescent="0.2">
      <c r="D1545">
        <f t="shared" si="89"/>
        <v>1522</v>
      </c>
      <c r="E1545" s="1">
        <f t="shared" si="91"/>
        <v>172.97232525589266</v>
      </c>
      <c r="F1545" s="1">
        <f t="shared" si="90"/>
        <v>-93.353742898102212</v>
      </c>
      <c r="G1545" s="1">
        <f t="shared" si="88"/>
        <v>2.8640763711685062E-41</v>
      </c>
      <c r="H1545" s="1">
        <f>G1545/$G$21</f>
        <v>2.0083893565715134E-42</v>
      </c>
      <c r="I1545">
        <f>IF($E$11&lt;=D1545, IF(D1545&lt;=$A$15,D1545-$E$11,$F$11),0)</f>
        <v>300</v>
      </c>
      <c r="J1545">
        <f>IF(D1545&lt;=$A$15,0,D1545-$A$15)</f>
        <v>1213</v>
      </c>
      <c r="K1545" s="5">
        <f>IF(D1545&lt;$E$11,H1545,0)</f>
        <v>0</v>
      </c>
      <c r="L1545">
        <f>IF(D1545&lt;$A$15,$C$11,$C$11*(1-$G$11))</f>
        <v>200</v>
      </c>
      <c r="M1545">
        <f>IF(D1545&lt;$A$15,0,1)</f>
        <v>1</v>
      </c>
    </row>
    <row r="1546" spans="4:13" x14ac:dyDescent="0.2">
      <c r="D1546">
        <f t="shared" si="89"/>
        <v>1523</v>
      </c>
      <c r="E1546" s="1">
        <f t="shared" si="91"/>
        <v>172.89536421475654</v>
      </c>
      <c r="F1546" s="1">
        <f t="shared" si="90"/>
        <v>-93.430703939238327</v>
      </c>
      <c r="G1546" s="1">
        <f t="shared" si="88"/>
        <v>2.6519225658967982E-41</v>
      </c>
      <c r="H1546" s="1">
        <f>G1546/$G$21</f>
        <v>1.8596197746032763E-42</v>
      </c>
      <c r="I1546">
        <f>IF($E$11&lt;=D1546, IF(D1546&lt;=$A$15,D1546-$E$11,$F$11),0)</f>
        <v>300</v>
      </c>
      <c r="J1546">
        <f>IF(D1546&lt;=$A$15,0,D1546-$A$15)</f>
        <v>1214</v>
      </c>
      <c r="K1546" s="5">
        <f>IF(D1546&lt;$E$11,H1546,0)</f>
        <v>0</v>
      </c>
      <c r="L1546">
        <f>IF(D1546&lt;$A$15,$C$11,$C$11*(1-$G$11))</f>
        <v>200</v>
      </c>
      <c r="M1546">
        <f>IF(D1546&lt;$A$15,0,1)</f>
        <v>1</v>
      </c>
    </row>
    <row r="1547" spans="4:13" x14ac:dyDescent="0.2">
      <c r="D1547">
        <f t="shared" si="89"/>
        <v>1524</v>
      </c>
      <c r="E1547" s="1">
        <f t="shared" si="91"/>
        <v>172.81840317362042</v>
      </c>
      <c r="F1547" s="1">
        <f t="shared" si="90"/>
        <v>-93.507664980374443</v>
      </c>
      <c r="G1547" s="1">
        <f t="shared" si="88"/>
        <v>2.4554838573118812E-41</v>
      </c>
      <c r="H1547" s="1">
        <f>G1547/$G$21</f>
        <v>1.7218701616697222E-42</v>
      </c>
      <c r="I1547">
        <f>IF($E$11&lt;=D1547, IF(D1547&lt;=$A$15,D1547-$E$11,$F$11),0)</f>
        <v>300</v>
      </c>
      <c r="J1547">
        <f>IF(D1547&lt;=$A$15,0,D1547-$A$15)</f>
        <v>1215</v>
      </c>
      <c r="K1547" s="5">
        <f>IF(D1547&lt;$E$11,H1547,0)</f>
        <v>0</v>
      </c>
      <c r="L1547">
        <f>IF(D1547&lt;$A$15,$C$11,$C$11*(1-$G$11))</f>
        <v>200</v>
      </c>
      <c r="M1547">
        <f>IF(D1547&lt;$A$15,0,1)</f>
        <v>1</v>
      </c>
    </row>
    <row r="1548" spans="4:13" x14ac:dyDescent="0.2">
      <c r="D1548">
        <f t="shared" si="89"/>
        <v>1525</v>
      </c>
      <c r="E1548" s="1">
        <f t="shared" si="91"/>
        <v>172.74144213248431</v>
      </c>
      <c r="F1548" s="1">
        <f t="shared" si="90"/>
        <v>-93.584626021510559</v>
      </c>
      <c r="G1548" s="1">
        <f t="shared" si="88"/>
        <v>2.2735961641776968E-41</v>
      </c>
      <c r="H1548" s="1">
        <f>G1548/$G$21</f>
        <v>1.5943242237682817E-42</v>
      </c>
      <c r="I1548">
        <f>IF($E$11&lt;=D1548, IF(D1548&lt;=$A$15,D1548-$E$11,$F$11),0)</f>
        <v>300</v>
      </c>
      <c r="J1548">
        <f>IF(D1548&lt;=$A$15,0,D1548-$A$15)</f>
        <v>1216</v>
      </c>
      <c r="K1548" s="5">
        <f>IF(D1548&lt;$E$11,H1548,0)</f>
        <v>0</v>
      </c>
      <c r="L1548">
        <f>IF(D1548&lt;$A$15,$C$11,$C$11*(1-$G$11))</f>
        <v>200</v>
      </c>
      <c r="M1548">
        <f>IF(D1548&lt;$A$15,0,1)</f>
        <v>1</v>
      </c>
    </row>
    <row r="1549" spans="4:13" x14ac:dyDescent="0.2">
      <c r="D1549">
        <f t="shared" si="89"/>
        <v>1526</v>
      </c>
      <c r="E1549" s="1">
        <f t="shared" si="91"/>
        <v>172.66448109134819</v>
      </c>
      <c r="F1549" s="1">
        <f t="shared" si="90"/>
        <v>-93.661587062646674</v>
      </c>
      <c r="G1549" s="1">
        <f t="shared" si="88"/>
        <v>2.1051816334978938E-41</v>
      </c>
      <c r="H1549" s="1">
        <f>G1549/$G$21</f>
        <v>1.476226133118798E-42</v>
      </c>
      <c r="I1549">
        <f>IF($E$11&lt;=D1549, IF(D1549&lt;=$A$15,D1549-$E$11,$F$11),0)</f>
        <v>300</v>
      </c>
      <c r="J1549">
        <f>IF(D1549&lt;=$A$15,0,D1549-$A$15)</f>
        <v>1217</v>
      </c>
      <c r="K1549" s="5">
        <f>IF(D1549&lt;$E$11,H1549,0)</f>
        <v>0</v>
      </c>
      <c r="L1549">
        <f>IF(D1549&lt;$A$15,$C$11,$C$11*(1-$G$11))</f>
        <v>200</v>
      </c>
      <c r="M1549">
        <f>IF(D1549&lt;$A$15,0,1)</f>
        <v>1</v>
      </c>
    </row>
    <row r="1550" spans="4:13" x14ac:dyDescent="0.2">
      <c r="D1550">
        <f t="shared" si="89"/>
        <v>1527</v>
      </c>
      <c r="E1550" s="1">
        <f t="shared" si="91"/>
        <v>172.58752005021208</v>
      </c>
      <c r="F1550" s="1">
        <f t="shared" si="90"/>
        <v>-93.73854810378279</v>
      </c>
      <c r="G1550" s="1">
        <f t="shared" si="88"/>
        <v>1.9492422532388153E-41</v>
      </c>
      <c r="H1550" s="1">
        <f>G1550/$G$21</f>
        <v>1.3668760491840893E-42</v>
      </c>
      <c r="I1550">
        <f>IF($E$11&lt;=D1550, IF(D1550&lt;=$A$15,D1550-$E$11,$F$11),0)</f>
        <v>300</v>
      </c>
      <c r="J1550">
        <f>IF(D1550&lt;=$A$15,0,D1550-$A$15)</f>
        <v>1218</v>
      </c>
      <c r="K1550" s="5">
        <f>IF(D1550&lt;$E$11,H1550,0)</f>
        <v>0</v>
      </c>
      <c r="L1550">
        <f>IF(D1550&lt;$A$15,$C$11,$C$11*(1-$G$11))</f>
        <v>200</v>
      </c>
      <c r="M1550">
        <f>IF(D1550&lt;$A$15,0,1)</f>
        <v>1</v>
      </c>
    </row>
    <row r="1551" spans="4:13" x14ac:dyDescent="0.2">
      <c r="D1551">
        <f t="shared" si="89"/>
        <v>1528</v>
      </c>
      <c r="E1551" s="1">
        <f t="shared" si="91"/>
        <v>172.51055900907596</v>
      </c>
      <c r="F1551" s="1">
        <f t="shared" si="90"/>
        <v>-93.815509144918906</v>
      </c>
      <c r="G1551" s="1">
        <f t="shared" si="88"/>
        <v>1.8048539381841112E-41</v>
      </c>
      <c r="H1551" s="1">
        <f>G1551/$G$21</f>
        <v>1.2656259714667656E-42</v>
      </c>
      <c r="I1551">
        <f>IF($E$11&lt;=D1551, IF(D1551&lt;=$A$15,D1551-$E$11,$F$11),0)</f>
        <v>300</v>
      </c>
      <c r="J1551">
        <f>IF(D1551&lt;=$A$15,0,D1551-$A$15)</f>
        <v>1219</v>
      </c>
      <c r="K1551" s="5">
        <f>IF(D1551&lt;$E$11,H1551,0)</f>
        <v>0</v>
      </c>
      <c r="L1551">
        <f>IF(D1551&lt;$A$15,$C$11,$C$11*(1-$G$11))</f>
        <v>200</v>
      </c>
      <c r="M1551">
        <f>IF(D1551&lt;$A$15,0,1)</f>
        <v>1</v>
      </c>
    </row>
    <row r="1552" spans="4:13" x14ac:dyDescent="0.2">
      <c r="D1552">
        <f t="shared" si="89"/>
        <v>1529</v>
      </c>
      <c r="E1552" s="1">
        <f t="shared" si="91"/>
        <v>172.43359796793985</v>
      </c>
      <c r="F1552" s="1">
        <f t="shared" si="90"/>
        <v>-93.892470186055021</v>
      </c>
      <c r="G1552" s="1">
        <f t="shared" si="88"/>
        <v>1.6711610538741981E-41</v>
      </c>
      <c r="H1552" s="1">
        <f>G1552/$G$21</f>
        <v>1.1718758995062791E-42</v>
      </c>
      <c r="I1552">
        <f>IF($E$11&lt;=D1552, IF(D1552&lt;=$A$15,D1552-$E$11,$F$11),0)</f>
        <v>300</v>
      </c>
      <c r="J1552">
        <f>IF(D1552&lt;=$A$15,0,D1552-$A$15)</f>
        <v>1220</v>
      </c>
      <c r="K1552" s="5">
        <f>IF(D1552&lt;$E$11,H1552,0)</f>
        <v>0</v>
      </c>
      <c r="L1552">
        <f>IF(D1552&lt;$A$15,$C$11,$C$11*(1-$G$11))</f>
        <v>200</v>
      </c>
      <c r="M1552">
        <f>IF(D1552&lt;$A$15,0,1)</f>
        <v>1</v>
      </c>
    </row>
    <row r="1553" spans="4:13" x14ac:dyDescent="0.2">
      <c r="D1553">
        <f t="shared" si="89"/>
        <v>1530</v>
      </c>
      <c r="E1553" s="1">
        <f t="shared" si="91"/>
        <v>172.35663692680373</v>
      </c>
      <c r="F1553" s="1">
        <f t="shared" si="90"/>
        <v>-93.969431227191137</v>
      </c>
      <c r="G1553" s="1">
        <f t="shared" si="88"/>
        <v>1.5473713461798325E-41</v>
      </c>
      <c r="H1553" s="1">
        <f>G1553/$G$21</f>
        <v>1.0850702773206425E-42</v>
      </c>
      <c r="I1553">
        <f>IF($E$11&lt;=D1553, IF(D1553&lt;=$A$15,D1553-$E$11,$F$11),0)</f>
        <v>300</v>
      </c>
      <c r="J1553">
        <f>IF(D1553&lt;=$A$15,0,D1553-$A$15)</f>
        <v>1221</v>
      </c>
      <c r="K1553" s="5">
        <f>IF(D1553&lt;$E$11,H1553,0)</f>
        <v>0</v>
      </c>
      <c r="L1553">
        <f>IF(D1553&lt;$A$15,$C$11,$C$11*(1-$G$11))</f>
        <v>200</v>
      </c>
      <c r="M1553">
        <f>IF(D1553&lt;$A$15,0,1)</f>
        <v>1</v>
      </c>
    </row>
    <row r="1554" spans="4:13" x14ac:dyDescent="0.2">
      <c r="D1554">
        <f t="shared" si="89"/>
        <v>1531</v>
      </c>
      <c r="E1554" s="1">
        <f t="shared" si="91"/>
        <v>172.27967588566761</v>
      </c>
      <c r="F1554" s="1">
        <f t="shared" si="90"/>
        <v>-94.046392268327253</v>
      </c>
      <c r="G1554" s="1">
        <f t="shared" si="88"/>
        <v>1.432751246462826E-41</v>
      </c>
      <c r="H1554" s="1">
        <f>G1554/$G$21</f>
        <v>1.0046947012228299E-42</v>
      </c>
      <c r="I1554">
        <f>IF($E$11&lt;=D1554, IF(D1554&lt;=$A$15,D1554-$E$11,$F$11),0)</f>
        <v>300</v>
      </c>
      <c r="J1554">
        <f>IF(D1554&lt;=$A$15,0,D1554-$A$15)</f>
        <v>1222</v>
      </c>
      <c r="K1554" s="5">
        <f>IF(D1554&lt;$E$11,H1554,0)</f>
        <v>0</v>
      </c>
      <c r="L1554">
        <f>IF(D1554&lt;$A$15,$C$11,$C$11*(1-$G$11))</f>
        <v>200</v>
      </c>
      <c r="M1554">
        <f>IF(D1554&lt;$A$15,0,1)</f>
        <v>1</v>
      </c>
    </row>
    <row r="1555" spans="4:13" x14ac:dyDescent="0.2">
      <c r="D1555">
        <f t="shared" si="89"/>
        <v>1532</v>
      </c>
      <c r="E1555" s="1">
        <f t="shared" si="91"/>
        <v>172.2027148445315</v>
      </c>
      <c r="F1555" s="1">
        <f t="shared" si="90"/>
        <v>-94.123353309463369</v>
      </c>
      <c r="G1555" s="1">
        <f t="shared" si="88"/>
        <v>1.3266215245026335E-41</v>
      </c>
      <c r="H1555" s="1">
        <f>G1555/$G$21</f>
        <v>9.30272871502632E-43</v>
      </c>
      <c r="I1555">
        <f>IF($E$11&lt;=D1555, IF(D1555&lt;=$A$15,D1555-$E$11,$F$11),0)</f>
        <v>300</v>
      </c>
      <c r="J1555">
        <f>IF(D1555&lt;=$A$15,0,D1555-$A$15)</f>
        <v>1223</v>
      </c>
      <c r="K1555" s="5">
        <f>IF(D1555&lt;$E$11,H1555,0)</f>
        <v>0</v>
      </c>
      <c r="L1555">
        <f>IF(D1555&lt;$A$15,$C$11,$C$11*(1-$G$11))</f>
        <v>200</v>
      </c>
      <c r="M1555">
        <f>IF(D1555&lt;$A$15,0,1)</f>
        <v>1</v>
      </c>
    </row>
    <row r="1556" spans="4:13" x14ac:dyDescent="0.2">
      <c r="D1556">
        <f t="shared" si="89"/>
        <v>1533</v>
      </c>
      <c r="E1556" s="1">
        <f t="shared" si="91"/>
        <v>172.12575380339538</v>
      </c>
      <c r="F1556" s="1">
        <f t="shared" si="90"/>
        <v>-94.200314350599484</v>
      </c>
      <c r="G1556" s="1">
        <f t="shared" si="88"/>
        <v>1.2283532634283799E-41</v>
      </c>
      <c r="H1556" s="1">
        <f>G1556/$G$21</f>
        <v>8.6136376990985541E-43</v>
      </c>
      <c r="I1556">
        <f>IF($E$11&lt;=D1556, IF(D1556&lt;=$A$15,D1556-$E$11,$F$11),0)</f>
        <v>300</v>
      </c>
      <c r="J1556">
        <f>IF(D1556&lt;=$A$15,0,D1556-$A$15)</f>
        <v>1224</v>
      </c>
      <c r="K1556" s="5">
        <f>IF(D1556&lt;$E$11,H1556,0)</f>
        <v>0</v>
      </c>
      <c r="L1556">
        <f>IF(D1556&lt;$A$15,$C$11,$C$11*(1-$G$11))</f>
        <v>200</v>
      </c>
      <c r="M1556">
        <f>IF(D1556&lt;$A$15,0,1)</f>
        <v>1</v>
      </c>
    </row>
    <row r="1557" spans="4:13" x14ac:dyDescent="0.2">
      <c r="D1557">
        <f t="shared" si="89"/>
        <v>1534</v>
      </c>
      <c r="E1557" s="1">
        <f t="shared" si="91"/>
        <v>172.04879276225927</v>
      </c>
      <c r="F1557" s="1">
        <f t="shared" si="90"/>
        <v>-94.2772753917356</v>
      </c>
      <c r="G1557" s="1">
        <f t="shared" si="88"/>
        <v>1.1373641328040699E-41</v>
      </c>
      <c r="H1557" s="1">
        <f>G1557/$G$21</f>
        <v>7.9755904621283922E-43</v>
      </c>
      <c r="I1557">
        <f>IF($E$11&lt;=D1557, IF(D1557&lt;=$A$15,D1557-$E$11,$F$11),0)</f>
        <v>300</v>
      </c>
      <c r="J1557">
        <f>IF(D1557&lt;=$A$15,0,D1557-$A$15)</f>
        <v>1225</v>
      </c>
      <c r="K1557" s="5">
        <f>IF(D1557&lt;$E$11,H1557,0)</f>
        <v>0</v>
      </c>
      <c r="L1557">
        <f>IF(D1557&lt;$A$15,$C$11,$C$11*(1-$G$11))</f>
        <v>200</v>
      </c>
      <c r="M1557">
        <f>IF(D1557&lt;$A$15,0,1)</f>
        <v>1</v>
      </c>
    </row>
    <row r="1558" spans="4:13" x14ac:dyDescent="0.2">
      <c r="D1558">
        <f t="shared" si="89"/>
        <v>1535</v>
      </c>
      <c r="E1558" s="1">
        <f t="shared" si="91"/>
        <v>171.97183172112315</v>
      </c>
      <c r="F1558" s="1">
        <f t="shared" si="90"/>
        <v>-94.354236432871716</v>
      </c>
      <c r="G1558" s="1">
        <f t="shared" si="88"/>
        <v>1.0531149377815595E-41</v>
      </c>
      <c r="H1558" s="1">
        <f>G1558/$G$21</f>
        <v>7.384805983452307E-43</v>
      </c>
      <c r="I1558">
        <f>IF($E$11&lt;=D1558, IF(D1558&lt;=$A$15,D1558-$E$11,$F$11),0)</f>
        <v>300</v>
      </c>
      <c r="J1558">
        <f>IF(D1558&lt;=$A$15,0,D1558-$A$15)</f>
        <v>1226</v>
      </c>
      <c r="K1558" s="5">
        <f>IF(D1558&lt;$E$11,H1558,0)</f>
        <v>0</v>
      </c>
      <c r="L1558">
        <f>IF(D1558&lt;$A$15,$C$11,$C$11*(1-$G$11))</f>
        <v>200</v>
      </c>
      <c r="M1558">
        <f>IF(D1558&lt;$A$15,0,1)</f>
        <v>1</v>
      </c>
    </row>
    <row r="1559" spans="4:13" x14ac:dyDescent="0.2">
      <c r="D1559">
        <f t="shared" si="89"/>
        <v>1536</v>
      </c>
      <c r="E1559" s="1">
        <f t="shared" si="91"/>
        <v>171.89487067998704</v>
      </c>
      <c r="F1559" s="1">
        <f t="shared" si="90"/>
        <v>-94.431197474007831</v>
      </c>
      <c r="G1559" s="1">
        <f t="shared" si="88"/>
        <v>9.7510642387182662E-42</v>
      </c>
      <c r="H1559" s="1">
        <f>G1559/$G$21</f>
        <v>6.837783318011482E-43</v>
      </c>
      <c r="I1559">
        <f>IF($E$11&lt;=D1559, IF(D1559&lt;=$A$15,D1559-$E$11,$F$11),0)</f>
        <v>300</v>
      </c>
      <c r="J1559">
        <f>IF(D1559&lt;=$A$15,0,D1559-$A$15)</f>
        <v>1227</v>
      </c>
      <c r="K1559" s="5">
        <f>IF(D1559&lt;$E$11,H1559,0)</f>
        <v>0</v>
      </c>
      <c r="L1559">
        <f>IF(D1559&lt;$A$15,$C$11,$C$11*(1-$G$11))</f>
        <v>200</v>
      </c>
      <c r="M1559">
        <f>IF(D1559&lt;$A$15,0,1)</f>
        <v>1</v>
      </c>
    </row>
    <row r="1560" spans="4:13" x14ac:dyDescent="0.2">
      <c r="D1560">
        <f t="shared" si="89"/>
        <v>1537</v>
      </c>
      <c r="E1560" s="1">
        <f t="shared" si="91"/>
        <v>171.81790963885092</v>
      </c>
      <c r="F1560" s="1">
        <f t="shared" si="90"/>
        <v>-94.508158515143947</v>
      </c>
      <c r="G1560" s="1">
        <f t="shared" ref="G1560:G1623" si="92">EXP(F1560)</f>
        <v>9.0287631839985093E-42</v>
      </c>
      <c r="H1560" s="1">
        <f>G1560/$G$21</f>
        <v>6.3312808500107121E-43</v>
      </c>
      <c r="I1560">
        <f>IF($E$11&lt;=D1560, IF(D1560&lt;=$A$15,D1560-$E$11,$F$11),0)</f>
        <v>300</v>
      </c>
      <c r="J1560">
        <f>IF(D1560&lt;=$A$15,0,D1560-$A$15)</f>
        <v>1228</v>
      </c>
      <c r="K1560" s="5">
        <f>IF(D1560&lt;$E$11,H1560,0)</f>
        <v>0</v>
      </c>
      <c r="L1560">
        <f>IF(D1560&lt;$A$15,$C$11,$C$11*(1-$G$11))</f>
        <v>200</v>
      </c>
      <c r="M1560">
        <f>IF(D1560&lt;$A$15,0,1)</f>
        <v>1</v>
      </c>
    </row>
    <row r="1561" spans="4:13" x14ac:dyDescent="0.2">
      <c r="D1561">
        <f t="shared" ref="D1561:D1624" si="93">1+D1560</f>
        <v>1538</v>
      </c>
      <c r="E1561" s="1">
        <f t="shared" si="91"/>
        <v>171.74094859771481</v>
      </c>
      <c r="F1561" s="1">
        <f t="shared" ref="F1561:F1624" si="94">E1561-$E$21</f>
        <v>-94.585119556280063</v>
      </c>
      <c r="G1561" s="1">
        <f t="shared" si="92"/>
        <v>8.3599659111098364E-42</v>
      </c>
      <c r="H1561" s="1">
        <f>G1561/$G$21</f>
        <v>5.8622970833433262E-43</v>
      </c>
      <c r="I1561">
        <f>IF($E$11&lt;=D1561, IF(D1561&lt;=$A$15,D1561-$E$11,$F$11),0)</f>
        <v>300</v>
      </c>
      <c r="J1561">
        <f>IF(D1561&lt;=$A$15,0,D1561-$A$15)</f>
        <v>1229</v>
      </c>
      <c r="K1561" s="5">
        <f>IF(D1561&lt;$E$11,H1561,0)</f>
        <v>0</v>
      </c>
      <c r="L1561">
        <f>IF(D1561&lt;$A$15,$C$11,$C$11*(1-$G$11))</f>
        <v>200</v>
      </c>
      <c r="M1561">
        <f>IF(D1561&lt;$A$15,0,1)</f>
        <v>1</v>
      </c>
    </row>
    <row r="1562" spans="4:13" x14ac:dyDescent="0.2">
      <c r="D1562">
        <f t="shared" si="93"/>
        <v>1539</v>
      </c>
      <c r="E1562" s="1">
        <f t="shared" si="91"/>
        <v>171.66398755657869</v>
      </c>
      <c r="F1562" s="1">
        <f t="shared" si="94"/>
        <v>-94.662080597416178</v>
      </c>
      <c r="G1562" s="1">
        <f t="shared" si="92"/>
        <v>7.7407091769536497E-42</v>
      </c>
      <c r="H1562" s="1">
        <f>G1562/$G$21</f>
        <v>5.4280528549475925E-43</v>
      </c>
      <c r="I1562">
        <f>IF($E$11&lt;=D1562, IF(D1562&lt;=$A$15,D1562-$E$11,$F$11),0)</f>
        <v>300</v>
      </c>
      <c r="J1562">
        <f>IF(D1562&lt;=$A$15,0,D1562-$A$15)</f>
        <v>1230</v>
      </c>
      <c r="K1562" s="5">
        <f>IF(D1562&lt;$E$11,H1562,0)</f>
        <v>0</v>
      </c>
      <c r="L1562">
        <f>IF(D1562&lt;$A$15,$C$11,$C$11*(1-$G$11))</f>
        <v>200</v>
      </c>
      <c r="M1562">
        <f>IF(D1562&lt;$A$15,0,1)</f>
        <v>1</v>
      </c>
    </row>
    <row r="1563" spans="4:13" x14ac:dyDescent="0.2">
      <c r="D1563">
        <f t="shared" si="93"/>
        <v>1540</v>
      </c>
      <c r="E1563" s="1">
        <f t="shared" si="91"/>
        <v>171.58702651544257</v>
      </c>
      <c r="F1563" s="1">
        <f t="shared" si="94"/>
        <v>-94.739041638552294</v>
      </c>
      <c r="G1563" s="1">
        <f t="shared" si="92"/>
        <v>7.1673233119942106E-42</v>
      </c>
      <c r="H1563" s="1">
        <f>G1563/$G$21</f>
        <v>5.0259748656922783E-43</v>
      </c>
      <c r="I1563">
        <f>IF($E$11&lt;=D1563, IF(D1563&lt;=$A$15,D1563-$E$11,$F$11),0)</f>
        <v>300</v>
      </c>
      <c r="J1563">
        <f>IF(D1563&lt;=$A$15,0,D1563-$A$15)</f>
        <v>1231</v>
      </c>
      <c r="K1563" s="5">
        <f>IF(D1563&lt;$E$11,H1563,0)</f>
        <v>0</v>
      </c>
      <c r="L1563">
        <f>IF(D1563&lt;$A$15,$C$11,$C$11*(1-$G$11))</f>
        <v>200</v>
      </c>
      <c r="M1563">
        <f>IF(D1563&lt;$A$15,0,1)</f>
        <v>1</v>
      </c>
    </row>
    <row r="1564" spans="4:13" x14ac:dyDescent="0.2">
      <c r="D1564">
        <f t="shared" si="93"/>
        <v>1541</v>
      </c>
      <c r="E1564" s="1">
        <f t="shared" si="91"/>
        <v>171.51006547430646</v>
      </c>
      <c r="F1564" s="1">
        <f t="shared" si="94"/>
        <v>-94.81600267968841</v>
      </c>
      <c r="G1564" s="1">
        <f t="shared" si="92"/>
        <v>6.6364104740687973E-42</v>
      </c>
      <c r="H1564" s="1">
        <f>G1564/$G$21</f>
        <v>4.6536804311966128E-43</v>
      </c>
      <c r="I1564">
        <f>IF($E$11&lt;=D1564, IF(D1564&lt;=$A$15,D1564-$E$11,$F$11),0)</f>
        <v>300</v>
      </c>
      <c r="J1564">
        <f>IF(D1564&lt;=$A$15,0,D1564-$A$15)</f>
        <v>1232</v>
      </c>
      <c r="K1564" s="5">
        <f>IF(D1564&lt;$E$11,H1564,0)</f>
        <v>0</v>
      </c>
      <c r="L1564">
        <f>IF(D1564&lt;$A$15,$C$11,$C$11*(1-$G$11))</f>
        <v>200</v>
      </c>
      <c r="M1564">
        <f>IF(D1564&lt;$A$15,0,1)</f>
        <v>1</v>
      </c>
    </row>
    <row r="1565" spans="4:13" x14ac:dyDescent="0.2">
      <c r="D1565">
        <f t="shared" si="93"/>
        <v>1542</v>
      </c>
      <c r="E1565" s="1">
        <f t="shared" si="91"/>
        <v>171.43310443317034</v>
      </c>
      <c r="F1565" s="1">
        <f t="shared" si="94"/>
        <v>-94.892963720824525</v>
      </c>
      <c r="G1565" s="1">
        <f t="shared" si="92"/>
        <v>6.1448245130267417E-42</v>
      </c>
      <c r="H1565" s="1">
        <f>G1565/$G$21</f>
        <v>4.3089633622191407E-43</v>
      </c>
      <c r="I1565">
        <f>IF($E$11&lt;=D1565, IF(D1565&lt;=$A$15,D1565-$E$11,$F$11),0)</f>
        <v>300</v>
      </c>
      <c r="J1565">
        <f>IF(D1565&lt;=$A$15,0,D1565-$A$15)</f>
        <v>1233</v>
      </c>
      <c r="K1565" s="5">
        <f>IF(D1565&lt;$E$11,H1565,0)</f>
        <v>0</v>
      </c>
      <c r="L1565">
        <f>IF(D1565&lt;$A$15,$C$11,$C$11*(1-$G$11))</f>
        <v>200</v>
      </c>
      <c r="M1565">
        <f>IF(D1565&lt;$A$15,0,1)</f>
        <v>1</v>
      </c>
    </row>
    <row r="1566" spans="4:13" x14ac:dyDescent="0.2">
      <c r="D1566">
        <f t="shared" si="93"/>
        <v>1543</v>
      </c>
      <c r="E1566" s="1">
        <f t="shared" si="91"/>
        <v>171.35614339203423</v>
      </c>
      <c r="F1566" s="1">
        <f t="shared" si="94"/>
        <v>-94.969924761960641</v>
      </c>
      <c r="G1566" s="1">
        <f t="shared" si="92"/>
        <v>5.6896523268766854E-42</v>
      </c>
      <c r="H1566" s="1">
        <f>G1566/$G$21</f>
        <v>3.9897808909436997E-43</v>
      </c>
      <c r="I1566">
        <f>IF($E$11&lt;=D1566, IF(D1566&lt;=$A$15,D1566-$E$11,$F$11),0)</f>
        <v>300</v>
      </c>
      <c r="J1566">
        <f>IF(D1566&lt;=$A$15,0,D1566-$A$15)</f>
        <v>1234</v>
      </c>
      <c r="K1566" s="5">
        <f>IF(D1566&lt;$E$11,H1566,0)</f>
        <v>0</v>
      </c>
      <c r="L1566">
        <f>IF(D1566&lt;$A$15,$C$11,$C$11*(1-$G$11))</f>
        <v>200</v>
      </c>
      <c r="M1566">
        <f>IF(D1566&lt;$A$15,0,1)</f>
        <v>1</v>
      </c>
    </row>
    <row r="1567" spans="4:13" x14ac:dyDescent="0.2">
      <c r="D1567">
        <f t="shared" si="93"/>
        <v>1544</v>
      </c>
      <c r="E1567" s="1">
        <f t="shared" si="91"/>
        <v>171.27918235089811</v>
      </c>
      <c r="F1567" s="1">
        <f t="shared" si="94"/>
        <v>-95.046885803096757</v>
      </c>
      <c r="G1567" s="1">
        <f t="shared" si="92"/>
        <v>5.2681965989599603E-42</v>
      </c>
      <c r="H1567" s="1">
        <f>G1567/$G$21</f>
        <v>3.6942415656886574E-43</v>
      </c>
      <c r="I1567">
        <f>IF($E$11&lt;=D1567, IF(D1567&lt;=$A$15,D1567-$E$11,$F$11),0)</f>
        <v>300</v>
      </c>
      <c r="J1567">
        <f>IF(D1567&lt;=$A$15,0,D1567-$A$15)</f>
        <v>1235</v>
      </c>
      <c r="K1567" s="5">
        <f>IF(D1567&lt;$E$11,H1567,0)</f>
        <v>0</v>
      </c>
      <c r="L1567">
        <f>IF(D1567&lt;$A$15,$C$11,$C$11*(1-$G$11))</f>
        <v>200</v>
      </c>
      <c r="M1567">
        <f>IF(D1567&lt;$A$15,0,1)</f>
        <v>1</v>
      </c>
    </row>
    <row r="1568" spans="4:13" x14ac:dyDescent="0.2">
      <c r="D1568">
        <f t="shared" si="93"/>
        <v>1545</v>
      </c>
      <c r="E1568" s="1">
        <f t="shared" si="91"/>
        <v>171.202221309762</v>
      </c>
      <c r="F1568" s="1">
        <f t="shared" si="94"/>
        <v>-95.123846844232872</v>
      </c>
      <c r="G1568" s="1">
        <f t="shared" si="92"/>
        <v>4.8779598138518765E-42</v>
      </c>
      <c r="H1568" s="1">
        <f>G1568/$G$21</f>
        <v>3.4205940423043553E-43</v>
      </c>
      <c r="I1568">
        <f>IF($E$11&lt;=D1568, IF(D1568&lt;=$A$15,D1568-$E$11,$F$11),0)</f>
        <v>300</v>
      </c>
      <c r="J1568">
        <f>IF(D1568&lt;=$A$15,0,D1568-$A$15)</f>
        <v>1236</v>
      </c>
      <c r="K1568" s="5">
        <f>IF(D1568&lt;$E$11,H1568,0)</f>
        <v>0</v>
      </c>
      <c r="L1568">
        <f>IF(D1568&lt;$A$15,$C$11,$C$11*(1-$G$11))</f>
        <v>200</v>
      </c>
      <c r="M1568">
        <f>IF(D1568&lt;$A$15,0,1)</f>
        <v>1</v>
      </c>
    </row>
    <row r="1569" spans="4:13" x14ac:dyDescent="0.2">
      <c r="D1569">
        <f t="shared" si="93"/>
        <v>1546</v>
      </c>
      <c r="E1569" s="1">
        <f t="shared" si="91"/>
        <v>171.12526026862588</v>
      </c>
      <c r="F1569" s="1">
        <f t="shared" si="94"/>
        <v>-95.200807885368988</v>
      </c>
      <c r="G1569" s="1">
        <f t="shared" si="92"/>
        <v>4.516629457270313E-42</v>
      </c>
      <c r="H1569" s="1">
        <f>G1569/$G$21</f>
        <v>3.167216705837406E-43</v>
      </c>
      <c r="I1569">
        <f>IF($E$11&lt;=D1569, IF(D1569&lt;=$A$15,D1569-$E$11,$F$11),0)</f>
        <v>300</v>
      </c>
      <c r="J1569">
        <f>IF(D1569&lt;=$A$15,0,D1569-$A$15)</f>
        <v>1237</v>
      </c>
      <c r="K1569" s="5">
        <f>IF(D1569&lt;$E$11,H1569,0)</f>
        <v>0</v>
      </c>
      <c r="L1569">
        <f>IF(D1569&lt;$A$15,$C$11,$C$11*(1-$G$11))</f>
        <v>200</v>
      </c>
      <c r="M1569">
        <f>IF(D1569&lt;$A$15,0,1)</f>
        <v>1</v>
      </c>
    </row>
    <row r="1570" spans="4:13" x14ac:dyDescent="0.2">
      <c r="D1570">
        <f t="shared" si="93"/>
        <v>1547</v>
      </c>
      <c r="E1570" s="1">
        <f t="shared" si="91"/>
        <v>171.04829922748976</v>
      </c>
      <c r="F1570" s="1">
        <f t="shared" si="94"/>
        <v>-95.277768926505104</v>
      </c>
      <c r="G1570" s="1">
        <f t="shared" si="92"/>
        <v>4.1820643122873802E-42</v>
      </c>
      <c r="H1570" s="1">
        <f>G1570/$G$21</f>
        <v>2.9326080609605986E-43</v>
      </c>
      <c r="I1570">
        <f>IF($E$11&lt;=D1570, IF(D1570&lt;=$A$15,D1570-$E$11,$F$11),0)</f>
        <v>300</v>
      </c>
      <c r="J1570">
        <f>IF(D1570&lt;=$A$15,0,D1570-$A$15)</f>
        <v>1238</v>
      </c>
      <c r="K1570" s="5">
        <f>IF(D1570&lt;$E$11,H1570,0)</f>
        <v>0</v>
      </c>
      <c r="L1570">
        <f>IF(D1570&lt;$A$15,$C$11,$C$11*(1-$G$11))</f>
        <v>200</v>
      </c>
      <c r="M1570">
        <f>IF(D1570&lt;$A$15,0,1)</f>
        <v>1</v>
      </c>
    </row>
    <row r="1571" spans="4:13" x14ac:dyDescent="0.2">
      <c r="D1571">
        <f t="shared" si="93"/>
        <v>1548</v>
      </c>
      <c r="E1571" s="1">
        <f t="shared" si="91"/>
        <v>170.97133818635365</v>
      </c>
      <c r="F1571" s="1">
        <f t="shared" si="94"/>
        <v>-95.354729967641219</v>
      </c>
      <c r="G1571" s="1">
        <f t="shared" si="92"/>
        <v>3.8722817706365116E-42</v>
      </c>
      <c r="H1571" s="1">
        <f>G1571/$G$21</f>
        <v>2.7153778342228104E-43</v>
      </c>
      <c r="I1571">
        <f>IF($E$11&lt;=D1571, IF(D1571&lt;=$A$15,D1571-$E$11,$F$11),0)</f>
        <v>300</v>
      </c>
      <c r="J1571">
        <f>IF(D1571&lt;=$A$15,0,D1571-$A$15)</f>
        <v>1239</v>
      </c>
      <c r="K1571" s="5">
        <f>IF(D1571&lt;$E$11,H1571,0)</f>
        <v>0</v>
      </c>
      <c r="L1571">
        <f>IF(D1571&lt;$A$15,$C$11,$C$11*(1-$G$11))</f>
        <v>200</v>
      </c>
      <c r="M1571">
        <f>IF(D1571&lt;$A$15,0,1)</f>
        <v>1</v>
      </c>
    </row>
    <row r="1572" spans="4:13" x14ac:dyDescent="0.2">
      <c r="D1572">
        <f t="shared" si="93"/>
        <v>1549</v>
      </c>
      <c r="E1572" s="1">
        <f t="shared" si="91"/>
        <v>170.89437714521753</v>
      </c>
      <c r="F1572" s="1">
        <f t="shared" si="94"/>
        <v>-95.431691008777335</v>
      </c>
      <c r="G1572" s="1">
        <f t="shared" si="92"/>
        <v>3.5854460839227416E-42</v>
      </c>
      <c r="H1572" s="1">
        <f>G1572/$G$21</f>
        <v>2.514238735391523E-43</v>
      </c>
      <c r="I1572">
        <f>IF($E$11&lt;=D1572, IF(D1572&lt;=$A$15,D1572-$E$11,$F$11),0)</f>
        <v>300</v>
      </c>
      <c r="J1572">
        <f>IF(D1572&lt;=$A$15,0,D1572-$A$15)</f>
        <v>1240</v>
      </c>
      <c r="K1572" s="5">
        <f>IF(D1572&lt;$E$11,H1572,0)</f>
        <v>0</v>
      </c>
      <c r="L1572">
        <f>IF(D1572&lt;$A$15,$C$11,$C$11*(1-$G$11))</f>
        <v>200</v>
      </c>
      <c r="M1572">
        <f>IF(D1572&lt;$A$15,0,1)</f>
        <v>1</v>
      </c>
    </row>
    <row r="1573" spans="4:13" x14ac:dyDescent="0.2">
      <c r="D1573">
        <f t="shared" si="93"/>
        <v>1550</v>
      </c>
      <c r="E1573" s="1">
        <f t="shared" si="91"/>
        <v>170.81741610408142</v>
      </c>
      <c r="F1573" s="1">
        <f t="shared" si="94"/>
        <v>-95.508652049913451</v>
      </c>
      <c r="G1573" s="1">
        <f t="shared" si="92"/>
        <v>3.3198574851136917E-42</v>
      </c>
      <c r="H1573" s="1">
        <f>G1573/$G$21</f>
        <v>2.3279988290662546E-43</v>
      </c>
      <c r="I1573">
        <f>IF($E$11&lt;=D1573, IF(D1573&lt;=$A$15,D1573-$E$11,$F$11),0)</f>
        <v>300</v>
      </c>
      <c r="J1573">
        <f>IF(D1573&lt;=$A$15,0,D1573-$A$15)</f>
        <v>1241</v>
      </c>
      <c r="K1573" s="5">
        <f>IF(D1573&lt;$E$11,H1573,0)</f>
        <v>0</v>
      </c>
      <c r="L1573">
        <f>IF(D1573&lt;$A$15,$C$11,$C$11*(1-$G$11))</f>
        <v>200</v>
      </c>
      <c r="M1573">
        <f>IF(D1573&lt;$A$15,0,1)</f>
        <v>1</v>
      </c>
    </row>
    <row r="1574" spans="4:13" x14ac:dyDescent="0.2">
      <c r="D1574">
        <f t="shared" si="93"/>
        <v>1551</v>
      </c>
      <c r="E1574" s="1">
        <f t="shared" si="91"/>
        <v>170.7404550629453</v>
      </c>
      <c r="F1574" s="1">
        <f t="shared" si="94"/>
        <v>-95.585613091049566</v>
      </c>
      <c r="G1574" s="1">
        <f t="shared" si="92"/>
        <v>3.0739421158460497E-42</v>
      </c>
      <c r="H1574" s="1">
        <f>G1574/$G$21</f>
        <v>2.1555544713576705E-43</v>
      </c>
      <c r="I1574">
        <f>IF($E$11&lt;=D1574, IF(D1574&lt;=$A$15,D1574-$E$11,$F$11),0)</f>
        <v>300</v>
      </c>
      <c r="J1574">
        <f>IF(D1574&lt;=$A$15,0,D1574-$A$15)</f>
        <v>1242</v>
      </c>
      <c r="K1574" s="5">
        <f>IF(D1574&lt;$E$11,H1574,0)</f>
        <v>0</v>
      </c>
      <c r="L1574">
        <f>IF(D1574&lt;$A$15,$C$11,$C$11*(1-$G$11))</f>
        <v>200</v>
      </c>
      <c r="M1574">
        <f>IF(D1574&lt;$A$15,0,1)</f>
        <v>1</v>
      </c>
    </row>
    <row r="1575" spans="4:13" x14ac:dyDescent="0.2">
      <c r="D1575">
        <f t="shared" si="93"/>
        <v>1552</v>
      </c>
      <c r="E1575" s="1">
        <f t="shared" si="91"/>
        <v>170.66349402180919</v>
      </c>
      <c r="F1575" s="1">
        <f t="shared" si="94"/>
        <v>-95.662574132185682</v>
      </c>
      <c r="G1575" s="1">
        <f t="shared" si="92"/>
        <v>2.8462426998574894E-42</v>
      </c>
      <c r="H1575" s="1">
        <f>G1575/$G$21</f>
        <v>1.9958837697756459E-43</v>
      </c>
      <c r="I1575">
        <f>IF($E$11&lt;=D1575, IF(D1575&lt;=$A$15,D1575-$E$11,$F$11),0)</f>
        <v>300</v>
      </c>
      <c r="J1575">
        <f>IF(D1575&lt;=$A$15,0,D1575-$A$15)</f>
        <v>1243</v>
      </c>
      <c r="K1575" s="5">
        <f>IF(D1575&lt;$E$11,H1575,0)</f>
        <v>0</v>
      </c>
      <c r="L1575">
        <f>IF(D1575&lt;$A$15,$C$11,$C$11*(1-$G$11))</f>
        <v>200</v>
      </c>
      <c r="M1575">
        <f>IF(D1575&lt;$A$15,0,1)</f>
        <v>1</v>
      </c>
    </row>
    <row r="1576" spans="4:13" x14ac:dyDescent="0.2">
      <c r="D1576">
        <f t="shared" si="93"/>
        <v>1553</v>
      </c>
      <c r="E1576" s="1">
        <f t="shared" si="91"/>
        <v>170.58653298067307</v>
      </c>
      <c r="F1576" s="1">
        <f t="shared" si="94"/>
        <v>-95.739535173321798</v>
      </c>
      <c r="G1576" s="1">
        <f t="shared" si="92"/>
        <v>2.6354099072754862E-42</v>
      </c>
      <c r="H1576" s="1">
        <f>G1576/$G$21</f>
        <v>1.8480405275700659E-43</v>
      </c>
      <c r="I1576">
        <f>IF($E$11&lt;=D1576, IF(D1576&lt;=$A$15,D1576-$E$11,$F$11),0)</f>
        <v>300</v>
      </c>
      <c r="J1576">
        <f>IF(D1576&lt;=$A$15,0,D1576-$A$15)</f>
        <v>1244</v>
      </c>
      <c r="K1576" s="5">
        <f>IF(D1576&lt;$E$11,H1576,0)</f>
        <v>0</v>
      </c>
      <c r="L1576">
        <f>IF(D1576&lt;$A$15,$C$11,$C$11*(1-$G$11))</f>
        <v>200</v>
      </c>
      <c r="M1576">
        <f>IF(D1576&lt;$A$15,0,1)</f>
        <v>1</v>
      </c>
    </row>
    <row r="1577" spans="4:13" x14ac:dyDescent="0.2">
      <c r="D1577">
        <f t="shared" si="93"/>
        <v>1554</v>
      </c>
      <c r="E1577" s="1">
        <f t="shared" si="91"/>
        <v>170.50957193953695</v>
      </c>
      <c r="F1577" s="1">
        <f t="shared" si="94"/>
        <v>-95.816496214457914</v>
      </c>
      <c r="G1577" s="1">
        <f t="shared" si="92"/>
        <v>2.4401943585884443E-42</v>
      </c>
      <c r="H1577" s="1">
        <f>G1577/$G$21</f>
        <v>1.7111486366389716E-43</v>
      </c>
      <c r="I1577">
        <f>IF($E$11&lt;=D1577, IF(D1577&lt;=$A$15,D1577-$E$11,$F$11),0)</f>
        <v>300</v>
      </c>
      <c r="J1577">
        <f>IF(D1577&lt;=$A$15,0,D1577-$A$15)</f>
        <v>1245</v>
      </c>
      <c r="K1577" s="5">
        <f>IF(D1577&lt;$E$11,H1577,0)</f>
        <v>0</v>
      </c>
      <c r="L1577">
        <f>IF(D1577&lt;$A$15,$C$11,$C$11*(1-$G$11))</f>
        <v>200</v>
      </c>
      <c r="M1577">
        <f>IF(D1577&lt;$A$15,0,1)</f>
        <v>1</v>
      </c>
    </row>
    <row r="1578" spans="4:13" x14ac:dyDescent="0.2">
      <c r="D1578">
        <f t="shared" si="93"/>
        <v>1555</v>
      </c>
      <c r="E1578" s="1">
        <f t="shared" si="91"/>
        <v>170.43261089840084</v>
      </c>
      <c r="F1578" s="1">
        <f t="shared" si="94"/>
        <v>-95.893457255594029</v>
      </c>
      <c r="G1578" s="1">
        <f t="shared" si="92"/>
        <v>2.2594392209152545E-42</v>
      </c>
      <c r="H1578" s="1">
        <f>G1578/$G$21</f>
        <v>1.5843968857768454E-43</v>
      </c>
      <c r="I1578">
        <f>IF($E$11&lt;=D1578, IF(D1578&lt;=$A$15,D1578-$E$11,$F$11),0)</f>
        <v>300</v>
      </c>
      <c r="J1578">
        <f>IF(D1578&lt;=$A$15,0,D1578-$A$15)</f>
        <v>1246</v>
      </c>
      <c r="K1578" s="5">
        <f>IF(D1578&lt;$E$11,H1578,0)</f>
        <v>0</v>
      </c>
      <c r="L1578">
        <f>IF(D1578&lt;$A$15,$C$11,$C$11*(1-$G$11))</f>
        <v>200</v>
      </c>
      <c r="M1578">
        <f>IF(D1578&lt;$A$15,0,1)</f>
        <v>1</v>
      </c>
    </row>
    <row r="1579" spans="4:13" x14ac:dyDescent="0.2">
      <c r="D1579">
        <f t="shared" si="93"/>
        <v>1556</v>
      </c>
      <c r="E1579" s="1">
        <f t="shared" si="91"/>
        <v>170.35564985726472</v>
      </c>
      <c r="F1579" s="1">
        <f t="shared" si="94"/>
        <v>-95.970418296730145</v>
      </c>
      <c r="G1579" s="1">
        <f t="shared" si="92"/>
        <v>2.0920733526993364E-42</v>
      </c>
      <c r="H1579" s="1">
        <f>G1579/$G$21</f>
        <v>1.4670341534970978E-43</v>
      </c>
      <c r="I1579">
        <f>IF($E$11&lt;=D1579, IF(D1579&lt;=$A$15,D1579-$E$11,$F$11),0)</f>
        <v>300</v>
      </c>
      <c r="J1579">
        <f>IF(D1579&lt;=$A$15,0,D1579-$A$15)</f>
        <v>1247</v>
      </c>
      <c r="K1579" s="5">
        <f>IF(D1579&lt;$E$11,H1579,0)</f>
        <v>0</v>
      </c>
      <c r="L1579">
        <f>IF(D1579&lt;$A$15,$C$11,$C$11*(1-$G$11))</f>
        <v>200</v>
      </c>
      <c r="M1579">
        <f>IF(D1579&lt;$A$15,0,1)</f>
        <v>1</v>
      </c>
    </row>
    <row r="1580" spans="4:13" x14ac:dyDescent="0.2">
      <c r="D1580">
        <f t="shared" si="93"/>
        <v>1557</v>
      </c>
      <c r="E1580" s="1">
        <f t="shared" si="91"/>
        <v>170.27868881612861</v>
      </c>
      <c r="F1580" s="1">
        <f t="shared" si="94"/>
        <v>-96.047379337866261</v>
      </c>
      <c r="G1580" s="1">
        <f t="shared" si="92"/>
        <v>1.9371049562031135E-42</v>
      </c>
      <c r="H1580" s="1">
        <f>G1580/$G$21</f>
        <v>1.3583649569417742E-43</v>
      </c>
      <c r="I1580">
        <f>IF($E$11&lt;=D1580, IF(D1580&lt;=$A$15,D1580-$E$11,$F$11),0)</f>
        <v>300</v>
      </c>
      <c r="J1580">
        <f>IF(D1580&lt;=$A$15,0,D1580-$A$15)</f>
        <v>1248</v>
      </c>
      <c r="K1580" s="5">
        <f>IF(D1580&lt;$E$11,H1580,0)</f>
        <v>0</v>
      </c>
      <c r="L1580">
        <f>IF(D1580&lt;$A$15,$C$11,$C$11*(1-$G$11))</f>
        <v>200</v>
      </c>
      <c r="M1580">
        <f>IF(D1580&lt;$A$15,0,1)</f>
        <v>1</v>
      </c>
    </row>
    <row r="1581" spans="4:13" x14ac:dyDescent="0.2">
      <c r="D1581">
        <f t="shared" si="93"/>
        <v>1558</v>
      </c>
      <c r="E1581" s="1">
        <f t="shared" si="91"/>
        <v>170.20172777499249</v>
      </c>
      <c r="F1581" s="1">
        <f t="shared" si="94"/>
        <v>-96.124340379002376</v>
      </c>
      <c r="G1581" s="1">
        <f t="shared" si="92"/>
        <v>1.7936157001880909E-42</v>
      </c>
      <c r="H1581" s="1">
        <f>G1581/$G$21</f>
        <v>1.2577453305016589E-43</v>
      </c>
      <c r="I1581">
        <f>IF($E$11&lt;=D1581, IF(D1581&lt;=$A$15,D1581-$E$11,$F$11),0)</f>
        <v>300</v>
      </c>
      <c r="J1581">
        <f>IF(D1581&lt;=$A$15,0,D1581-$A$15)</f>
        <v>1249</v>
      </c>
      <c r="K1581" s="5">
        <f>IF(D1581&lt;$E$11,H1581,0)</f>
        <v>0</v>
      </c>
      <c r="L1581">
        <f>IF(D1581&lt;$A$15,$C$11,$C$11*(1-$G$11))</f>
        <v>200</v>
      </c>
      <c r="M1581">
        <f>IF(D1581&lt;$A$15,0,1)</f>
        <v>1</v>
      </c>
    </row>
    <row r="1582" spans="4:13" x14ac:dyDescent="0.2">
      <c r="D1582">
        <f t="shared" si="93"/>
        <v>1559</v>
      </c>
      <c r="E1582" s="1">
        <f t="shared" si="91"/>
        <v>170.12476673385638</v>
      </c>
      <c r="F1582" s="1">
        <f t="shared" si="94"/>
        <v>-96.201301420138492</v>
      </c>
      <c r="G1582" s="1">
        <f t="shared" si="92"/>
        <v>1.6607552779519569E-42</v>
      </c>
      <c r="H1582" s="1">
        <f>G1582/$G$21</f>
        <v>1.1645790097237728E-43</v>
      </c>
      <c r="I1582">
        <f>IF($E$11&lt;=D1582, IF(D1582&lt;=$A$15,D1582-$E$11,$F$11),0)</f>
        <v>300</v>
      </c>
      <c r="J1582">
        <f>IF(D1582&lt;=$A$15,0,D1582-$A$15)</f>
        <v>1250</v>
      </c>
      <c r="K1582" s="5">
        <f>IF(D1582&lt;$E$11,H1582,0)</f>
        <v>0</v>
      </c>
      <c r="L1582">
        <f>IF(D1582&lt;$A$15,$C$11,$C$11*(1-$G$11))</f>
        <v>200</v>
      </c>
      <c r="M1582">
        <f>IF(D1582&lt;$A$15,0,1)</f>
        <v>1</v>
      </c>
    </row>
    <row r="1583" spans="4:13" x14ac:dyDescent="0.2">
      <c r="D1583">
        <f t="shared" si="93"/>
        <v>1560</v>
      </c>
      <c r="E1583" s="1">
        <f t="shared" si="91"/>
        <v>170.04780569272026</v>
      </c>
      <c r="F1583" s="1">
        <f t="shared" si="94"/>
        <v>-96.278262461274608</v>
      </c>
      <c r="G1583" s="1">
        <f t="shared" si="92"/>
        <v>1.5377363684740536E-42</v>
      </c>
      <c r="H1583" s="1">
        <f>G1583/$G$21</f>
        <v>1.0783138978923958E-43</v>
      </c>
      <c r="I1583">
        <f>IF($E$11&lt;=D1583, IF(D1583&lt;=$A$15,D1583-$E$11,$F$11),0)</f>
        <v>300</v>
      </c>
      <c r="J1583">
        <f>IF(D1583&lt;=$A$15,0,D1583-$A$15)</f>
        <v>1251</v>
      </c>
      <c r="K1583" s="5">
        <f>IF(D1583&lt;$E$11,H1583,0)</f>
        <v>0</v>
      </c>
      <c r="L1583">
        <f>IF(D1583&lt;$A$15,$C$11,$C$11*(1-$G$11))</f>
        <v>200</v>
      </c>
      <c r="M1583">
        <f>IF(D1583&lt;$A$15,0,1)</f>
        <v>1</v>
      </c>
    </row>
    <row r="1584" spans="4:13" x14ac:dyDescent="0.2">
      <c r="D1584">
        <f t="shared" si="93"/>
        <v>1561</v>
      </c>
      <c r="E1584" s="1">
        <f t="shared" si="91"/>
        <v>169.97084465158414</v>
      </c>
      <c r="F1584" s="1">
        <f t="shared" si="94"/>
        <v>-96.355223502410723</v>
      </c>
      <c r="G1584" s="1">
        <f t="shared" si="92"/>
        <v>1.4238299708093269E-42</v>
      </c>
      <c r="H1584" s="1">
        <f>G1584/$G$21</f>
        <v>9.984387943448236E-44</v>
      </c>
      <c r="I1584">
        <f>IF($E$11&lt;=D1584, IF(D1584&lt;=$A$15,D1584-$E$11,$F$11),0)</f>
        <v>300</v>
      </c>
      <c r="J1584">
        <f>IF(D1584&lt;=$A$15,0,D1584-$A$15)</f>
        <v>1252</v>
      </c>
      <c r="K1584" s="5">
        <f>IF(D1584&lt;$E$11,H1584,0)</f>
        <v>0</v>
      </c>
      <c r="L1584">
        <f>IF(D1584&lt;$A$15,$C$11,$C$11*(1-$G$11))</f>
        <v>200</v>
      </c>
      <c r="M1584">
        <f>IF(D1584&lt;$A$15,0,1)</f>
        <v>1</v>
      </c>
    </row>
    <row r="1585" spans="4:13" x14ac:dyDescent="0.2">
      <c r="D1585">
        <f t="shared" si="93"/>
        <v>1562</v>
      </c>
      <c r="E1585" s="1">
        <f t="shared" si="91"/>
        <v>169.89388361044803</v>
      </c>
      <c r="F1585" s="1">
        <f t="shared" si="94"/>
        <v>-96.432184543546839</v>
      </c>
      <c r="G1585" s="1">
        <f t="shared" si="92"/>
        <v>1.3183610840827268E-42</v>
      </c>
      <c r="H1585" s="1">
        <f>G1585/$G$21</f>
        <v>9.2448036513410754E-44</v>
      </c>
      <c r="I1585">
        <f>IF($E$11&lt;=D1585, IF(D1585&lt;=$A$15,D1585-$E$11,$F$11),0)</f>
        <v>300</v>
      </c>
      <c r="J1585">
        <f>IF(D1585&lt;=$A$15,0,D1585-$A$15)</f>
        <v>1253</v>
      </c>
      <c r="K1585" s="5">
        <f>IF(D1585&lt;$E$11,H1585,0)</f>
        <v>0</v>
      </c>
      <c r="L1585">
        <f>IF(D1585&lt;$A$15,$C$11,$C$11*(1-$G$11))</f>
        <v>200</v>
      </c>
      <c r="M1585">
        <f>IF(D1585&lt;$A$15,0,1)</f>
        <v>1</v>
      </c>
    </row>
    <row r="1586" spans="4:13" x14ac:dyDescent="0.2">
      <c r="D1586">
        <f t="shared" si="93"/>
        <v>1563</v>
      </c>
      <c r="E1586" s="1">
        <f t="shared" si="91"/>
        <v>169.81692256931191</v>
      </c>
      <c r="F1586" s="1">
        <f t="shared" si="94"/>
        <v>-96.509145584682955</v>
      </c>
      <c r="G1586" s="1">
        <f t="shared" si="92"/>
        <v>1.2207047074840217E-42</v>
      </c>
      <c r="H1586" s="1">
        <f>G1586/$G$21</f>
        <v>8.5600033808714746E-44</v>
      </c>
      <c r="I1586">
        <f>IF($E$11&lt;=D1586, IF(D1586&lt;=$A$15,D1586-$E$11,$F$11),0)</f>
        <v>300</v>
      </c>
      <c r="J1586">
        <f>IF(D1586&lt;=$A$15,0,D1586-$A$15)</f>
        <v>1254</v>
      </c>
      <c r="K1586" s="5">
        <f>IF(D1586&lt;$E$11,H1586,0)</f>
        <v>0</v>
      </c>
      <c r="L1586">
        <f>IF(D1586&lt;$A$15,$C$11,$C$11*(1-$G$11))</f>
        <v>200</v>
      </c>
      <c r="M1586">
        <f>IF(D1586&lt;$A$15,0,1)</f>
        <v>1</v>
      </c>
    </row>
    <row r="1587" spans="4:13" x14ac:dyDescent="0.2">
      <c r="D1587">
        <f t="shared" si="93"/>
        <v>1564</v>
      </c>
      <c r="E1587" s="1">
        <f t="shared" si="91"/>
        <v>169.7399615281758</v>
      </c>
      <c r="F1587" s="1">
        <f t="shared" si="94"/>
        <v>-96.58610662581907</v>
      </c>
      <c r="G1587" s="1">
        <f t="shared" si="92"/>
        <v>1.1302821365592937E-42</v>
      </c>
      <c r="H1587" s="1">
        <f>G1587/$G$21</f>
        <v>7.9259290563625781E-44</v>
      </c>
      <c r="I1587">
        <f>IF($E$11&lt;=D1587, IF(D1587&lt;=$A$15,D1587-$E$11,$F$11),0)</f>
        <v>300</v>
      </c>
      <c r="J1587">
        <f>IF(D1587&lt;=$A$15,0,D1587-$A$15)</f>
        <v>1255</v>
      </c>
      <c r="K1587" s="5">
        <f>IF(D1587&lt;$E$11,H1587,0)</f>
        <v>0</v>
      </c>
      <c r="L1587">
        <f>IF(D1587&lt;$A$15,$C$11,$C$11*(1-$G$11))</f>
        <v>200</v>
      </c>
      <c r="M1587">
        <f>IF(D1587&lt;$A$15,0,1)</f>
        <v>1</v>
      </c>
    </row>
    <row r="1588" spans="4:13" x14ac:dyDescent="0.2">
      <c r="D1588">
        <f t="shared" si="93"/>
        <v>1565</v>
      </c>
      <c r="E1588" s="1">
        <f t="shared" si="91"/>
        <v>169.66300048703968</v>
      </c>
      <c r="F1588" s="1">
        <f t="shared" si="94"/>
        <v>-96.663067666955186</v>
      </c>
      <c r="G1588" s="1">
        <f t="shared" si="92"/>
        <v>1.0465575338512111E-42</v>
      </c>
      <c r="H1588" s="1">
        <f>G1588/$G$21</f>
        <v>7.3388232003358124E-44</v>
      </c>
      <c r="I1588">
        <f>IF($E$11&lt;=D1588, IF(D1588&lt;=$A$15,D1588-$E$11,$F$11),0)</f>
        <v>300</v>
      </c>
      <c r="J1588">
        <f>IF(D1588&lt;=$A$15,0,D1588-$A$15)</f>
        <v>1256</v>
      </c>
      <c r="K1588" s="5">
        <f>IF(D1588&lt;$E$11,H1588,0)</f>
        <v>0</v>
      </c>
      <c r="L1588">
        <f>IF(D1588&lt;$A$15,$C$11,$C$11*(1-$G$11))</f>
        <v>200</v>
      </c>
      <c r="M1588">
        <f>IF(D1588&lt;$A$15,0,1)</f>
        <v>1</v>
      </c>
    </row>
    <row r="1589" spans="4:13" x14ac:dyDescent="0.2">
      <c r="D1589">
        <f t="shared" si="93"/>
        <v>1566</v>
      </c>
      <c r="E1589" s="1">
        <f t="shared" si="91"/>
        <v>169.58603944590357</v>
      </c>
      <c r="F1589" s="1">
        <f t="shared" si="94"/>
        <v>-96.740028708091302</v>
      </c>
      <c r="G1589" s="1">
        <f t="shared" si="92"/>
        <v>9.6903475356594852E-43</v>
      </c>
      <c r="H1589" s="1">
        <f>G1589/$G$21</f>
        <v>6.7952066669776909E-44</v>
      </c>
      <c r="I1589">
        <f>IF($E$11&lt;=D1589, IF(D1589&lt;=$A$15,D1589-$E$11,$F$11),0)</f>
        <v>300</v>
      </c>
      <c r="J1589">
        <f>IF(D1589&lt;=$A$15,0,D1589-$A$15)</f>
        <v>1257</v>
      </c>
      <c r="K1589" s="5">
        <f>IF(D1589&lt;$E$11,H1589,0)</f>
        <v>0</v>
      </c>
      <c r="L1589">
        <f>IF(D1589&lt;$A$15,$C$11,$C$11*(1-$G$11))</f>
        <v>200</v>
      </c>
      <c r="M1589">
        <f>IF(D1589&lt;$A$15,0,1)</f>
        <v>1</v>
      </c>
    </row>
    <row r="1590" spans="4:13" x14ac:dyDescent="0.2">
      <c r="D1590">
        <f t="shared" si="93"/>
        <v>1567</v>
      </c>
      <c r="E1590" s="1">
        <f t="shared" si="91"/>
        <v>169.50907840476745</v>
      </c>
      <c r="F1590" s="1">
        <f t="shared" si="94"/>
        <v>-96.816989749227417</v>
      </c>
      <c r="G1590" s="1">
        <f t="shared" si="92"/>
        <v>8.9725440144996359E-43</v>
      </c>
      <c r="H1590" s="1">
        <f>G1590/$G$21</f>
        <v>6.291858024979422E-44</v>
      </c>
      <c r="I1590">
        <f>IF($E$11&lt;=D1590, IF(D1590&lt;=$A$15,D1590-$E$11,$F$11),0)</f>
        <v>300</v>
      </c>
      <c r="J1590">
        <f>IF(D1590&lt;=$A$15,0,D1590-$A$15)</f>
        <v>1258</v>
      </c>
      <c r="K1590" s="5">
        <f>IF(D1590&lt;$E$11,H1590,0)</f>
        <v>0</v>
      </c>
      <c r="L1590">
        <f>IF(D1590&lt;$A$15,$C$11,$C$11*(1-$G$11))</f>
        <v>200</v>
      </c>
      <c r="M1590">
        <f>IF(D1590&lt;$A$15,0,1)</f>
        <v>1</v>
      </c>
    </row>
    <row r="1591" spans="4:13" x14ac:dyDescent="0.2">
      <c r="D1591">
        <f t="shared" si="93"/>
        <v>1568</v>
      </c>
      <c r="E1591" s="1">
        <f t="shared" si="91"/>
        <v>169.43211736363133</v>
      </c>
      <c r="F1591" s="1">
        <f t="shared" si="94"/>
        <v>-96.893950790363533</v>
      </c>
      <c r="G1591" s="1">
        <f t="shared" si="92"/>
        <v>8.3079111245368051E-43</v>
      </c>
      <c r="H1591" s="1">
        <f>G1591/$G$21</f>
        <v>5.825794467573613E-44</v>
      </c>
      <c r="I1591">
        <f>IF($E$11&lt;=D1591, IF(D1591&lt;=$A$15,D1591-$E$11,$F$11),0)</f>
        <v>300</v>
      </c>
      <c r="J1591">
        <f>IF(D1591&lt;=$A$15,0,D1591-$A$15)</f>
        <v>1259</v>
      </c>
      <c r="K1591" s="5">
        <f>IF(D1591&lt;$E$11,H1591,0)</f>
        <v>0</v>
      </c>
      <c r="L1591">
        <f>IF(D1591&lt;$A$15,$C$11,$C$11*(1-$G$11))</f>
        <v>200</v>
      </c>
      <c r="M1591">
        <f>IF(D1591&lt;$A$15,0,1)</f>
        <v>1</v>
      </c>
    </row>
    <row r="1592" spans="4:13" x14ac:dyDescent="0.2">
      <c r="D1592">
        <f t="shared" si="93"/>
        <v>1569</v>
      </c>
      <c r="E1592" s="1">
        <f t="shared" si="91"/>
        <v>169.35515632249522</v>
      </c>
      <c r="F1592" s="1">
        <f t="shared" si="94"/>
        <v>-96.970911831499649</v>
      </c>
      <c r="G1592" s="1">
        <f t="shared" si="92"/>
        <v>7.6925103004971393E-43</v>
      </c>
      <c r="H1592" s="1">
        <f>G1592/$G$21</f>
        <v>5.394254136642303E-44</v>
      </c>
      <c r="I1592">
        <f>IF($E$11&lt;=D1592, IF(D1592&lt;=$A$15,D1592-$E$11,$F$11),0)</f>
        <v>300</v>
      </c>
      <c r="J1592">
        <f>IF(D1592&lt;=$A$15,0,D1592-$A$15)</f>
        <v>1260</v>
      </c>
      <c r="K1592" s="5">
        <f>IF(D1592&lt;$E$11,H1592,0)</f>
        <v>0</v>
      </c>
      <c r="L1592">
        <f>IF(D1592&lt;$A$15,$C$11,$C$11*(1-$G$11))</f>
        <v>200</v>
      </c>
      <c r="M1592">
        <f>IF(D1592&lt;$A$15,0,1)</f>
        <v>1</v>
      </c>
    </row>
    <row r="1593" spans="4:13" x14ac:dyDescent="0.2">
      <c r="D1593">
        <f t="shared" si="93"/>
        <v>1570</v>
      </c>
      <c r="E1593" s="1">
        <f t="shared" si="91"/>
        <v>169.2781952813591</v>
      </c>
      <c r="F1593" s="1">
        <f t="shared" si="94"/>
        <v>-97.047872872635764</v>
      </c>
      <c r="G1593" s="1">
        <f t="shared" si="92"/>
        <v>7.1226947226826261E-43</v>
      </c>
      <c r="H1593" s="1">
        <f>G1593/$G$21</f>
        <v>4.9946797561503434E-44</v>
      </c>
      <c r="I1593">
        <f>IF($E$11&lt;=D1593, IF(D1593&lt;=$A$15,D1593-$E$11,$F$11),0)</f>
        <v>300</v>
      </c>
      <c r="J1593">
        <f>IF(D1593&lt;=$A$15,0,D1593-$A$15)</f>
        <v>1261</v>
      </c>
      <c r="K1593" s="5">
        <f>IF(D1593&lt;$E$11,H1593,0)</f>
        <v>0</v>
      </c>
      <c r="L1593">
        <f>IF(D1593&lt;$A$15,$C$11,$C$11*(1-$G$11))</f>
        <v>200</v>
      </c>
      <c r="M1593">
        <f>IF(D1593&lt;$A$15,0,1)</f>
        <v>1</v>
      </c>
    </row>
    <row r="1594" spans="4:13" x14ac:dyDescent="0.2">
      <c r="D1594">
        <f t="shared" si="93"/>
        <v>1571</v>
      </c>
      <c r="E1594" s="1">
        <f t="shared" si="91"/>
        <v>169.20123424022299</v>
      </c>
      <c r="F1594" s="1">
        <f t="shared" si="94"/>
        <v>-97.12483391377188</v>
      </c>
      <c r="G1594" s="1">
        <f t="shared" si="92"/>
        <v>6.5950877061876999E-43</v>
      </c>
      <c r="H1594" s="1">
        <f>G1594/$G$21</f>
        <v>4.6247034779170428E-44</v>
      </c>
      <c r="I1594">
        <f>IF($E$11&lt;=D1594, IF(D1594&lt;=$A$15,D1594-$E$11,$F$11),0)</f>
        <v>300</v>
      </c>
      <c r="J1594">
        <f>IF(D1594&lt;=$A$15,0,D1594-$A$15)</f>
        <v>1262</v>
      </c>
      <c r="K1594" s="5">
        <f>IF(D1594&lt;$E$11,H1594,0)</f>
        <v>0</v>
      </c>
      <c r="L1594">
        <f>IF(D1594&lt;$A$15,$C$11,$C$11*(1-$G$11))</f>
        <v>200</v>
      </c>
      <c r="M1594">
        <f>IF(D1594&lt;$A$15,0,1)</f>
        <v>1</v>
      </c>
    </row>
    <row r="1595" spans="4:13" x14ac:dyDescent="0.2">
      <c r="D1595">
        <f t="shared" si="93"/>
        <v>1572</v>
      </c>
      <c r="E1595" s="1">
        <f t="shared" si="91"/>
        <v>169.12427319908687</v>
      </c>
      <c r="F1595" s="1">
        <f t="shared" si="94"/>
        <v>-97.201794954907996</v>
      </c>
      <c r="G1595" s="1">
        <f t="shared" si="92"/>
        <v>6.1065626909146144E-43</v>
      </c>
      <c r="H1595" s="1">
        <f>G1595/$G$21</f>
        <v>4.2821328499232417E-44</v>
      </c>
      <c r="I1595">
        <f>IF($E$11&lt;=D1595, IF(D1595&lt;=$A$15,D1595-$E$11,$F$11),0)</f>
        <v>300</v>
      </c>
      <c r="J1595">
        <f>IF(D1595&lt;=$A$15,0,D1595-$A$15)</f>
        <v>1263</v>
      </c>
      <c r="K1595" s="5">
        <f>IF(D1595&lt;$E$11,H1595,0)</f>
        <v>0</v>
      </c>
      <c r="L1595">
        <f>IF(D1595&lt;$A$15,$C$11,$C$11*(1-$G$11))</f>
        <v>200</v>
      </c>
      <c r="M1595">
        <f>IF(D1595&lt;$A$15,0,1)</f>
        <v>1</v>
      </c>
    </row>
    <row r="1596" spans="4:13" x14ac:dyDescent="0.2">
      <c r="D1596">
        <f t="shared" si="93"/>
        <v>1573</v>
      </c>
      <c r="E1596" s="1">
        <f t="shared" si="91"/>
        <v>169.04731215795076</v>
      </c>
      <c r="F1596" s="1">
        <f t="shared" si="94"/>
        <v>-97.278755996044111</v>
      </c>
      <c r="G1596" s="1">
        <f t="shared" si="92"/>
        <v>5.6542247138098997E-43</v>
      </c>
      <c r="H1596" s="1">
        <f>G1596/$G$21</f>
        <v>3.9649378240030519E-44</v>
      </c>
      <c r="I1596">
        <f>IF($E$11&lt;=D1596, IF(D1596&lt;=$A$15,D1596-$E$11,$F$11),0)</f>
        <v>300</v>
      </c>
      <c r="J1596">
        <f>IF(D1596&lt;=$A$15,0,D1596-$A$15)</f>
        <v>1264</v>
      </c>
      <c r="K1596" s="5">
        <f>IF(D1596&lt;$E$11,H1596,0)</f>
        <v>0</v>
      </c>
      <c r="L1596">
        <f>IF(D1596&lt;$A$15,$C$11,$C$11*(1-$G$11))</f>
        <v>200</v>
      </c>
      <c r="M1596">
        <f>IF(D1596&lt;$A$15,0,1)</f>
        <v>1</v>
      </c>
    </row>
    <row r="1597" spans="4:13" x14ac:dyDescent="0.2">
      <c r="D1597">
        <f t="shared" si="93"/>
        <v>1574</v>
      </c>
      <c r="E1597" s="1">
        <f t="shared" si="91"/>
        <v>168.97035111681464</v>
      </c>
      <c r="F1597" s="1">
        <f t="shared" si="94"/>
        <v>-97.355717037180227</v>
      </c>
      <c r="G1597" s="1">
        <f t="shared" si="92"/>
        <v>5.2353932535277508E-43</v>
      </c>
      <c r="H1597" s="1">
        <f>G1597/$G$21</f>
        <v>3.6712387259287978E-44</v>
      </c>
      <c r="I1597">
        <f>IF($E$11&lt;=D1597, IF(D1597&lt;=$A$15,D1597-$E$11,$F$11),0)</f>
        <v>300</v>
      </c>
      <c r="J1597">
        <f>IF(D1597&lt;=$A$15,0,D1597-$A$15)</f>
        <v>1265</v>
      </c>
      <c r="K1597" s="5">
        <f>IF(D1597&lt;$E$11,H1597,0)</f>
        <v>0</v>
      </c>
      <c r="L1597">
        <f>IF(D1597&lt;$A$15,$C$11,$C$11*(1-$G$11))</f>
        <v>200</v>
      </c>
      <c r="M1597">
        <f>IF(D1597&lt;$A$15,0,1)</f>
        <v>1</v>
      </c>
    </row>
    <row r="1598" spans="4:13" x14ac:dyDescent="0.2">
      <c r="D1598">
        <f t="shared" si="93"/>
        <v>1575</v>
      </c>
      <c r="E1598" s="1">
        <f t="shared" si="91"/>
        <v>168.89339007567852</v>
      </c>
      <c r="F1598" s="1">
        <f t="shared" si="94"/>
        <v>-97.432678078316343</v>
      </c>
      <c r="G1598" s="1">
        <f t="shared" si="92"/>
        <v>4.8475863458590904E-43</v>
      </c>
      <c r="H1598" s="1">
        <f>G1598/$G$21</f>
        <v>3.3992951166007824E-44</v>
      </c>
      <c r="I1598">
        <f>IF($E$11&lt;=D1598, IF(D1598&lt;=$A$15,D1598-$E$11,$F$11),0)</f>
        <v>300</v>
      </c>
      <c r="J1598">
        <f>IF(D1598&lt;=$A$15,0,D1598-$A$15)</f>
        <v>1266</v>
      </c>
      <c r="K1598" s="5">
        <f>IF(D1598&lt;$E$11,H1598,0)</f>
        <v>0</v>
      </c>
      <c r="L1598">
        <f>IF(D1598&lt;$A$15,$C$11,$C$11*(1-$G$11))</f>
        <v>200</v>
      </c>
      <c r="M1598">
        <f>IF(D1598&lt;$A$15,0,1)</f>
        <v>1</v>
      </c>
    </row>
    <row r="1599" spans="4:13" x14ac:dyDescent="0.2">
      <c r="D1599">
        <f t="shared" si="93"/>
        <v>1576</v>
      </c>
      <c r="E1599" s="1">
        <f t="shared" si="91"/>
        <v>168.81642903454241</v>
      </c>
      <c r="F1599" s="1">
        <f t="shared" si="94"/>
        <v>-97.509639119452459</v>
      </c>
      <c r="G1599" s="1">
        <f t="shared" si="92"/>
        <v>4.4885058757955109E-43</v>
      </c>
      <c r="H1599" s="1">
        <f>G1599/$G$21</f>
        <v>3.1474954783340974E-44</v>
      </c>
      <c r="I1599">
        <f>IF($E$11&lt;=D1599, IF(D1599&lt;=$A$15,D1599-$E$11,$F$11),0)</f>
        <v>300</v>
      </c>
      <c r="J1599">
        <f>IF(D1599&lt;=$A$15,0,D1599-$A$15)</f>
        <v>1267</v>
      </c>
      <c r="K1599" s="5">
        <f>IF(D1599&lt;$E$11,H1599,0)</f>
        <v>0</v>
      </c>
      <c r="L1599">
        <f>IF(D1599&lt;$A$15,$C$11,$C$11*(1-$G$11))</f>
        <v>200</v>
      </c>
      <c r="M1599">
        <f>IF(D1599&lt;$A$15,0,1)</f>
        <v>1</v>
      </c>
    </row>
    <row r="1600" spans="4:13" x14ac:dyDescent="0.2">
      <c r="D1600">
        <f t="shared" si="93"/>
        <v>1577</v>
      </c>
      <c r="E1600" s="1">
        <f t="shared" si="91"/>
        <v>168.73946799340629</v>
      </c>
      <c r="F1600" s="1">
        <f t="shared" si="94"/>
        <v>-97.586600160588574</v>
      </c>
      <c r="G1600" s="1">
        <f t="shared" si="92"/>
        <v>4.1560239590699697E-43</v>
      </c>
      <c r="H1600" s="1">
        <f>G1600/$G$21</f>
        <v>2.9143476651242011E-44</v>
      </c>
      <c r="I1600">
        <f>IF($E$11&lt;=D1600, IF(D1600&lt;=$A$15,D1600-$E$11,$F$11),0)</f>
        <v>300</v>
      </c>
      <c r="J1600">
        <f>IF(D1600&lt;=$A$15,0,D1600-$A$15)</f>
        <v>1268</v>
      </c>
      <c r="K1600" s="5">
        <f>IF(D1600&lt;$E$11,H1600,0)</f>
        <v>0</v>
      </c>
      <c r="L1600">
        <f>IF(D1600&lt;$A$15,$C$11,$C$11*(1-$G$11))</f>
        <v>200</v>
      </c>
      <c r="M1600">
        <f>IF(D1600&lt;$A$15,0,1)</f>
        <v>1</v>
      </c>
    </row>
    <row r="1601" spans="4:13" x14ac:dyDescent="0.2">
      <c r="D1601">
        <f t="shared" si="93"/>
        <v>1578</v>
      </c>
      <c r="E1601" s="1">
        <f t="shared" si="91"/>
        <v>168.66250695227018</v>
      </c>
      <c r="F1601" s="1">
        <f t="shared" si="94"/>
        <v>-97.66356120172469</v>
      </c>
      <c r="G1601" s="1">
        <f t="shared" si="92"/>
        <v>3.8481703324722427E-43</v>
      </c>
      <c r="H1601" s="1">
        <f>G1601/$G$21</f>
        <v>2.6984700603002201E-44</v>
      </c>
      <c r="I1601">
        <f>IF($E$11&lt;=D1601, IF(D1601&lt;=$A$15,D1601-$E$11,$F$11),0)</f>
        <v>300</v>
      </c>
      <c r="J1601">
        <f>IF(D1601&lt;=$A$15,0,D1601-$A$15)</f>
        <v>1269</v>
      </c>
      <c r="K1601" s="5">
        <f>IF(D1601&lt;$E$11,H1601,0)</f>
        <v>0</v>
      </c>
      <c r="L1601">
        <f>IF(D1601&lt;$A$15,$C$11,$C$11*(1-$G$11))</f>
        <v>200</v>
      </c>
      <c r="M1601">
        <f>IF(D1601&lt;$A$15,0,1)</f>
        <v>1</v>
      </c>
    </row>
    <row r="1602" spans="4:13" x14ac:dyDescent="0.2">
      <c r="D1602">
        <f t="shared" si="93"/>
        <v>1579</v>
      </c>
      <c r="E1602" s="1">
        <f t="shared" si="91"/>
        <v>168.58554591113406</v>
      </c>
      <c r="F1602" s="1">
        <f t="shared" si="94"/>
        <v>-97.740522242860806</v>
      </c>
      <c r="G1602" s="1">
        <f t="shared" si="92"/>
        <v>3.5631206782150847E-43</v>
      </c>
      <c r="H1602" s="1">
        <f>G1602/$G$21</f>
        <v>2.4985833891669023E-44</v>
      </c>
      <c r="I1602">
        <f>IF($E$11&lt;=D1602, IF(D1602&lt;=$A$15,D1602-$E$11,$F$11),0)</f>
        <v>300</v>
      </c>
      <c r="J1602">
        <f>IF(D1602&lt;=$A$15,0,D1602-$A$15)</f>
        <v>1270</v>
      </c>
      <c r="K1602" s="5">
        <f>IF(D1602&lt;$E$11,H1602,0)</f>
        <v>0</v>
      </c>
      <c r="L1602">
        <f>IF(D1602&lt;$A$15,$C$11,$C$11*(1-$G$11))</f>
        <v>200</v>
      </c>
      <c r="M1602">
        <f>IF(D1602&lt;$A$15,0,1)</f>
        <v>1</v>
      </c>
    </row>
    <row r="1603" spans="4:13" x14ac:dyDescent="0.2">
      <c r="D1603">
        <f t="shared" si="93"/>
        <v>1580</v>
      </c>
      <c r="E1603" s="1">
        <f t="shared" si="91"/>
        <v>168.50858486999795</v>
      </c>
      <c r="F1603" s="1">
        <f t="shared" si="94"/>
        <v>-97.817483283996921</v>
      </c>
      <c r="G1603" s="1">
        <f t="shared" si="92"/>
        <v>3.2991858131621573E-43</v>
      </c>
      <c r="H1603" s="1">
        <f>G1603/$G$21</f>
        <v>2.3135031381175313E-44</v>
      </c>
      <c r="I1603">
        <f>IF($E$11&lt;=D1603, IF(D1603&lt;=$A$15,D1603-$E$11,$F$11),0)</f>
        <v>300</v>
      </c>
      <c r="J1603">
        <f>IF(D1603&lt;=$A$15,0,D1603-$A$15)</f>
        <v>1271</v>
      </c>
      <c r="K1603" s="5">
        <f>IF(D1603&lt;$E$11,H1603,0)</f>
        <v>0</v>
      </c>
      <c r="L1603">
        <f>IF(D1603&lt;$A$15,$C$11,$C$11*(1-$G$11))</f>
        <v>200</v>
      </c>
      <c r="M1603">
        <f>IF(D1603&lt;$A$15,0,1)</f>
        <v>1</v>
      </c>
    </row>
    <row r="1604" spans="4:13" x14ac:dyDescent="0.2">
      <c r="D1604">
        <f t="shared" si="93"/>
        <v>1581</v>
      </c>
      <c r="E1604" s="1">
        <f t="shared" ref="E1604:F1667" si="95">IF($G$11=1,IF(D1604&lt;=$A$15, E1603+LN($C$11)-LN(60/$D$11)-LN(MIN(D1604,$E$11)), E1603-LN(60/$D$11)-LN(MIN(D1604,$E$11))), IF(D1604&lt;=$A$15, E1603+LN($C$11)-LN(60/$D$11)-LN(MIN(D1604,$E$11)), E1603+LN($C$11)+LN(1-$G$11)-LN(60/$D$11)-LN(MIN(D1604,$E$11))))</f>
        <v>168.43162382886183</v>
      </c>
      <c r="F1604" s="1">
        <f t="shared" si="94"/>
        <v>-97.894444325133037</v>
      </c>
      <c r="G1604" s="1">
        <f t="shared" si="92"/>
        <v>3.0548016788538878E-43</v>
      </c>
      <c r="H1604" s="1">
        <f>G1604/$G$21</f>
        <v>2.1421325352940373E-44</v>
      </c>
      <c r="I1604">
        <f>IF($E$11&lt;=D1604, IF(D1604&lt;=$A$15,D1604-$E$11,$F$11),0)</f>
        <v>300</v>
      </c>
      <c r="J1604">
        <f>IF(D1604&lt;=$A$15,0,D1604-$A$15)</f>
        <v>1272</v>
      </c>
      <c r="K1604" s="5">
        <f>IF(D1604&lt;$E$11,H1604,0)</f>
        <v>0</v>
      </c>
      <c r="L1604">
        <f>IF(D1604&lt;$A$15,$C$11,$C$11*(1-$G$11))</f>
        <v>200</v>
      </c>
      <c r="M1604">
        <f>IF(D1604&lt;$A$15,0,1)</f>
        <v>1</v>
      </c>
    </row>
    <row r="1605" spans="4:13" x14ac:dyDescent="0.2">
      <c r="D1605">
        <f t="shared" si="93"/>
        <v>1582</v>
      </c>
      <c r="E1605" s="1">
        <f t="shared" si="95"/>
        <v>168.35466278772572</v>
      </c>
      <c r="F1605" s="1">
        <f t="shared" si="94"/>
        <v>-97.971405366269153</v>
      </c>
      <c r="G1605" s="1">
        <f t="shared" si="92"/>
        <v>2.8285200730128947E-43</v>
      </c>
      <c r="H1605" s="1">
        <f>G1605/$G$21</f>
        <v>1.9834560511982077E-44</v>
      </c>
      <c r="I1605">
        <f>IF($E$11&lt;=D1605, IF(D1605&lt;=$A$15,D1605-$E$11,$F$11),0)</f>
        <v>300</v>
      </c>
      <c r="J1605">
        <f>IF(D1605&lt;=$A$15,0,D1605-$A$15)</f>
        <v>1273</v>
      </c>
      <c r="K1605" s="5">
        <f>IF(D1605&lt;$E$11,H1605,0)</f>
        <v>0</v>
      </c>
      <c r="L1605">
        <f>IF(D1605&lt;$A$15,$C$11,$C$11*(1-$G$11))</f>
        <v>200</v>
      </c>
      <c r="M1605">
        <f>IF(D1605&lt;$A$15,0,1)</f>
        <v>1</v>
      </c>
    </row>
    <row r="1606" spans="4:13" x14ac:dyDescent="0.2">
      <c r="D1606">
        <f t="shared" si="93"/>
        <v>1583</v>
      </c>
      <c r="E1606" s="1">
        <f t="shared" si="95"/>
        <v>168.2777017465896</v>
      </c>
      <c r="F1606" s="1">
        <f t="shared" si="94"/>
        <v>-98.048366407405268</v>
      </c>
      <c r="G1606" s="1">
        <f t="shared" si="92"/>
        <v>2.6190000676045655E-43</v>
      </c>
      <c r="H1606" s="1">
        <f>G1606/$G$21</f>
        <v>1.8365333807391047E-44</v>
      </c>
      <c r="I1606">
        <f>IF($E$11&lt;=D1606, IF(D1606&lt;=$A$15,D1606-$E$11,$F$11),0)</f>
        <v>300</v>
      </c>
      <c r="J1606">
        <f>IF(D1606&lt;=$A$15,0,D1606-$A$15)</f>
        <v>1274</v>
      </c>
      <c r="K1606" s="5">
        <f>IF(D1606&lt;$E$11,H1606,0)</f>
        <v>0</v>
      </c>
      <c r="L1606">
        <f>IF(D1606&lt;$A$15,$C$11,$C$11*(1-$G$11))</f>
        <v>200</v>
      </c>
      <c r="M1606">
        <f>IF(D1606&lt;$A$15,0,1)</f>
        <v>1</v>
      </c>
    </row>
    <row r="1607" spans="4:13" x14ac:dyDescent="0.2">
      <c r="D1607">
        <f t="shared" si="93"/>
        <v>1584</v>
      </c>
      <c r="E1607" s="1">
        <f t="shared" si="95"/>
        <v>168.20074070545348</v>
      </c>
      <c r="F1607" s="1">
        <f t="shared" si="94"/>
        <v>-98.125327448541384</v>
      </c>
      <c r="G1607" s="1">
        <f t="shared" si="92"/>
        <v>2.4250000625968505E-43</v>
      </c>
      <c r="H1607" s="1">
        <f>G1607/$G$21</f>
        <v>1.700493871054748E-44</v>
      </c>
      <c r="I1607">
        <f>IF($E$11&lt;=D1607, IF(D1607&lt;=$A$15,D1607-$E$11,$F$11),0)</f>
        <v>300</v>
      </c>
      <c r="J1607">
        <f>IF(D1607&lt;=$A$15,0,D1607-$A$15)</f>
        <v>1275</v>
      </c>
      <c r="K1607" s="5">
        <f>IF(D1607&lt;$E$11,H1607,0)</f>
        <v>0</v>
      </c>
      <c r="L1607">
        <f>IF(D1607&lt;$A$15,$C$11,$C$11*(1-$G$11))</f>
        <v>200</v>
      </c>
      <c r="M1607">
        <f>IF(D1607&lt;$A$15,0,1)</f>
        <v>1</v>
      </c>
    </row>
    <row r="1608" spans="4:13" x14ac:dyDescent="0.2">
      <c r="D1608">
        <f t="shared" si="93"/>
        <v>1585</v>
      </c>
      <c r="E1608" s="1">
        <f t="shared" si="95"/>
        <v>168.12377966431737</v>
      </c>
      <c r="F1608" s="1">
        <f t="shared" si="94"/>
        <v>-98.2022884896775</v>
      </c>
      <c r="G1608" s="1">
        <f t="shared" si="92"/>
        <v>2.2453704283304456E-43</v>
      </c>
      <c r="H1608" s="1">
        <f>G1608/$G$21</f>
        <v>1.5745313620877496E-44</v>
      </c>
      <c r="I1608">
        <f>IF($E$11&lt;=D1608, IF(D1608&lt;=$A$15,D1608-$E$11,$F$11),0)</f>
        <v>300</v>
      </c>
      <c r="J1608">
        <f>IF(D1608&lt;=$A$15,0,D1608-$A$15)</f>
        <v>1276</v>
      </c>
      <c r="K1608" s="5">
        <f>IF(D1608&lt;$E$11,H1608,0)</f>
        <v>0</v>
      </c>
      <c r="L1608">
        <f>IF(D1608&lt;$A$15,$C$11,$C$11*(1-$G$11))</f>
        <v>200</v>
      </c>
      <c r="M1608">
        <f>IF(D1608&lt;$A$15,0,1)</f>
        <v>1</v>
      </c>
    </row>
    <row r="1609" spans="4:13" x14ac:dyDescent="0.2">
      <c r="D1609">
        <f t="shared" si="93"/>
        <v>1586</v>
      </c>
      <c r="E1609" s="1">
        <f t="shared" si="95"/>
        <v>168.04681862318125</v>
      </c>
      <c r="F1609" s="1">
        <f t="shared" si="94"/>
        <v>-98.279249530813615</v>
      </c>
      <c r="G1609" s="1">
        <f t="shared" si="92"/>
        <v>2.079046692898587E-43</v>
      </c>
      <c r="H1609" s="1">
        <f>G1609/$G$21</f>
        <v>1.4578994093405273E-44</v>
      </c>
      <c r="I1609">
        <f>IF($E$11&lt;=D1609, IF(D1609&lt;=$A$15,D1609-$E$11,$F$11),0)</f>
        <v>300</v>
      </c>
      <c r="J1609">
        <f>IF(D1609&lt;=$A$15,0,D1609-$A$15)</f>
        <v>1277</v>
      </c>
      <c r="K1609" s="5">
        <f>IF(D1609&lt;$E$11,H1609,0)</f>
        <v>0</v>
      </c>
      <c r="L1609">
        <f>IF(D1609&lt;$A$15,$C$11,$C$11*(1-$G$11))</f>
        <v>200</v>
      </c>
      <c r="M1609">
        <f>IF(D1609&lt;$A$15,0,1)</f>
        <v>1</v>
      </c>
    </row>
    <row r="1610" spans="4:13" x14ac:dyDescent="0.2">
      <c r="D1610">
        <f t="shared" si="93"/>
        <v>1587</v>
      </c>
      <c r="E1610" s="1">
        <f t="shared" si="95"/>
        <v>167.96985758204514</v>
      </c>
      <c r="F1610" s="1">
        <f t="shared" si="94"/>
        <v>-98.356210571949731</v>
      </c>
      <c r="G1610" s="1">
        <f t="shared" si="92"/>
        <v>1.9250432341653827E-43</v>
      </c>
      <c r="H1610" s="1">
        <f>G1610/$G$21</f>
        <v>1.3499068605005053E-44</v>
      </c>
      <c r="I1610">
        <f>IF($E$11&lt;=D1610, IF(D1610&lt;=$A$15,D1610-$E$11,$F$11),0)</f>
        <v>300</v>
      </c>
      <c r="J1610">
        <f>IF(D1610&lt;=$A$15,0,D1610-$A$15)</f>
        <v>1278</v>
      </c>
      <c r="K1610" s="5">
        <f>IF(D1610&lt;$E$11,H1610,0)</f>
        <v>0</v>
      </c>
      <c r="L1610">
        <f>IF(D1610&lt;$A$15,$C$11,$C$11*(1-$G$11))</f>
        <v>200</v>
      </c>
      <c r="M1610">
        <f>IF(D1610&lt;$A$15,0,1)</f>
        <v>1</v>
      </c>
    </row>
    <row r="1611" spans="4:13" x14ac:dyDescent="0.2">
      <c r="D1611">
        <f t="shared" si="93"/>
        <v>1588</v>
      </c>
      <c r="E1611" s="1">
        <f t="shared" si="95"/>
        <v>167.89289654090902</v>
      </c>
      <c r="F1611" s="1">
        <f t="shared" si="94"/>
        <v>-98.433171613085847</v>
      </c>
      <c r="G1611" s="1">
        <f t="shared" si="92"/>
        <v>1.7824474390420435E-43</v>
      </c>
      <c r="H1611" s="1">
        <f>G1611/$G$21</f>
        <v>1.2499137597227058E-44</v>
      </c>
      <c r="I1611">
        <f>IF($E$11&lt;=D1611, IF(D1611&lt;=$A$15,D1611-$E$11,$F$11),0)</f>
        <v>300</v>
      </c>
      <c r="J1611">
        <f>IF(D1611&lt;=$A$15,0,D1611-$A$15)</f>
        <v>1279</v>
      </c>
      <c r="K1611" s="5">
        <f>IF(D1611&lt;$E$11,H1611,0)</f>
        <v>0</v>
      </c>
      <c r="L1611">
        <f>IF(D1611&lt;$A$15,$C$11,$C$11*(1-$G$11))</f>
        <v>200</v>
      </c>
      <c r="M1611">
        <f>IF(D1611&lt;$A$15,0,1)</f>
        <v>1</v>
      </c>
    </row>
    <row r="1612" spans="4:13" x14ac:dyDescent="0.2">
      <c r="D1612">
        <f t="shared" si="93"/>
        <v>1589</v>
      </c>
      <c r="E1612" s="1">
        <f t="shared" si="95"/>
        <v>167.81593549977291</v>
      </c>
      <c r="F1612" s="1">
        <f t="shared" si="94"/>
        <v>-98.510132654221962</v>
      </c>
      <c r="G1612" s="1">
        <f t="shared" si="92"/>
        <v>1.6504142954093204E-43</v>
      </c>
      <c r="H1612" s="1">
        <f>G1612/$G$21</f>
        <v>1.1573275552988164E-44</v>
      </c>
      <c r="I1612">
        <f>IF($E$11&lt;=D1612, IF(D1612&lt;=$A$15,D1612-$E$11,$F$11),0)</f>
        <v>300</v>
      </c>
      <c r="J1612">
        <f>IF(D1612&lt;=$A$15,0,D1612-$A$15)</f>
        <v>1280</v>
      </c>
      <c r="K1612" s="5">
        <f>IF(D1612&lt;$E$11,H1612,0)</f>
        <v>0</v>
      </c>
      <c r="L1612">
        <f>IF(D1612&lt;$A$15,$C$11,$C$11*(1-$G$11))</f>
        <v>200</v>
      </c>
      <c r="M1612">
        <f>IF(D1612&lt;$A$15,0,1)</f>
        <v>1</v>
      </c>
    </row>
    <row r="1613" spans="4:13" x14ac:dyDescent="0.2">
      <c r="D1613">
        <f t="shared" si="93"/>
        <v>1590</v>
      </c>
      <c r="E1613" s="1">
        <f t="shared" si="95"/>
        <v>167.73897445863679</v>
      </c>
      <c r="F1613" s="1">
        <f t="shared" si="94"/>
        <v>-98.587093695358078</v>
      </c>
      <c r="G1613" s="1">
        <f t="shared" si="92"/>
        <v>1.5281613846382789E-43</v>
      </c>
      <c r="H1613" s="1">
        <f>G1613/$G$21</f>
        <v>1.0715995882396583E-44</v>
      </c>
      <c r="I1613">
        <f>IF($E$11&lt;=D1613, IF(D1613&lt;=$A$15,D1613-$E$11,$F$11),0)</f>
        <v>300</v>
      </c>
      <c r="J1613">
        <f>IF(D1613&lt;=$A$15,0,D1613-$A$15)</f>
        <v>1281</v>
      </c>
      <c r="K1613" s="5">
        <f>IF(D1613&lt;$E$11,H1613,0)</f>
        <v>0</v>
      </c>
      <c r="L1613">
        <f>IF(D1613&lt;$A$15,$C$11,$C$11*(1-$G$11))</f>
        <v>200</v>
      </c>
      <c r="M1613">
        <f>IF(D1613&lt;$A$15,0,1)</f>
        <v>1</v>
      </c>
    </row>
    <row r="1614" spans="4:13" x14ac:dyDescent="0.2">
      <c r="D1614">
        <f t="shared" si="93"/>
        <v>1591</v>
      </c>
      <c r="E1614" s="1">
        <f t="shared" si="95"/>
        <v>167.66201341750067</v>
      </c>
      <c r="F1614" s="1">
        <f t="shared" si="94"/>
        <v>-98.664054736494194</v>
      </c>
      <c r="G1614" s="1">
        <f t="shared" si="92"/>
        <v>1.4149642450354613E-43</v>
      </c>
      <c r="H1614" s="1">
        <f>G1614/$G$21</f>
        <v>9.9222184096265916E-45</v>
      </c>
      <c r="I1614">
        <f>IF($E$11&lt;=D1614, IF(D1614&lt;=$A$15,D1614-$E$11,$F$11),0)</f>
        <v>300</v>
      </c>
      <c r="J1614">
        <f>IF(D1614&lt;=$A$15,0,D1614-$A$15)</f>
        <v>1282</v>
      </c>
      <c r="K1614" s="5">
        <f>IF(D1614&lt;$E$11,H1614,0)</f>
        <v>0</v>
      </c>
      <c r="L1614">
        <f>IF(D1614&lt;$A$15,$C$11,$C$11*(1-$G$11))</f>
        <v>200</v>
      </c>
      <c r="M1614">
        <f>IF(D1614&lt;$A$15,0,1)</f>
        <v>1</v>
      </c>
    </row>
    <row r="1615" spans="4:13" x14ac:dyDescent="0.2">
      <c r="D1615">
        <f t="shared" si="93"/>
        <v>1592</v>
      </c>
      <c r="E1615" s="1">
        <f t="shared" si="95"/>
        <v>167.58505237636456</v>
      </c>
      <c r="F1615" s="1">
        <f t="shared" si="94"/>
        <v>-98.741015777630309</v>
      </c>
      <c r="G1615" s="1">
        <f t="shared" si="92"/>
        <v>1.3101520787365547E-43</v>
      </c>
      <c r="H1615" s="1">
        <f>G1615/$G$21</f>
        <v>9.1872392681728857E-45</v>
      </c>
      <c r="I1615">
        <f>IF($E$11&lt;=D1615, IF(D1615&lt;=$A$15,D1615-$E$11,$F$11),0)</f>
        <v>300</v>
      </c>
      <c r="J1615">
        <f>IF(D1615&lt;=$A$15,0,D1615-$A$15)</f>
        <v>1283</v>
      </c>
      <c r="K1615" s="5">
        <f>IF(D1615&lt;$E$11,H1615,0)</f>
        <v>0</v>
      </c>
      <c r="L1615">
        <f>IF(D1615&lt;$A$15,$C$11,$C$11*(1-$G$11))</f>
        <v>200</v>
      </c>
      <c r="M1615">
        <f>IF(D1615&lt;$A$15,0,1)</f>
        <v>1</v>
      </c>
    </row>
    <row r="1616" spans="4:13" x14ac:dyDescent="0.2">
      <c r="D1616">
        <f t="shared" si="93"/>
        <v>1593</v>
      </c>
      <c r="E1616" s="1">
        <f t="shared" si="95"/>
        <v>167.50809133522844</v>
      </c>
      <c r="F1616" s="1">
        <f t="shared" si="94"/>
        <v>-98.817976818766425</v>
      </c>
      <c r="G1616" s="1">
        <f t="shared" si="92"/>
        <v>1.2131037766079366E-43</v>
      </c>
      <c r="H1616" s="1">
        <f>G1616/$G$21</f>
        <v>8.5067030260861138E-45</v>
      </c>
      <c r="I1616">
        <f>IF($E$11&lt;=D1616, IF(D1616&lt;=$A$15,D1616-$E$11,$F$11),0)</f>
        <v>300</v>
      </c>
      <c r="J1616">
        <f>IF(D1616&lt;=$A$15,0,D1616-$A$15)</f>
        <v>1284</v>
      </c>
      <c r="K1616" s="5">
        <f>IF(D1616&lt;$E$11,H1616,0)</f>
        <v>0</v>
      </c>
      <c r="L1616">
        <f>IF(D1616&lt;$A$15,$C$11,$C$11*(1-$G$11))</f>
        <v>200</v>
      </c>
      <c r="M1616">
        <f>IF(D1616&lt;$A$15,0,1)</f>
        <v>1</v>
      </c>
    </row>
    <row r="1617" spans="4:13" x14ac:dyDescent="0.2">
      <c r="D1617">
        <f t="shared" si="93"/>
        <v>1594</v>
      </c>
      <c r="E1617" s="1">
        <f t="shared" si="95"/>
        <v>167.43113029409233</v>
      </c>
      <c r="F1617" s="1">
        <f t="shared" si="94"/>
        <v>-98.894937859902541</v>
      </c>
      <c r="G1617" s="1">
        <f t="shared" si="92"/>
        <v>1.1232442375999553E-43</v>
      </c>
      <c r="H1617" s="1">
        <f>G1617/$G$21</f>
        <v>7.8765768760057592E-45</v>
      </c>
      <c r="I1617">
        <f>IF($E$11&lt;=D1617, IF(D1617&lt;=$A$15,D1617-$E$11,$F$11),0)</f>
        <v>300</v>
      </c>
      <c r="J1617">
        <f>IF(D1617&lt;=$A$15,0,D1617-$A$15)</f>
        <v>1285</v>
      </c>
      <c r="K1617" s="5">
        <f>IF(D1617&lt;$E$11,H1617,0)</f>
        <v>0</v>
      </c>
      <c r="L1617">
        <f>IF(D1617&lt;$A$15,$C$11,$C$11*(1-$G$11))</f>
        <v>200</v>
      </c>
      <c r="M1617">
        <f>IF(D1617&lt;$A$15,0,1)</f>
        <v>1</v>
      </c>
    </row>
    <row r="1618" spans="4:13" x14ac:dyDescent="0.2">
      <c r="D1618">
        <f t="shared" si="93"/>
        <v>1595</v>
      </c>
      <c r="E1618" s="1">
        <f t="shared" si="95"/>
        <v>167.35416925295621</v>
      </c>
      <c r="F1618" s="1">
        <f t="shared" si="94"/>
        <v>-98.971898901038657</v>
      </c>
      <c r="G1618" s="1">
        <f t="shared" si="92"/>
        <v>1.0400409607407126E-43</v>
      </c>
      <c r="H1618" s="1">
        <f>G1618/$G$21</f>
        <v>7.2931267370424625E-45</v>
      </c>
      <c r="I1618">
        <f>IF($E$11&lt;=D1618, IF(D1618&lt;=$A$15,D1618-$E$11,$F$11),0)</f>
        <v>300</v>
      </c>
      <c r="J1618">
        <f>IF(D1618&lt;=$A$15,0,D1618-$A$15)</f>
        <v>1286</v>
      </c>
      <c r="K1618" s="5">
        <f>IF(D1618&lt;$E$11,H1618,0)</f>
        <v>0</v>
      </c>
      <c r="L1618">
        <f>IF(D1618&lt;$A$15,$C$11,$C$11*(1-$G$11))</f>
        <v>200</v>
      </c>
      <c r="M1618">
        <f>IF(D1618&lt;$A$15,0,1)</f>
        <v>1</v>
      </c>
    </row>
    <row r="1619" spans="4:13" x14ac:dyDescent="0.2">
      <c r="D1619">
        <f t="shared" si="93"/>
        <v>1596</v>
      </c>
      <c r="E1619" s="1">
        <f t="shared" si="95"/>
        <v>167.2772082118201</v>
      </c>
      <c r="F1619" s="1">
        <f t="shared" si="94"/>
        <v>-99.048859942174772</v>
      </c>
      <c r="G1619" s="1">
        <f t="shared" si="92"/>
        <v>9.6300088957474613E-44</v>
      </c>
      <c r="H1619" s="1">
        <f>G1619/$G$21</f>
        <v>6.7528951268912554E-45</v>
      </c>
      <c r="I1619">
        <f>IF($E$11&lt;=D1619, IF(D1619&lt;=$A$15,D1619-$E$11,$F$11),0)</f>
        <v>300</v>
      </c>
      <c r="J1619">
        <f>IF(D1619&lt;=$A$15,0,D1619-$A$15)</f>
        <v>1287</v>
      </c>
      <c r="K1619" s="5">
        <f>IF(D1619&lt;$E$11,H1619,0)</f>
        <v>0</v>
      </c>
      <c r="L1619">
        <f>IF(D1619&lt;$A$15,$C$11,$C$11*(1-$G$11))</f>
        <v>200</v>
      </c>
      <c r="M1619">
        <f>IF(D1619&lt;$A$15,0,1)</f>
        <v>1</v>
      </c>
    </row>
    <row r="1620" spans="4:13" x14ac:dyDescent="0.2">
      <c r="D1620">
        <f t="shared" si="93"/>
        <v>1597</v>
      </c>
      <c r="E1620" s="1">
        <f t="shared" si="95"/>
        <v>167.20024717068398</v>
      </c>
      <c r="F1620" s="1">
        <f t="shared" si="94"/>
        <v>-99.125820983310888</v>
      </c>
      <c r="G1620" s="1">
        <f t="shared" si="92"/>
        <v>8.9166749034699839E-44</v>
      </c>
      <c r="H1620" s="1">
        <f>G1620/$G$21</f>
        <v>6.2526806730475369E-45</v>
      </c>
      <c r="I1620">
        <f>IF($E$11&lt;=D1620, IF(D1620&lt;=$A$15,D1620-$E$11,$F$11),0)</f>
        <v>300</v>
      </c>
      <c r="J1620">
        <f>IF(D1620&lt;=$A$15,0,D1620-$A$15)</f>
        <v>1288</v>
      </c>
      <c r="K1620" s="5">
        <f>IF(D1620&lt;$E$11,H1620,0)</f>
        <v>0</v>
      </c>
      <c r="L1620">
        <f>IF(D1620&lt;$A$15,$C$11,$C$11*(1-$G$11))</f>
        <v>200</v>
      </c>
      <c r="M1620">
        <f>IF(D1620&lt;$A$15,0,1)</f>
        <v>1</v>
      </c>
    </row>
    <row r="1621" spans="4:13" x14ac:dyDescent="0.2">
      <c r="D1621">
        <f t="shared" si="93"/>
        <v>1598</v>
      </c>
      <c r="E1621" s="1">
        <f t="shared" si="95"/>
        <v>167.12328612954786</v>
      </c>
      <c r="F1621" s="1">
        <f t="shared" si="94"/>
        <v>-99.202782024447004</v>
      </c>
      <c r="G1621" s="1">
        <f t="shared" si="92"/>
        <v>8.2561804661760154E-44</v>
      </c>
      <c r="H1621" s="1">
        <f>G1621/$G$21</f>
        <v>5.7895191417107559E-45</v>
      </c>
      <c r="I1621">
        <f>IF($E$11&lt;=D1621, IF(D1621&lt;=$A$15,D1621-$E$11,$F$11),0)</f>
        <v>300</v>
      </c>
      <c r="J1621">
        <f>IF(D1621&lt;=$A$15,0,D1621-$A$15)</f>
        <v>1289</v>
      </c>
      <c r="K1621" s="5">
        <f>IF(D1621&lt;$E$11,H1621,0)</f>
        <v>0</v>
      </c>
      <c r="L1621">
        <f>IF(D1621&lt;$A$15,$C$11,$C$11*(1-$G$11))</f>
        <v>200</v>
      </c>
      <c r="M1621">
        <f>IF(D1621&lt;$A$15,0,1)</f>
        <v>1</v>
      </c>
    </row>
    <row r="1622" spans="4:13" x14ac:dyDescent="0.2">
      <c r="D1622">
        <f t="shared" si="93"/>
        <v>1599</v>
      </c>
      <c r="E1622" s="1">
        <f t="shared" si="95"/>
        <v>167.04632508841175</v>
      </c>
      <c r="F1622" s="1">
        <f t="shared" si="94"/>
        <v>-99.279743065583119</v>
      </c>
      <c r="G1622" s="1">
        <f t="shared" si="92"/>
        <v>7.6446115427556663E-44</v>
      </c>
      <c r="H1622" s="1">
        <f>G1622/$G$21</f>
        <v>5.3606658719544707E-45</v>
      </c>
      <c r="I1622">
        <f>IF($E$11&lt;=D1622, IF(D1622&lt;=$A$15,D1622-$E$11,$F$11),0)</f>
        <v>300</v>
      </c>
      <c r="J1622">
        <f>IF(D1622&lt;=$A$15,0,D1622-$A$15)</f>
        <v>1290</v>
      </c>
      <c r="K1622" s="5">
        <f>IF(D1622&lt;$E$11,H1622,0)</f>
        <v>0</v>
      </c>
      <c r="L1622">
        <f>IF(D1622&lt;$A$15,$C$11,$C$11*(1-$G$11))</f>
        <v>200</v>
      </c>
      <c r="M1622">
        <f>IF(D1622&lt;$A$15,0,1)</f>
        <v>1</v>
      </c>
    </row>
    <row r="1623" spans="4:13" x14ac:dyDescent="0.2">
      <c r="D1623">
        <f t="shared" si="93"/>
        <v>1600</v>
      </c>
      <c r="E1623" s="1">
        <f t="shared" si="95"/>
        <v>166.96936404727563</v>
      </c>
      <c r="F1623" s="1">
        <f t="shared" si="94"/>
        <v>-99.356704106719235</v>
      </c>
      <c r="G1623" s="1">
        <f t="shared" si="92"/>
        <v>7.0783440210701511E-44</v>
      </c>
      <c r="H1623" s="1">
        <f>G1623/$G$21</f>
        <v>4.9635795110690174E-45</v>
      </c>
      <c r="I1623">
        <f>IF($E$11&lt;=D1623, IF(D1623&lt;=$A$15,D1623-$E$11,$F$11),0)</f>
        <v>300</v>
      </c>
      <c r="J1623">
        <f>IF(D1623&lt;=$A$15,0,D1623-$A$15)</f>
        <v>1291</v>
      </c>
      <c r="K1623" s="5">
        <f>IF(D1623&lt;$E$11,H1623,0)</f>
        <v>0</v>
      </c>
      <c r="L1623">
        <f>IF(D1623&lt;$A$15,$C$11,$C$11*(1-$G$11))</f>
        <v>200</v>
      </c>
      <c r="M1623">
        <f>IF(D1623&lt;$A$15,0,1)</f>
        <v>1</v>
      </c>
    </row>
    <row r="1624" spans="4:13" x14ac:dyDescent="0.2">
      <c r="D1624">
        <f t="shared" si="93"/>
        <v>1601</v>
      </c>
      <c r="E1624" s="1">
        <f t="shared" si="95"/>
        <v>166.89240300613952</v>
      </c>
      <c r="F1624" s="1">
        <f t="shared" si="94"/>
        <v>-99.433665147855351</v>
      </c>
      <c r="G1624" s="1">
        <f t="shared" ref="G1624:G1687" si="96">EXP(F1624)</f>
        <v>6.5540222417317037E-44</v>
      </c>
      <c r="H1624" s="1">
        <f>G1624/$G$21</f>
        <v>4.5959069546935923E-45</v>
      </c>
      <c r="I1624">
        <f>IF($E$11&lt;=D1624, IF(D1624&lt;=$A$15,D1624-$E$11,$F$11),0)</f>
        <v>300</v>
      </c>
      <c r="J1624">
        <f>IF(D1624&lt;=$A$15,0,D1624-$A$15)</f>
        <v>1292</v>
      </c>
      <c r="K1624" s="5">
        <f>IF(D1624&lt;$E$11,H1624,0)</f>
        <v>0</v>
      </c>
      <c r="L1624">
        <f>IF(D1624&lt;$A$15,$C$11,$C$11*(1-$G$11))</f>
        <v>200</v>
      </c>
      <c r="M1624">
        <f>IF(D1624&lt;$A$15,0,1)</f>
        <v>1</v>
      </c>
    </row>
    <row r="1625" spans="4:13" x14ac:dyDescent="0.2">
      <c r="D1625">
        <f t="shared" ref="D1625:D1688" si="97">1+D1624</f>
        <v>1602</v>
      </c>
      <c r="E1625" s="1">
        <f t="shared" si="95"/>
        <v>166.8154419650034</v>
      </c>
      <c r="F1625" s="1">
        <f t="shared" ref="F1625:F1688" si="98">E1625-$E$21</f>
        <v>-99.510626188991466</v>
      </c>
      <c r="G1625" s="1">
        <f t="shared" si="96"/>
        <v>6.0685391127146178E-44</v>
      </c>
      <c r="H1625" s="1">
        <f>G1625/$G$21</f>
        <v>4.2554694024941212E-45</v>
      </c>
      <c r="I1625">
        <f>IF($E$11&lt;=D1625, IF(D1625&lt;=$A$15,D1625-$E$11,$F$11),0)</f>
        <v>300</v>
      </c>
      <c r="J1625">
        <f>IF(D1625&lt;=$A$15,0,D1625-$A$15)</f>
        <v>1293</v>
      </c>
      <c r="K1625" s="5">
        <f>IF(D1625&lt;$E$11,H1625,0)</f>
        <v>0</v>
      </c>
      <c r="L1625">
        <f>IF(D1625&lt;$A$15,$C$11,$C$11*(1-$G$11))</f>
        <v>200</v>
      </c>
      <c r="M1625">
        <f>IF(D1625&lt;$A$15,0,1)</f>
        <v>1</v>
      </c>
    </row>
    <row r="1626" spans="4:13" x14ac:dyDescent="0.2">
      <c r="D1626">
        <f t="shared" si="97"/>
        <v>1603</v>
      </c>
      <c r="E1626" s="1">
        <f t="shared" si="95"/>
        <v>166.73848092386729</v>
      </c>
      <c r="F1626" s="1">
        <f t="shared" si="98"/>
        <v>-99.587587230127582</v>
      </c>
      <c r="G1626" s="1">
        <f t="shared" si="96"/>
        <v>5.6190176969580506E-44</v>
      </c>
      <c r="H1626" s="1">
        <f>G1626/$G$21</f>
        <v>3.9402494467538661E-45</v>
      </c>
      <c r="I1626">
        <f>IF($E$11&lt;=D1626, IF(D1626&lt;=$A$15,D1626-$E$11,$F$11),0)</f>
        <v>300</v>
      </c>
      <c r="J1626">
        <f>IF(D1626&lt;=$A$15,0,D1626-$A$15)</f>
        <v>1294</v>
      </c>
      <c r="K1626" s="5">
        <f>IF(D1626&lt;$E$11,H1626,0)</f>
        <v>0</v>
      </c>
      <c r="L1626">
        <f>IF(D1626&lt;$A$15,$C$11,$C$11*(1-$G$11))</f>
        <v>200</v>
      </c>
      <c r="M1626">
        <f>IF(D1626&lt;$A$15,0,1)</f>
        <v>1</v>
      </c>
    </row>
    <row r="1627" spans="4:13" x14ac:dyDescent="0.2">
      <c r="D1627">
        <f t="shared" si="97"/>
        <v>1604</v>
      </c>
      <c r="E1627" s="1">
        <f t="shared" si="95"/>
        <v>166.66151988273117</v>
      </c>
      <c r="F1627" s="1">
        <f t="shared" si="98"/>
        <v>-99.664548271263698</v>
      </c>
      <c r="G1627" s="1">
        <f t="shared" si="96"/>
        <v>5.2027941638501118E-44</v>
      </c>
      <c r="H1627" s="1">
        <f>G1627/$G$21</f>
        <v>3.648379117364736E-45</v>
      </c>
      <c r="I1627">
        <f>IF($E$11&lt;=D1627, IF(D1627&lt;=$A$15,D1627-$E$11,$F$11),0)</f>
        <v>300</v>
      </c>
      <c r="J1627">
        <f>IF(D1627&lt;=$A$15,0,D1627-$A$15)</f>
        <v>1295</v>
      </c>
      <c r="K1627" s="5">
        <f>IF(D1627&lt;$E$11,H1627,0)</f>
        <v>0</v>
      </c>
      <c r="L1627">
        <f>IF(D1627&lt;$A$15,$C$11,$C$11*(1-$G$11))</f>
        <v>200</v>
      </c>
      <c r="M1627">
        <f>IF(D1627&lt;$A$15,0,1)</f>
        <v>1</v>
      </c>
    </row>
    <row r="1628" spans="4:13" x14ac:dyDescent="0.2">
      <c r="D1628">
        <f t="shared" si="97"/>
        <v>1605</v>
      </c>
      <c r="E1628" s="1">
        <f t="shared" si="95"/>
        <v>166.58455884159505</v>
      </c>
      <c r="F1628" s="1">
        <f t="shared" si="98"/>
        <v>-99.741509312399813</v>
      </c>
      <c r="G1628" s="1">
        <f t="shared" si="96"/>
        <v>4.8174020035649796E-44</v>
      </c>
      <c r="H1628" s="1">
        <f>G1628/$G$21</f>
        <v>3.378128812374799E-45</v>
      </c>
      <c r="I1628">
        <f>IF($E$11&lt;=D1628, IF(D1628&lt;=$A$15,D1628-$E$11,$F$11),0)</f>
        <v>300</v>
      </c>
      <c r="J1628">
        <f>IF(D1628&lt;=$A$15,0,D1628-$A$15)</f>
        <v>1296</v>
      </c>
      <c r="K1628" s="5">
        <f>IF(D1628&lt;$E$11,H1628,0)</f>
        <v>0</v>
      </c>
      <c r="L1628">
        <f>IF(D1628&lt;$A$15,$C$11,$C$11*(1-$G$11))</f>
        <v>200</v>
      </c>
      <c r="M1628">
        <f>IF(D1628&lt;$A$15,0,1)</f>
        <v>1</v>
      </c>
    </row>
    <row r="1629" spans="4:13" x14ac:dyDescent="0.2">
      <c r="D1629">
        <f t="shared" si="97"/>
        <v>1606</v>
      </c>
      <c r="E1629" s="1">
        <f t="shared" si="95"/>
        <v>166.50759780045894</v>
      </c>
      <c r="F1629" s="1">
        <f t="shared" si="98"/>
        <v>-99.818470353535929</v>
      </c>
      <c r="G1629" s="1">
        <f t="shared" si="96"/>
        <v>4.4605574107083709E-44</v>
      </c>
      <c r="H1629" s="1">
        <f>G1629/$G$21</f>
        <v>3.1278970484952238E-45</v>
      </c>
      <c r="I1629">
        <f>IF($E$11&lt;=D1629, IF(D1629&lt;=$A$15,D1629-$E$11,$F$11),0)</f>
        <v>300</v>
      </c>
      <c r="J1629">
        <f>IF(D1629&lt;=$A$15,0,D1629-$A$15)</f>
        <v>1297</v>
      </c>
      <c r="K1629" s="5">
        <f>IF(D1629&lt;$E$11,H1629,0)</f>
        <v>0</v>
      </c>
      <c r="L1629">
        <f>IF(D1629&lt;$A$15,$C$11,$C$11*(1-$G$11))</f>
        <v>200</v>
      </c>
      <c r="M1629">
        <f>IF(D1629&lt;$A$15,0,1)</f>
        <v>1</v>
      </c>
    </row>
    <row r="1630" spans="4:13" x14ac:dyDescent="0.2">
      <c r="D1630">
        <f t="shared" si="97"/>
        <v>1607</v>
      </c>
      <c r="E1630" s="1">
        <f t="shared" si="95"/>
        <v>166.43063675932282</v>
      </c>
      <c r="F1630" s="1">
        <f t="shared" si="98"/>
        <v>-99.895431394672045</v>
      </c>
      <c r="G1630" s="1">
        <f t="shared" si="96"/>
        <v>4.1301457506559512E-44</v>
      </c>
      <c r="H1630" s="1">
        <f>G1630/$G$21</f>
        <v>2.8962009708289476E-45</v>
      </c>
      <c r="I1630">
        <f>IF($E$11&lt;=D1630, IF(D1630&lt;=$A$15,D1630-$E$11,$F$11),0)</f>
        <v>300</v>
      </c>
      <c r="J1630">
        <f>IF(D1630&lt;=$A$15,0,D1630-$A$15)</f>
        <v>1298</v>
      </c>
      <c r="K1630" s="5">
        <f>IF(D1630&lt;$E$11,H1630,0)</f>
        <v>0</v>
      </c>
      <c r="L1630">
        <f>IF(D1630&lt;$A$15,$C$11,$C$11*(1-$G$11))</f>
        <v>200</v>
      </c>
      <c r="M1630">
        <f>IF(D1630&lt;$A$15,0,1)</f>
        <v>1</v>
      </c>
    </row>
    <row r="1631" spans="4:13" x14ac:dyDescent="0.2">
      <c r="D1631">
        <f t="shared" si="97"/>
        <v>1608</v>
      </c>
      <c r="E1631" s="1">
        <f t="shared" si="95"/>
        <v>166.35367571818671</v>
      </c>
      <c r="F1631" s="1">
        <f t="shared" si="98"/>
        <v>-99.97239243580816</v>
      </c>
      <c r="G1631" s="1">
        <f t="shared" si="96"/>
        <v>3.8242090283851884E-44</v>
      </c>
      <c r="H1631" s="1">
        <f>G1631/$G$21</f>
        <v>2.6816675655823926E-45</v>
      </c>
      <c r="I1631">
        <f>IF($E$11&lt;=D1631, IF(D1631&lt;=$A$15,D1631-$E$11,$F$11),0)</f>
        <v>300</v>
      </c>
      <c r="J1631">
        <f>IF(D1631&lt;=$A$15,0,D1631-$A$15)</f>
        <v>1299</v>
      </c>
      <c r="K1631" s="5">
        <f>IF(D1631&lt;$E$11,H1631,0)</f>
        <v>0</v>
      </c>
      <c r="L1631">
        <f>IF(D1631&lt;$A$15,$C$11,$C$11*(1-$G$11))</f>
        <v>200</v>
      </c>
      <c r="M1631">
        <f>IF(D1631&lt;$A$15,0,1)</f>
        <v>1</v>
      </c>
    </row>
    <row r="1632" spans="4:13" x14ac:dyDescent="0.2">
      <c r="D1632">
        <f t="shared" si="97"/>
        <v>1609</v>
      </c>
      <c r="E1632" s="1">
        <f t="shared" si="95"/>
        <v>166.27671467705059</v>
      </c>
      <c r="F1632" s="1">
        <f t="shared" si="98"/>
        <v>-100.04935347694428</v>
      </c>
      <c r="G1632" s="1">
        <f t="shared" si="96"/>
        <v>3.5409342855418859E-44</v>
      </c>
      <c r="H1632" s="1">
        <f>G1632/$G$21</f>
        <v>2.4830255236874319E-45</v>
      </c>
      <c r="I1632">
        <f>IF($E$11&lt;=D1632, IF(D1632&lt;=$A$15,D1632-$E$11,$F$11),0)</f>
        <v>300</v>
      </c>
      <c r="J1632">
        <f>IF(D1632&lt;=$A$15,0,D1632-$A$15)</f>
        <v>1300</v>
      </c>
      <c r="K1632" s="5">
        <f>IF(D1632&lt;$E$11,H1632,0)</f>
        <v>0</v>
      </c>
      <c r="L1632">
        <f>IF(D1632&lt;$A$15,$C$11,$C$11*(1-$G$11))</f>
        <v>200</v>
      </c>
      <c r="M1632">
        <f>IF(D1632&lt;$A$15,0,1)</f>
        <v>1</v>
      </c>
    </row>
    <row r="1633" spans="4:13" x14ac:dyDescent="0.2">
      <c r="D1633">
        <f t="shared" si="97"/>
        <v>1610</v>
      </c>
      <c r="E1633" s="1">
        <f t="shared" si="95"/>
        <v>166.19975363591448</v>
      </c>
      <c r="F1633" s="1">
        <f t="shared" si="98"/>
        <v>-100.12631451808039</v>
      </c>
      <c r="G1633" s="1">
        <f t="shared" si="96"/>
        <v>3.2786428569832688E-44</v>
      </c>
      <c r="H1633" s="1">
        <f>G1633/$G$21</f>
        <v>2.2990977071180213E-45</v>
      </c>
      <c r="I1633">
        <f>IF($E$11&lt;=D1633, IF(D1633&lt;=$A$15,D1633-$E$11,$F$11),0)</f>
        <v>300</v>
      </c>
      <c r="J1633">
        <f>IF(D1633&lt;=$A$15,0,D1633-$A$15)</f>
        <v>1301</v>
      </c>
      <c r="K1633" s="5">
        <f>IF(D1633&lt;$E$11,H1633,0)</f>
        <v>0</v>
      </c>
      <c r="L1633">
        <f>IF(D1633&lt;$A$15,$C$11,$C$11*(1-$G$11))</f>
        <v>200</v>
      </c>
      <c r="M1633">
        <f>IF(D1633&lt;$A$15,0,1)</f>
        <v>1</v>
      </c>
    </row>
    <row r="1634" spans="4:13" x14ac:dyDescent="0.2">
      <c r="D1634">
        <f t="shared" si="97"/>
        <v>1611</v>
      </c>
      <c r="E1634" s="1">
        <f t="shared" si="95"/>
        <v>166.12279259477836</v>
      </c>
      <c r="F1634" s="1">
        <f t="shared" si="98"/>
        <v>-100.20327555921651</v>
      </c>
      <c r="G1634" s="1">
        <f t="shared" si="96"/>
        <v>3.0357804231326947E-44</v>
      </c>
      <c r="H1634" s="1">
        <f>G1634/$G$21</f>
        <v>2.1287941732574542E-45</v>
      </c>
      <c r="I1634">
        <f>IF($E$11&lt;=D1634, IF(D1634&lt;=$A$15,D1634-$E$11,$F$11),0)</f>
        <v>300</v>
      </c>
      <c r="J1634">
        <f>IF(D1634&lt;=$A$15,0,D1634-$A$15)</f>
        <v>1302</v>
      </c>
      <c r="K1634" s="5">
        <f>IF(D1634&lt;$E$11,H1634,0)</f>
        <v>0</v>
      </c>
      <c r="L1634">
        <f>IF(D1634&lt;$A$15,$C$11,$C$11*(1-$G$11))</f>
        <v>200</v>
      </c>
      <c r="M1634">
        <f>IF(D1634&lt;$A$15,0,1)</f>
        <v>1</v>
      </c>
    </row>
    <row r="1635" spans="4:13" x14ac:dyDescent="0.2">
      <c r="D1635">
        <f t="shared" si="97"/>
        <v>1612</v>
      </c>
      <c r="E1635" s="1">
        <f t="shared" si="95"/>
        <v>166.04583155364224</v>
      </c>
      <c r="F1635" s="1">
        <f t="shared" si="98"/>
        <v>-100.28023660035262</v>
      </c>
      <c r="G1635" s="1">
        <f t="shared" si="96"/>
        <v>2.810907799196975E-44</v>
      </c>
      <c r="H1635" s="1">
        <f>G1635/$G$21</f>
        <v>1.971105715979149E-45</v>
      </c>
      <c r="I1635">
        <f>IF($E$11&lt;=D1635, IF(D1635&lt;=$A$15,D1635-$E$11,$F$11),0)</f>
        <v>300</v>
      </c>
      <c r="J1635">
        <f>IF(D1635&lt;=$A$15,0,D1635-$A$15)</f>
        <v>1303</v>
      </c>
      <c r="K1635" s="5">
        <f>IF(D1635&lt;$E$11,H1635,0)</f>
        <v>0</v>
      </c>
      <c r="L1635">
        <f>IF(D1635&lt;$A$15,$C$11,$C$11*(1-$G$11))</f>
        <v>200</v>
      </c>
      <c r="M1635">
        <f>IF(D1635&lt;$A$15,0,1)</f>
        <v>1</v>
      </c>
    </row>
    <row r="1636" spans="4:13" x14ac:dyDescent="0.2">
      <c r="D1636">
        <f t="shared" si="97"/>
        <v>1613</v>
      </c>
      <c r="E1636" s="1">
        <f t="shared" si="95"/>
        <v>165.96887051250613</v>
      </c>
      <c r="F1636" s="1">
        <f t="shared" si="98"/>
        <v>-100.35719764148874</v>
      </c>
      <c r="G1636" s="1">
        <f t="shared" si="96"/>
        <v>2.602692406663899E-44</v>
      </c>
      <c r="H1636" s="1">
        <f>G1636/$G$21</f>
        <v>1.8250978851659021E-45</v>
      </c>
      <c r="I1636">
        <f>IF($E$11&lt;=D1636, IF(D1636&lt;=$A$15,D1636-$E$11,$F$11),0)</f>
        <v>300</v>
      </c>
      <c r="J1636">
        <f>IF(D1636&lt;=$A$15,0,D1636-$A$15)</f>
        <v>1304</v>
      </c>
      <c r="K1636" s="5">
        <f>IF(D1636&lt;$E$11,H1636,0)</f>
        <v>0</v>
      </c>
      <c r="L1636">
        <f>IF(D1636&lt;$A$15,$C$11,$C$11*(1-$G$11))</f>
        <v>200</v>
      </c>
      <c r="M1636">
        <f>IF(D1636&lt;$A$15,0,1)</f>
        <v>1</v>
      </c>
    </row>
    <row r="1637" spans="4:13" x14ac:dyDescent="0.2">
      <c r="D1637">
        <f t="shared" si="97"/>
        <v>1614</v>
      </c>
      <c r="E1637" s="1">
        <f t="shared" si="95"/>
        <v>165.89190947137001</v>
      </c>
      <c r="F1637" s="1">
        <f t="shared" si="98"/>
        <v>-100.43415868262485</v>
      </c>
      <c r="G1637" s="1">
        <f t="shared" si="96"/>
        <v>2.4099003765406777E-44</v>
      </c>
      <c r="H1637" s="1">
        <f>G1637/$G$21</f>
        <v>1.6899054492277083E-45</v>
      </c>
      <c r="I1637">
        <f>IF($E$11&lt;=D1637, IF(D1637&lt;=$A$15,D1637-$E$11,$F$11),0)</f>
        <v>300</v>
      </c>
      <c r="J1637">
        <f>IF(D1637&lt;=$A$15,0,D1637-$A$15)</f>
        <v>1305</v>
      </c>
      <c r="K1637" s="5">
        <f>IF(D1637&lt;$E$11,H1637,0)</f>
        <v>0</v>
      </c>
      <c r="L1637">
        <f>IF(D1637&lt;$A$15,$C$11,$C$11*(1-$G$11))</f>
        <v>200</v>
      </c>
      <c r="M1637">
        <f>IF(D1637&lt;$A$15,0,1)</f>
        <v>1</v>
      </c>
    </row>
    <row r="1638" spans="4:13" x14ac:dyDescent="0.2">
      <c r="D1638">
        <f t="shared" si="97"/>
        <v>1615</v>
      </c>
      <c r="E1638" s="1">
        <f t="shared" si="95"/>
        <v>165.8149484302339</v>
      </c>
      <c r="F1638" s="1">
        <f t="shared" si="98"/>
        <v>-100.51111972376097</v>
      </c>
      <c r="G1638" s="1">
        <f t="shared" si="96"/>
        <v>2.2313892375376926E-44</v>
      </c>
      <c r="H1638" s="1">
        <f>G1638/$G$21</f>
        <v>1.5647272678034536E-45</v>
      </c>
      <c r="I1638">
        <f>IF($E$11&lt;=D1638, IF(D1638&lt;=$A$15,D1638-$E$11,$F$11),0)</f>
        <v>300</v>
      </c>
      <c r="J1638">
        <f>IF(D1638&lt;=$A$15,0,D1638-$A$15)</f>
        <v>1306</v>
      </c>
      <c r="K1638" s="5">
        <f>IF(D1638&lt;$E$11,H1638,0)</f>
        <v>0</v>
      </c>
      <c r="L1638">
        <f>IF(D1638&lt;$A$15,$C$11,$C$11*(1-$G$11))</f>
        <v>200</v>
      </c>
      <c r="M1638">
        <f>IF(D1638&lt;$A$15,0,1)</f>
        <v>1</v>
      </c>
    </row>
    <row r="1639" spans="4:13" x14ac:dyDescent="0.2">
      <c r="D1639">
        <f t="shared" si="97"/>
        <v>1616</v>
      </c>
      <c r="E1639" s="1">
        <f t="shared" si="95"/>
        <v>165.73798738909778</v>
      </c>
      <c r="F1639" s="1">
        <f t="shared" si="98"/>
        <v>-100.58808076489709</v>
      </c>
      <c r="G1639" s="1">
        <f t="shared" si="96"/>
        <v>2.0661011458682602E-44</v>
      </c>
      <c r="H1639" s="1">
        <f>G1639/$G$21</f>
        <v>1.4488215442624755E-45</v>
      </c>
      <c r="I1639">
        <f>IF($E$11&lt;=D1639, IF(D1639&lt;=$A$15,D1639-$E$11,$F$11),0)</f>
        <v>300</v>
      </c>
      <c r="J1639">
        <f>IF(D1639&lt;=$A$15,0,D1639-$A$15)</f>
        <v>1307</v>
      </c>
      <c r="K1639" s="5">
        <f>IF(D1639&lt;$E$11,H1639,0)</f>
        <v>0</v>
      </c>
      <c r="L1639">
        <f>IF(D1639&lt;$A$15,$C$11,$C$11*(1-$G$11))</f>
        <v>200</v>
      </c>
      <c r="M1639">
        <f>IF(D1639&lt;$A$15,0,1)</f>
        <v>1</v>
      </c>
    </row>
    <row r="1640" spans="4:13" x14ac:dyDescent="0.2">
      <c r="D1640">
        <f t="shared" si="97"/>
        <v>1617</v>
      </c>
      <c r="E1640" s="1">
        <f t="shared" si="95"/>
        <v>165.66102634796167</v>
      </c>
      <c r="F1640" s="1">
        <f t="shared" si="98"/>
        <v>-100.6650418060332</v>
      </c>
      <c r="G1640" s="1">
        <f t="shared" si="96"/>
        <v>1.9130566165447094E-44</v>
      </c>
      <c r="H1640" s="1">
        <f>G1640/$G$21</f>
        <v>1.3415014298726793E-45</v>
      </c>
      <c r="I1640">
        <f>IF($E$11&lt;=D1640, IF(D1640&lt;=$A$15,D1640-$E$11,$F$11),0)</f>
        <v>300</v>
      </c>
      <c r="J1640">
        <f>IF(D1640&lt;=$A$15,0,D1640-$A$15)</f>
        <v>1308</v>
      </c>
      <c r="K1640" s="5">
        <f>IF(D1640&lt;$E$11,H1640,0)</f>
        <v>0</v>
      </c>
      <c r="L1640">
        <f>IF(D1640&lt;$A$15,$C$11,$C$11*(1-$G$11))</f>
        <v>200</v>
      </c>
      <c r="M1640">
        <f>IF(D1640&lt;$A$15,0,1)</f>
        <v>1</v>
      </c>
    </row>
    <row r="1641" spans="4:13" x14ac:dyDescent="0.2">
      <c r="D1641">
        <f t="shared" si="97"/>
        <v>1618</v>
      </c>
      <c r="E1641" s="1">
        <f t="shared" si="95"/>
        <v>165.58406530682555</v>
      </c>
      <c r="F1641" s="1">
        <f t="shared" si="98"/>
        <v>-100.74200284716932</v>
      </c>
      <c r="G1641" s="1">
        <f t="shared" si="96"/>
        <v>1.7713487190229016E-44</v>
      </c>
      <c r="H1641" s="1">
        <f>G1641/$G$21</f>
        <v>1.24213095358583E-45</v>
      </c>
      <c r="I1641">
        <f>IF($E$11&lt;=D1641, IF(D1641&lt;=$A$15,D1641-$E$11,$F$11),0)</f>
        <v>300</v>
      </c>
      <c r="J1641">
        <f>IF(D1641&lt;=$A$15,0,D1641-$A$15)</f>
        <v>1309</v>
      </c>
      <c r="K1641" s="5">
        <f>IF(D1641&lt;$E$11,H1641,0)</f>
        <v>0</v>
      </c>
      <c r="L1641">
        <f>IF(D1641&lt;$A$15,$C$11,$C$11*(1-$G$11))</f>
        <v>200</v>
      </c>
      <c r="M1641">
        <f>IF(D1641&lt;$A$15,0,1)</f>
        <v>1</v>
      </c>
    </row>
    <row r="1642" spans="4:13" x14ac:dyDescent="0.2">
      <c r="D1642">
        <f t="shared" si="97"/>
        <v>1619</v>
      </c>
      <c r="E1642" s="1">
        <f t="shared" si="95"/>
        <v>165.50710426568943</v>
      </c>
      <c r="F1642" s="1">
        <f t="shared" si="98"/>
        <v>-100.81896388830543</v>
      </c>
      <c r="G1642" s="1">
        <f t="shared" si="96"/>
        <v>1.6401377027990037E-44</v>
      </c>
      <c r="H1642" s="1">
        <f>G1642/$G$21</f>
        <v>1.1501212533202274E-45</v>
      </c>
      <c r="I1642">
        <f>IF($E$11&lt;=D1642, IF(D1642&lt;=$A$15,D1642-$E$11,$F$11),0)</f>
        <v>300</v>
      </c>
      <c r="J1642">
        <f>IF(D1642&lt;=$A$15,0,D1642-$A$15)</f>
        <v>1310</v>
      </c>
      <c r="K1642" s="5">
        <f>IF(D1642&lt;$E$11,H1642,0)</f>
        <v>0</v>
      </c>
      <c r="L1642">
        <f>IF(D1642&lt;$A$15,$C$11,$C$11*(1-$G$11))</f>
        <v>200</v>
      </c>
      <c r="M1642">
        <f>IF(D1642&lt;$A$15,0,1)</f>
        <v>1</v>
      </c>
    </row>
    <row r="1643" spans="4:13" x14ac:dyDescent="0.2">
      <c r="D1643">
        <f t="shared" si="97"/>
        <v>1620</v>
      </c>
      <c r="E1643" s="1">
        <f t="shared" si="95"/>
        <v>165.43014322455332</v>
      </c>
      <c r="F1643" s="1">
        <f t="shared" si="98"/>
        <v>-100.89592492944155</v>
      </c>
      <c r="G1643" s="1">
        <f t="shared" si="96"/>
        <v>1.5186460211102077E-44</v>
      </c>
      <c r="H1643" s="1">
        <f>G1643/$G$21</f>
        <v>1.0649270864076314E-45</v>
      </c>
      <c r="I1643">
        <f>IF($E$11&lt;=D1643, IF(D1643&lt;=$A$15,D1643-$E$11,$F$11),0)</f>
        <v>300</v>
      </c>
      <c r="J1643">
        <f>IF(D1643&lt;=$A$15,0,D1643-$A$15)</f>
        <v>1311</v>
      </c>
      <c r="K1643" s="5">
        <f>IF(D1643&lt;$E$11,H1643,0)</f>
        <v>0</v>
      </c>
      <c r="L1643">
        <f>IF(D1643&lt;$A$15,$C$11,$C$11*(1-$G$11))</f>
        <v>200</v>
      </c>
      <c r="M1643">
        <f>IF(D1643&lt;$A$15,0,1)</f>
        <v>1</v>
      </c>
    </row>
    <row r="1644" spans="4:13" x14ac:dyDescent="0.2">
      <c r="D1644">
        <f t="shared" si="97"/>
        <v>1621</v>
      </c>
      <c r="E1644" s="1">
        <f t="shared" si="95"/>
        <v>165.3531821834172</v>
      </c>
      <c r="F1644" s="1">
        <f t="shared" si="98"/>
        <v>-100.97288597057766</v>
      </c>
      <c r="G1644" s="1">
        <f t="shared" si="96"/>
        <v>1.40615372325021E-44</v>
      </c>
      <c r="H1644" s="1">
        <f>G1644/$G$21</f>
        <v>9.8604359852559711E-46</v>
      </c>
      <c r="I1644">
        <f>IF($E$11&lt;=D1644, IF(D1644&lt;=$A$15,D1644-$E$11,$F$11),0)</f>
        <v>300</v>
      </c>
      <c r="J1644">
        <f>IF(D1644&lt;=$A$15,0,D1644-$A$15)</f>
        <v>1312</v>
      </c>
      <c r="K1644" s="5">
        <f>IF(D1644&lt;$E$11,H1644,0)</f>
        <v>0</v>
      </c>
      <c r="L1644">
        <f>IF(D1644&lt;$A$15,$C$11,$C$11*(1-$G$11))</f>
        <v>200</v>
      </c>
      <c r="M1644">
        <f>IF(D1644&lt;$A$15,0,1)</f>
        <v>1</v>
      </c>
    </row>
    <row r="1645" spans="4:13" x14ac:dyDescent="0.2">
      <c r="D1645">
        <f t="shared" si="97"/>
        <v>1622</v>
      </c>
      <c r="E1645" s="1">
        <f t="shared" si="95"/>
        <v>165.27622114228109</v>
      </c>
      <c r="F1645" s="1">
        <f t="shared" si="98"/>
        <v>-101.04984701171378</v>
      </c>
      <c r="G1645" s="1">
        <f t="shared" si="96"/>
        <v>1.3019941881946554E-44</v>
      </c>
      <c r="H1645" s="1">
        <f>G1645/$G$21</f>
        <v>9.1300333196815693E-46</v>
      </c>
      <c r="I1645">
        <f>IF($E$11&lt;=D1645, IF(D1645&lt;=$A$15,D1645-$E$11,$F$11),0)</f>
        <v>300</v>
      </c>
      <c r="J1645">
        <f>IF(D1645&lt;=$A$15,0,D1645-$A$15)</f>
        <v>1313</v>
      </c>
      <c r="K1645" s="5">
        <f>IF(D1645&lt;$E$11,H1645,0)</f>
        <v>0</v>
      </c>
      <c r="L1645">
        <f>IF(D1645&lt;$A$15,$C$11,$C$11*(1-$G$11))</f>
        <v>200</v>
      </c>
      <c r="M1645">
        <f>IF(D1645&lt;$A$15,0,1)</f>
        <v>1</v>
      </c>
    </row>
    <row r="1646" spans="4:13" x14ac:dyDescent="0.2">
      <c r="D1646">
        <f t="shared" si="97"/>
        <v>1623</v>
      </c>
      <c r="E1646" s="1">
        <f t="shared" si="95"/>
        <v>165.19926010114497</v>
      </c>
      <c r="F1646" s="1">
        <f t="shared" si="98"/>
        <v>-101.1268080528499</v>
      </c>
      <c r="G1646" s="1">
        <f t="shared" si="96"/>
        <v>1.2055501742543258E-44</v>
      </c>
      <c r="H1646" s="1">
        <f>G1646/$G$21</f>
        <v>8.4537345552608187E-46</v>
      </c>
      <c r="I1646">
        <f>IF($E$11&lt;=D1646, IF(D1646&lt;=$A$15,D1646-$E$11,$F$11),0)</f>
        <v>300</v>
      </c>
      <c r="J1646">
        <f>IF(D1646&lt;=$A$15,0,D1646-$A$15)</f>
        <v>1314</v>
      </c>
      <c r="K1646" s="5">
        <f>IF(D1646&lt;$E$11,H1646,0)</f>
        <v>0</v>
      </c>
      <c r="L1646">
        <f>IF(D1646&lt;$A$15,$C$11,$C$11*(1-$G$11))</f>
        <v>200</v>
      </c>
      <c r="M1646">
        <f>IF(D1646&lt;$A$15,0,1)</f>
        <v>1</v>
      </c>
    </row>
    <row r="1647" spans="4:13" x14ac:dyDescent="0.2">
      <c r="D1647">
        <f t="shared" si="97"/>
        <v>1624</v>
      </c>
      <c r="E1647" s="1">
        <f t="shared" si="95"/>
        <v>165.12229906000886</v>
      </c>
      <c r="F1647" s="1">
        <f t="shared" si="98"/>
        <v>-101.20376909398601</v>
      </c>
      <c r="G1647" s="1">
        <f t="shared" si="96"/>
        <v>1.1162501613466121E-44</v>
      </c>
      <c r="H1647" s="1">
        <f>G1647/$G$21</f>
        <v>7.8275319956119682E-46</v>
      </c>
      <c r="I1647">
        <f>IF($E$11&lt;=D1647, IF(D1647&lt;=$A$15,D1647-$E$11,$F$11),0)</f>
        <v>300</v>
      </c>
      <c r="J1647">
        <f>IF(D1647&lt;=$A$15,0,D1647-$A$15)</f>
        <v>1315</v>
      </c>
      <c r="K1647" s="5">
        <f>IF(D1647&lt;$E$11,H1647,0)</f>
        <v>0</v>
      </c>
      <c r="L1647">
        <f>IF(D1647&lt;$A$15,$C$11,$C$11*(1-$G$11))</f>
        <v>200</v>
      </c>
      <c r="M1647">
        <f>IF(D1647&lt;$A$15,0,1)</f>
        <v>1</v>
      </c>
    </row>
    <row r="1648" spans="4:13" x14ac:dyDescent="0.2">
      <c r="D1648">
        <f t="shared" si="97"/>
        <v>1625</v>
      </c>
      <c r="E1648" s="1">
        <f t="shared" si="95"/>
        <v>165.04533801887274</v>
      </c>
      <c r="F1648" s="1">
        <f t="shared" si="98"/>
        <v>-101.28073013512213</v>
      </c>
      <c r="G1648" s="1">
        <f t="shared" si="96"/>
        <v>1.0335649642098391E-44</v>
      </c>
      <c r="H1648" s="1">
        <f>G1648/$G$21</f>
        <v>7.2477148107519149E-46</v>
      </c>
      <c r="I1648">
        <f>IF($E$11&lt;=D1648, IF(D1648&lt;=$A$15,D1648-$E$11,$F$11),0)</f>
        <v>300</v>
      </c>
      <c r="J1648">
        <f>IF(D1648&lt;=$A$15,0,D1648-$A$15)</f>
        <v>1316</v>
      </c>
      <c r="K1648" s="5">
        <f>IF(D1648&lt;$E$11,H1648,0)</f>
        <v>0</v>
      </c>
      <c r="L1648">
        <f>IF(D1648&lt;$A$15,$C$11,$C$11*(1-$G$11))</f>
        <v>200</v>
      </c>
      <c r="M1648">
        <f>IF(D1648&lt;$A$15,0,1)</f>
        <v>1</v>
      </c>
    </row>
    <row r="1649" spans="4:13" x14ac:dyDescent="0.2">
      <c r="D1649">
        <f t="shared" si="97"/>
        <v>1626</v>
      </c>
      <c r="E1649" s="1">
        <f t="shared" si="95"/>
        <v>164.96837697773663</v>
      </c>
      <c r="F1649" s="1">
        <f t="shared" si="98"/>
        <v>-101.35769117625824</v>
      </c>
      <c r="G1649" s="1">
        <f t="shared" si="96"/>
        <v>9.5700459649060391E-45</v>
      </c>
      <c r="H1649" s="1">
        <f>G1649/$G$21</f>
        <v>6.7108470469925992E-46</v>
      </c>
      <c r="I1649">
        <f>IF($E$11&lt;=D1649, IF(D1649&lt;=$A$15,D1649-$E$11,$F$11),0)</f>
        <v>300</v>
      </c>
      <c r="J1649">
        <f>IF(D1649&lt;=$A$15,0,D1649-$A$15)</f>
        <v>1317</v>
      </c>
      <c r="K1649" s="5">
        <f>IF(D1649&lt;$E$11,H1649,0)</f>
        <v>0</v>
      </c>
      <c r="L1649">
        <f>IF(D1649&lt;$A$15,$C$11,$C$11*(1-$G$11))</f>
        <v>200</v>
      </c>
      <c r="M1649">
        <f>IF(D1649&lt;$A$15,0,1)</f>
        <v>1</v>
      </c>
    </row>
    <row r="1650" spans="4:13" x14ac:dyDescent="0.2">
      <c r="D1650">
        <f t="shared" si="97"/>
        <v>1627</v>
      </c>
      <c r="E1650" s="1">
        <f t="shared" si="95"/>
        <v>164.89141593660051</v>
      </c>
      <c r="F1650" s="1">
        <f t="shared" si="98"/>
        <v>-101.43465221739436</v>
      </c>
      <c r="G1650" s="1">
        <f t="shared" si="96"/>
        <v>8.8611536712094069E-45</v>
      </c>
      <c r="H1650" s="1">
        <f>G1650/$G$21</f>
        <v>6.2137472657339659E-46</v>
      </c>
      <c r="I1650">
        <f>IF($E$11&lt;=D1650, IF(D1650&lt;=$A$15,D1650-$E$11,$F$11),0)</f>
        <v>300</v>
      </c>
      <c r="J1650">
        <f>IF(D1650&lt;=$A$15,0,D1650-$A$15)</f>
        <v>1318</v>
      </c>
      <c r="K1650" s="5">
        <f>IF(D1650&lt;$E$11,H1650,0)</f>
        <v>0</v>
      </c>
      <c r="L1650">
        <f>IF(D1650&lt;$A$15,$C$11,$C$11*(1-$G$11))</f>
        <v>200</v>
      </c>
      <c r="M1650">
        <f>IF(D1650&lt;$A$15,0,1)</f>
        <v>1</v>
      </c>
    </row>
    <row r="1651" spans="4:13" x14ac:dyDescent="0.2">
      <c r="D1651">
        <f t="shared" si="97"/>
        <v>1628</v>
      </c>
      <c r="E1651" s="1">
        <f t="shared" si="95"/>
        <v>164.81445489546439</v>
      </c>
      <c r="F1651" s="1">
        <f t="shared" si="98"/>
        <v>-101.51161325853047</v>
      </c>
      <c r="G1651" s="1">
        <f t="shared" si="96"/>
        <v>8.2047719177865913E-45</v>
      </c>
      <c r="H1651" s="1">
        <f>G1651/$G$21</f>
        <v>5.7534696904944853E-46</v>
      </c>
      <c r="I1651">
        <f>IF($E$11&lt;=D1651, IF(D1651&lt;=$A$15,D1651-$E$11,$F$11),0)</f>
        <v>300</v>
      </c>
      <c r="J1651">
        <f>IF(D1651&lt;=$A$15,0,D1651-$A$15)</f>
        <v>1319</v>
      </c>
      <c r="K1651" s="5">
        <f>IF(D1651&lt;$E$11,H1651,0)</f>
        <v>0</v>
      </c>
      <c r="L1651">
        <f>IF(D1651&lt;$A$15,$C$11,$C$11*(1-$G$11))</f>
        <v>200</v>
      </c>
      <c r="M1651">
        <f>IF(D1651&lt;$A$15,0,1)</f>
        <v>1</v>
      </c>
    </row>
    <row r="1652" spans="4:13" x14ac:dyDescent="0.2">
      <c r="D1652">
        <f t="shared" si="97"/>
        <v>1629</v>
      </c>
      <c r="E1652" s="1">
        <f t="shared" si="95"/>
        <v>164.73749385432828</v>
      </c>
      <c r="F1652" s="1">
        <f t="shared" si="98"/>
        <v>-101.58857429966659</v>
      </c>
      <c r="G1652" s="1">
        <f t="shared" si="96"/>
        <v>7.5970110349876812E-45</v>
      </c>
      <c r="H1652" s="1">
        <f>G1652/$G$21</f>
        <v>5.3272867504579245E-46</v>
      </c>
      <c r="I1652">
        <f>IF($E$11&lt;=D1652, IF(D1652&lt;=$A$15,D1652-$E$11,$F$11),0)</f>
        <v>300</v>
      </c>
      <c r="J1652">
        <f>IF(D1652&lt;=$A$15,0,D1652-$A$15)</f>
        <v>1320</v>
      </c>
      <c r="K1652" s="5">
        <f>IF(D1652&lt;$E$11,H1652,0)</f>
        <v>0</v>
      </c>
      <c r="L1652">
        <f>IF(D1652&lt;$A$15,$C$11,$C$11*(1-$G$11))</f>
        <v>200</v>
      </c>
      <c r="M1652">
        <f>IF(D1652&lt;$A$15,0,1)</f>
        <v>1</v>
      </c>
    </row>
    <row r="1653" spans="4:13" x14ac:dyDescent="0.2">
      <c r="D1653">
        <f t="shared" si="97"/>
        <v>1630</v>
      </c>
      <c r="E1653" s="1">
        <f t="shared" si="95"/>
        <v>164.66053281319216</v>
      </c>
      <c r="F1653" s="1">
        <f t="shared" si="98"/>
        <v>-101.66553534080271</v>
      </c>
      <c r="G1653" s="1">
        <f t="shared" si="96"/>
        <v>7.0342694768405338E-45</v>
      </c>
      <c r="H1653" s="1">
        <f>G1653/$G$21</f>
        <v>4.9326729170907332E-46</v>
      </c>
      <c r="I1653">
        <f>IF($E$11&lt;=D1653, IF(D1653&lt;=$A$15,D1653-$E$11,$F$11),0)</f>
        <v>300</v>
      </c>
      <c r="J1653">
        <f>IF(D1653&lt;=$A$15,0,D1653-$A$15)</f>
        <v>1321</v>
      </c>
      <c r="K1653" s="5">
        <f>IF(D1653&lt;$E$11,H1653,0)</f>
        <v>0</v>
      </c>
      <c r="L1653">
        <f>IF(D1653&lt;$A$15,$C$11,$C$11*(1-$G$11))</f>
        <v>200</v>
      </c>
      <c r="M1653">
        <f>IF(D1653&lt;$A$15,0,1)</f>
        <v>1</v>
      </c>
    </row>
    <row r="1654" spans="4:13" x14ac:dyDescent="0.2">
      <c r="D1654">
        <f t="shared" si="97"/>
        <v>1631</v>
      </c>
      <c r="E1654" s="1">
        <f t="shared" si="95"/>
        <v>164.58357177205605</v>
      </c>
      <c r="F1654" s="1">
        <f t="shared" si="98"/>
        <v>-101.74249638193882</v>
      </c>
      <c r="G1654" s="1">
        <f t="shared" si="96"/>
        <v>6.5132124785561324E-45</v>
      </c>
      <c r="H1654" s="1">
        <f>G1654/$G$21</f>
        <v>4.5672897380470329E-46</v>
      </c>
      <c r="I1654">
        <f>IF($E$11&lt;=D1654, IF(D1654&lt;=$A$15,D1654-$E$11,$F$11),0)</f>
        <v>300</v>
      </c>
      <c r="J1654">
        <f>IF(D1654&lt;=$A$15,0,D1654-$A$15)</f>
        <v>1322</v>
      </c>
      <c r="K1654" s="5">
        <f>IF(D1654&lt;$E$11,H1654,0)</f>
        <v>0</v>
      </c>
      <c r="L1654">
        <f>IF(D1654&lt;$A$15,$C$11,$C$11*(1-$G$11))</f>
        <v>200</v>
      </c>
      <c r="M1654">
        <f>IF(D1654&lt;$A$15,0,1)</f>
        <v>1</v>
      </c>
    </row>
    <row r="1655" spans="4:13" x14ac:dyDescent="0.2">
      <c r="D1655">
        <f t="shared" si="97"/>
        <v>1632</v>
      </c>
      <c r="E1655" s="1">
        <f t="shared" si="95"/>
        <v>164.50661073091993</v>
      </c>
      <c r="F1655" s="1">
        <f t="shared" si="98"/>
        <v>-101.81945742307494</v>
      </c>
      <c r="G1655" s="1">
        <f t="shared" si="96"/>
        <v>6.0307522949594588E-45</v>
      </c>
      <c r="H1655" s="1">
        <f>G1655/$G$21</f>
        <v>4.2289719796732327E-46</v>
      </c>
      <c r="I1655">
        <f>IF($E$11&lt;=D1655, IF(D1655&lt;=$A$15,D1655-$E$11,$F$11),0)</f>
        <v>300</v>
      </c>
      <c r="J1655">
        <f>IF(D1655&lt;=$A$15,0,D1655-$A$15)</f>
        <v>1323</v>
      </c>
      <c r="K1655" s="5">
        <f>IF(D1655&lt;$E$11,H1655,0)</f>
        <v>0</v>
      </c>
      <c r="L1655">
        <f>IF(D1655&lt;$A$15,$C$11,$C$11*(1-$G$11))</f>
        <v>200</v>
      </c>
      <c r="M1655">
        <f>IF(D1655&lt;$A$15,0,1)</f>
        <v>1</v>
      </c>
    </row>
    <row r="1656" spans="4:13" x14ac:dyDescent="0.2">
      <c r="D1656">
        <f t="shared" si="97"/>
        <v>1633</v>
      </c>
      <c r="E1656" s="1">
        <f t="shared" si="95"/>
        <v>164.42964968978382</v>
      </c>
      <c r="F1656" s="1">
        <f t="shared" si="98"/>
        <v>-101.89641846421105</v>
      </c>
      <c r="G1656" s="1">
        <f t="shared" si="96"/>
        <v>5.5840299027403097E-45</v>
      </c>
      <c r="H1656" s="1">
        <f>G1656/$G$21</f>
        <v>3.9157147959937833E-46</v>
      </c>
      <c r="I1656">
        <f>IF($E$11&lt;=D1656, IF(D1656&lt;=$A$15,D1656-$E$11,$F$11),0)</f>
        <v>300</v>
      </c>
      <c r="J1656">
        <f>IF(D1656&lt;=$A$15,0,D1656-$A$15)</f>
        <v>1324</v>
      </c>
      <c r="K1656" s="5">
        <f>IF(D1656&lt;$E$11,H1656,0)</f>
        <v>0</v>
      </c>
      <c r="L1656">
        <f>IF(D1656&lt;$A$15,$C$11,$C$11*(1-$G$11))</f>
        <v>200</v>
      </c>
      <c r="M1656">
        <f>IF(D1656&lt;$A$15,0,1)</f>
        <v>1</v>
      </c>
    </row>
    <row r="1657" spans="4:13" x14ac:dyDescent="0.2">
      <c r="D1657">
        <f t="shared" si="97"/>
        <v>1634</v>
      </c>
      <c r="E1657" s="1">
        <f t="shared" si="95"/>
        <v>164.3526886486477</v>
      </c>
      <c r="F1657" s="1">
        <f t="shared" si="98"/>
        <v>-101.97337950534717</v>
      </c>
      <c r="G1657" s="1">
        <f t="shared" si="96"/>
        <v>5.1703980580929449E-45</v>
      </c>
      <c r="H1657" s="1">
        <f>G1657/$G$21</f>
        <v>3.6256618481424377E-46</v>
      </c>
      <c r="I1657">
        <f>IF($E$11&lt;=D1657, IF(D1657&lt;=$A$15,D1657-$E$11,$F$11),0)</f>
        <v>300</v>
      </c>
      <c r="J1657">
        <f>IF(D1657&lt;=$A$15,0,D1657-$A$15)</f>
        <v>1325</v>
      </c>
      <c r="K1657" s="5">
        <f>IF(D1657&lt;$E$11,H1657,0)</f>
        <v>0</v>
      </c>
      <c r="L1657">
        <f>IF(D1657&lt;$A$15,$C$11,$C$11*(1-$G$11))</f>
        <v>200</v>
      </c>
      <c r="M1657">
        <f>IF(D1657&lt;$A$15,0,1)</f>
        <v>1</v>
      </c>
    </row>
    <row r="1658" spans="4:13" x14ac:dyDescent="0.2">
      <c r="D1658">
        <f t="shared" si="97"/>
        <v>1635</v>
      </c>
      <c r="E1658" s="1">
        <f t="shared" si="95"/>
        <v>164.27572760751158</v>
      </c>
      <c r="F1658" s="1">
        <f t="shared" si="98"/>
        <v>-102.05034054648328</v>
      </c>
      <c r="G1658" s="1">
        <f t="shared" si="96"/>
        <v>4.7874056093453797E-45</v>
      </c>
      <c r="H1658" s="1">
        <f>G1658/$G$21</f>
        <v>3.3570943038356327E-46</v>
      </c>
      <c r="I1658">
        <f>IF($E$11&lt;=D1658, IF(D1658&lt;=$A$15,D1658-$E$11,$F$11),0)</f>
        <v>300</v>
      </c>
      <c r="J1658">
        <f>IF(D1658&lt;=$A$15,0,D1658-$A$15)</f>
        <v>1326</v>
      </c>
      <c r="K1658" s="5">
        <f>IF(D1658&lt;$E$11,H1658,0)</f>
        <v>0</v>
      </c>
      <c r="L1658">
        <f>IF(D1658&lt;$A$15,$C$11,$C$11*(1-$G$11))</f>
        <v>200</v>
      </c>
      <c r="M1658">
        <f>IF(D1658&lt;$A$15,0,1)</f>
        <v>1</v>
      </c>
    </row>
    <row r="1659" spans="4:13" x14ac:dyDescent="0.2">
      <c r="D1659">
        <f t="shared" si="97"/>
        <v>1636</v>
      </c>
      <c r="E1659" s="1">
        <f t="shared" si="95"/>
        <v>164.19876656637547</v>
      </c>
      <c r="F1659" s="1">
        <f t="shared" si="98"/>
        <v>-102.1273015876194</v>
      </c>
      <c r="G1659" s="1">
        <f t="shared" si="96"/>
        <v>4.4327829716161486E-45</v>
      </c>
      <c r="H1659" s="1">
        <f>G1659/$G$21</f>
        <v>3.1084206516996992E-46</v>
      </c>
      <c r="I1659">
        <f>IF($E$11&lt;=D1659, IF(D1659&lt;=$A$15,D1659-$E$11,$F$11),0)</f>
        <v>300</v>
      </c>
      <c r="J1659">
        <f>IF(D1659&lt;=$A$15,0,D1659-$A$15)</f>
        <v>1327</v>
      </c>
      <c r="K1659" s="5">
        <f>IF(D1659&lt;$E$11,H1659,0)</f>
        <v>0</v>
      </c>
      <c r="L1659">
        <f>IF(D1659&lt;$A$15,$C$11,$C$11*(1-$G$11))</f>
        <v>200</v>
      </c>
      <c r="M1659">
        <f>IF(D1659&lt;$A$15,0,1)</f>
        <v>1</v>
      </c>
    </row>
    <row r="1660" spans="4:13" x14ac:dyDescent="0.2">
      <c r="D1660">
        <f t="shared" si="97"/>
        <v>1637</v>
      </c>
      <c r="E1660" s="1">
        <f t="shared" si="95"/>
        <v>164.12180552523935</v>
      </c>
      <c r="F1660" s="1">
        <f t="shared" si="98"/>
        <v>-102.20426262875552</v>
      </c>
      <c r="G1660" s="1">
        <f t="shared" si="96"/>
        <v>4.1044286774224115E-45</v>
      </c>
      <c r="H1660" s="1">
        <f>G1660/$G$21</f>
        <v>2.8781672700923505E-46</v>
      </c>
      <c r="I1660">
        <f>IF($E$11&lt;=D1660, IF(D1660&lt;=$A$15,D1660-$E$11,$F$11),0)</f>
        <v>300</v>
      </c>
      <c r="J1660">
        <f>IF(D1660&lt;=$A$15,0,D1660-$A$15)</f>
        <v>1328</v>
      </c>
      <c r="K1660" s="5">
        <f>IF(D1660&lt;$E$11,H1660,0)</f>
        <v>0</v>
      </c>
      <c r="L1660">
        <f>IF(D1660&lt;$A$15,$C$11,$C$11*(1-$G$11))</f>
        <v>200</v>
      </c>
      <c r="M1660">
        <f>IF(D1660&lt;$A$15,0,1)</f>
        <v>1</v>
      </c>
    </row>
    <row r="1661" spans="4:13" x14ac:dyDescent="0.2">
      <c r="D1661">
        <f t="shared" si="97"/>
        <v>1638</v>
      </c>
      <c r="E1661" s="1">
        <f t="shared" si="95"/>
        <v>164.04484448410324</v>
      </c>
      <c r="F1661" s="1">
        <f t="shared" si="98"/>
        <v>-102.28122366989163</v>
      </c>
      <c r="G1661" s="1">
        <f t="shared" si="96"/>
        <v>3.800396923539318E-45</v>
      </c>
      <c r="H1661" s="1">
        <f>G1661/$G$21</f>
        <v>2.6649696945299879E-46</v>
      </c>
      <c r="I1661">
        <f>IF($E$11&lt;=D1661, IF(D1661&lt;=$A$15,D1661-$E$11,$F$11),0)</f>
        <v>300</v>
      </c>
      <c r="J1661">
        <f>IF(D1661&lt;=$A$15,0,D1661-$A$15)</f>
        <v>1329</v>
      </c>
      <c r="K1661" s="5">
        <f>IF(D1661&lt;$E$11,H1661,0)</f>
        <v>0</v>
      </c>
      <c r="L1661">
        <f>IF(D1661&lt;$A$15,$C$11,$C$11*(1-$G$11))</f>
        <v>200</v>
      </c>
      <c r="M1661">
        <f>IF(D1661&lt;$A$15,0,1)</f>
        <v>1</v>
      </c>
    </row>
    <row r="1662" spans="4:13" x14ac:dyDescent="0.2">
      <c r="D1662">
        <f t="shared" si="97"/>
        <v>1639</v>
      </c>
      <c r="E1662" s="1">
        <f t="shared" si="95"/>
        <v>163.96788344296712</v>
      </c>
      <c r="F1662" s="1">
        <f t="shared" si="98"/>
        <v>-102.35818471102775</v>
      </c>
      <c r="G1662" s="1">
        <f t="shared" si="96"/>
        <v>3.518886040314228E-45</v>
      </c>
      <c r="H1662" s="1">
        <f>G1662/$G$21</f>
        <v>2.4675645319722422E-46</v>
      </c>
      <c r="I1662">
        <f>IF($E$11&lt;=D1662, IF(D1662&lt;=$A$15,D1662-$E$11,$F$11),0)</f>
        <v>300</v>
      </c>
      <c r="J1662">
        <f>IF(D1662&lt;=$A$15,0,D1662-$A$15)</f>
        <v>1330</v>
      </c>
      <c r="K1662" s="5">
        <f>IF(D1662&lt;$E$11,H1662,0)</f>
        <v>0</v>
      </c>
      <c r="L1662">
        <f>IF(D1662&lt;$A$15,$C$11,$C$11*(1-$G$11))</f>
        <v>200</v>
      </c>
      <c r="M1662">
        <f>IF(D1662&lt;$A$15,0,1)</f>
        <v>1</v>
      </c>
    </row>
    <row r="1663" spans="4:13" x14ac:dyDescent="0.2">
      <c r="D1663">
        <f t="shared" si="97"/>
        <v>1640</v>
      </c>
      <c r="E1663" s="1">
        <f t="shared" si="95"/>
        <v>163.89092240183101</v>
      </c>
      <c r="F1663" s="1">
        <f t="shared" si="98"/>
        <v>-102.43514575216386</v>
      </c>
      <c r="G1663" s="1">
        <f t="shared" si="96"/>
        <v>3.258227815105808E-45</v>
      </c>
      <c r="H1663" s="1">
        <f>G1663/$G$21</f>
        <v>2.2847819740484013E-46</v>
      </c>
      <c r="I1663">
        <f>IF($E$11&lt;=D1663, IF(D1663&lt;=$A$15,D1663-$E$11,$F$11),0)</f>
        <v>300</v>
      </c>
      <c r="J1663">
        <f>IF(D1663&lt;=$A$15,0,D1663-$A$15)</f>
        <v>1331</v>
      </c>
      <c r="K1663" s="5">
        <f>IF(D1663&lt;$E$11,H1663,0)</f>
        <v>0</v>
      </c>
      <c r="L1663">
        <f>IF(D1663&lt;$A$15,$C$11,$C$11*(1-$G$11))</f>
        <v>200</v>
      </c>
      <c r="M1663">
        <f>IF(D1663&lt;$A$15,0,1)</f>
        <v>1</v>
      </c>
    </row>
    <row r="1664" spans="4:13" x14ac:dyDescent="0.2">
      <c r="D1664">
        <f t="shared" si="97"/>
        <v>1641</v>
      </c>
      <c r="E1664" s="1">
        <f t="shared" si="95"/>
        <v>163.81396136069489</v>
      </c>
      <c r="F1664" s="1">
        <f t="shared" si="98"/>
        <v>-102.51210679329998</v>
      </c>
      <c r="G1664" s="1">
        <f t="shared" si="96"/>
        <v>3.0168776065794899E-45</v>
      </c>
      <c r="H1664" s="1">
        <f>G1664/$G$21</f>
        <v>2.1155388648596576E-46</v>
      </c>
      <c r="I1664">
        <f>IF($E$11&lt;=D1664, IF(D1664&lt;=$A$15,D1664-$E$11,$F$11),0)</f>
        <v>300</v>
      </c>
      <c r="J1664">
        <f>IF(D1664&lt;=$A$15,0,D1664-$A$15)</f>
        <v>1332</v>
      </c>
      <c r="K1664" s="5">
        <f>IF(D1664&lt;$E$11,H1664,0)</f>
        <v>0</v>
      </c>
      <c r="L1664">
        <f>IF(D1664&lt;$A$15,$C$11,$C$11*(1-$G$11))</f>
        <v>200</v>
      </c>
      <c r="M1664">
        <f>IF(D1664&lt;$A$15,0,1)</f>
        <v>1</v>
      </c>
    </row>
    <row r="1665" spans="4:13" x14ac:dyDescent="0.2">
      <c r="D1665">
        <f t="shared" si="97"/>
        <v>1642</v>
      </c>
      <c r="E1665" s="1">
        <f t="shared" si="95"/>
        <v>163.73700031955877</v>
      </c>
      <c r="F1665" s="1">
        <f t="shared" si="98"/>
        <v>-102.58906783443609</v>
      </c>
      <c r="G1665" s="1">
        <f t="shared" si="96"/>
        <v>2.7934051912773407E-45</v>
      </c>
      <c r="H1665" s="1">
        <f>G1665/$G$21</f>
        <v>1.9588322822774855E-46</v>
      </c>
      <c r="I1665">
        <f>IF($E$11&lt;=D1665, IF(D1665&lt;=$A$15,D1665-$E$11,$F$11),0)</f>
        <v>300</v>
      </c>
      <c r="J1665">
        <f>IF(D1665&lt;=$A$15,0,D1665-$A$15)</f>
        <v>1333</v>
      </c>
      <c r="K1665" s="5">
        <f>IF(D1665&lt;$E$11,H1665,0)</f>
        <v>0</v>
      </c>
      <c r="L1665">
        <f>IF(D1665&lt;$A$15,$C$11,$C$11*(1-$G$11))</f>
        <v>200</v>
      </c>
      <c r="M1665">
        <f>IF(D1665&lt;$A$15,0,1)</f>
        <v>1</v>
      </c>
    </row>
    <row r="1666" spans="4:13" x14ac:dyDescent="0.2">
      <c r="D1666">
        <f t="shared" si="97"/>
        <v>1643</v>
      </c>
      <c r="E1666" s="1">
        <f t="shared" si="95"/>
        <v>163.66003927842266</v>
      </c>
      <c r="F1666" s="1">
        <f t="shared" si="98"/>
        <v>-102.66602887557221</v>
      </c>
      <c r="G1666" s="1">
        <f t="shared" si="96"/>
        <v>2.5864862882197926E-45</v>
      </c>
      <c r="H1666" s="1">
        <f>G1666/$G$21</f>
        <v>1.8137335947013983E-46</v>
      </c>
      <c r="I1666">
        <f>IF($E$11&lt;=D1666, IF(D1666&lt;=$A$15,D1666-$E$11,$F$11),0)</f>
        <v>300</v>
      </c>
      <c r="J1666">
        <f>IF(D1666&lt;=$A$15,0,D1666-$A$15)</f>
        <v>1334</v>
      </c>
      <c r="K1666" s="5">
        <f>IF(D1666&lt;$E$11,H1666,0)</f>
        <v>0</v>
      </c>
      <c r="L1666">
        <f>IF(D1666&lt;$A$15,$C$11,$C$11*(1-$G$11))</f>
        <v>200</v>
      </c>
      <c r="M1666">
        <f>IF(D1666&lt;$A$15,0,1)</f>
        <v>1</v>
      </c>
    </row>
    <row r="1667" spans="4:13" x14ac:dyDescent="0.2">
      <c r="D1667">
        <f t="shared" si="97"/>
        <v>1644</v>
      </c>
      <c r="E1667" s="1">
        <f t="shared" si="95"/>
        <v>163.58307823728654</v>
      </c>
      <c r="F1667" s="1">
        <f t="shared" si="98"/>
        <v>-102.74298991670832</v>
      </c>
      <c r="G1667" s="1">
        <f t="shared" si="96"/>
        <v>2.3948947113146529E-45</v>
      </c>
      <c r="H1667" s="1">
        <f>G1667/$G$21</f>
        <v>1.6793829580568716E-46</v>
      </c>
      <c r="I1667">
        <f>IF($E$11&lt;=D1667, IF(D1667&lt;=$A$15,D1667-$E$11,$F$11),0)</f>
        <v>300</v>
      </c>
      <c r="J1667">
        <f>IF(D1667&lt;=$A$15,0,D1667-$A$15)</f>
        <v>1335</v>
      </c>
      <c r="K1667" s="5">
        <f>IF(D1667&lt;$E$11,H1667,0)</f>
        <v>0</v>
      </c>
      <c r="L1667">
        <f>IF(D1667&lt;$A$15,$C$11,$C$11*(1-$G$11))</f>
        <v>200</v>
      </c>
      <c r="M1667">
        <f>IF(D1667&lt;$A$15,0,1)</f>
        <v>1</v>
      </c>
    </row>
    <row r="1668" spans="4:13" x14ac:dyDescent="0.2">
      <c r="D1668">
        <f t="shared" si="97"/>
        <v>1645</v>
      </c>
      <c r="E1668" s="1">
        <f t="shared" ref="E1668:F1731" si="99">IF($G$11=1,IF(D1668&lt;=$A$15, E1667+LN($C$11)-LN(60/$D$11)-LN(MIN(D1668,$E$11)), E1667-LN(60/$D$11)-LN(MIN(D1668,$E$11))), IF(D1668&lt;=$A$15, E1667+LN($C$11)-LN(60/$D$11)-LN(MIN(D1668,$E$11)), E1667+LN($C$11)+LN(1-$G$11)-LN(60/$D$11)-LN(MIN(D1668,$E$11))))</f>
        <v>163.50611719615043</v>
      </c>
      <c r="F1668" s="1">
        <f t="shared" si="98"/>
        <v>-102.81995095784444</v>
      </c>
      <c r="G1668" s="1">
        <f t="shared" si="96"/>
        <v>2.2174951030691513E-45</v>
      </c>
      <c r="H1668" s="1">
        <f>G1668/$G$21</f>
        <v>1.554984220423049E-46</v>
      </c>
      <c r="I1668">
        <f>IF($E$11&lt;=D1668, IF(D1668&lt;=$A$15,D1668-$E$11,$F$11),0)</f>
        <v>300</v>
      </c>
      <c r="J1668">
        <f>IF(D1668&lt;=$A$15,0,D1668-$A$15)</f>
        <v>1336</v>
      </c>
      <c r="K1668" s="5">
        <f>IF(D1668&lt;$E$11,H1668,0)</f>
        <v>0</v>
      </c>
      <c r="L1668">
        <f>IF(D1668&lt;$A$15,$C$11,$C$11*(1-$G$11))</f>
        <v>200</v>
      </c>
      <c r="M1668">
        <f>IF(D1668&lt;$A$15,0,1)</f>
        <v>1</v>
      </c>
    </row>
    <row r="1669" spans="4:13" x14ac:dyDescent="0.2">
      <c r="D1669">
        <f t="shared" si="97"/>
        <v>1646</v>
      </c>
      <c r="E1669" s="1">
        <f t="shared" si="99"/>
        <v>163.42915615501431</v>
      </c>
      <c r="F1669" s="1">
        <f t="shared" si="98"/>
        <v>-102.89691199898056</v>
      </c>
      <c r="G1669" s="1">
        <f t="shared" si="96"/>
        <v>2.0532362065455364E-45</v>
      </c>
      <c r="H1669" s="1">
        <f>G1669/$G$21</f>
        <v>1.4398002040954339E-46</v>
      </c>
      <c r="I1669">
        <f>IF($E$11&lt;=D1669, IF(D1669&lt;=$A$15,D1669-$E$11,$F$11),0)</f>
        <v>300</v>
      </c>
      <c r="J1669">
        <f>IF(D1669&lt;=$A$15,0,D1669-$A$15)</f>
        <v>1337</v>
      </c>
      <c r="K1669" s="5">
        <f>IF(D1669&lt;$E$11,H1669,0)</f>
        <v>0</v>
      </c>
      <c r="L1669">
        <f>IF(D1669&lt;$A$15,$C$11,$C$11*(1-$G$11))</f>
        <v>200</v>
      </c>
      <c r="M1669">
        <f>IF(D1669&lt;$A$15,0,1)</f>
        <v>1</v>
      </c>
    </row>
    <row r="1670" spans="4:13" x14ac:dyDescent="0.2">
      <c r="D1670">
        <f t="shared" si="97"/>
        <v>1647</v>
      </c>
      <c r="E1670" s="1">
        <f t="shared" si="99"/>
        <v>163.3521951138782</v>
      </c>
      <c r="F1670" s="1">
        <f t="shared" si="98"/>
        <v>-102.97387304011667</v>
      </c>
      <c r="G1670" s="1">
        <f t="shared" si="96"/>
        <v>1.9011446356903353E-45</v>
      </c>
      <c r="H1670" s="1">
        <f>G1670/$G$21</f>
        <v>1.3331483371254185E-46</v>
      </c>
      <c r="I1670">
        <f>IF($E$11&lt;=D1670, IF(D1670&lt;=$A$15,D1670-$E$11,$F$11),0)</f>
        <v>300</v>
      </c>
      <c r="J1670">
        <f>IF(D1670&lt;=$A$15,0,D1670-$A$15)</f>
        <v>1338</v>
      </c>
      <c r="K1670" s="5">
        <f>IF(D1670&lt;$E$11,H1670,0)</f>
        <v>0</v>
      </c>
      <c r="L1670">
        <f>IF(D1670&lt;$A$15,$C$11,$C$11*(1-$G$11))</f>
        <v>200</v>
      </c>
      <c r="M1670">
        <f>IF(D1670&lt;$A$15,0,1)</f>
        <v>1</v>
      </c>
    </row>
    <row r="1671" spans="4:13" x14ac:dyDescent="0.2">
      <c r="D1671">
        <f t="shared" si="97"/>
        <v>1648</v>
      </c>
      <c r="E1671" s="1">
        <f t="shared" si="99"/>
        <v>163.27523407274208</v>
      </c>
      <c r="F1671" s="1">
        <f t="shared" si="98"/>
        <v>-103.05083408125279</v>
      </c>
      <c r="G1671" s="1">
        <f t="shared" si="96"/>
        <v>1.7603191071207033E-45</v>
      </c>
      <c r="H1671" s="1">
        <f>G1671/$G$21</f>
        <v>1.2343966084494774E-46</v>
      </c>
      <c r="I1671">
        <f>IF($E$11&lt;=D1671, IF(D1671&lt;=$A$15,D1671-$E$11,$F$11),0)</f>
        <v>300</v>
      </c>
      <c r="J1671">
        <f>IF(D1671&lt;=$A$15,0,D1671-$A$15)</f>
        <v>1339</v>
      </c>
      <c r="K1671" s="5">
        <f>IF(D1671&lt;$E$11,H1671,0)</f>
        <v>0</v>
      </c>
      <c r="L1671">
        <f>IF(D1671&lt;$A$15,$C$11,$C$11*(1-$G$11))</f>
        <v>200</v>
      </c>
      <c r="M1671">
        <f>IF(D1671&lt;$A$15,0,1)</f>
        <v>1</v>
      </c>
    </row>
    <row r="1672" spans="4:13" x14ac:dyDescent="0.2">
      <c r="D1672">
        <f t="shared" si="97"/>
        <v>1649</v>
      </c>
      <c r="E1672" s="1">
        <f t="shared" si="99"/>
        <v>163.19827303160596</v>
      </c>
      <c r="F1672" s="1">
        <f t="shared" si="98"/>
        <v>-103.1277951223889</v>
      </c>
      <c r="G1672" s="1">
        <f t="shared" si="96"/>
        <v>1.6299250991858568E-45</v>
      </c>
      <c r="H1672" s="1">
        <f>G1672/$G$21</f>
        <v>1.1429598226384192E-46</v>
      </c>
      <c r="I1672">
        <f>IF($E$11&lt;=D1672, IF(D1672&lt;=$A$15,D1672-$E$11,$F$11),0)</f>
        <v>300</v>
      </c>
      <c r="J1672">
        <f>IF(D1672&lt;=$A$15,0,D1672-$A$15)</f>
        <v>1340</v>
      </c>
      <c r="K1672" s="5">
        <f>IF(D1672&lt;$E$11,H1672,0)</f>
        <v>0</v>
      </c>
      <c r="L1672">
        <f>IF(D1672&lt;$A$15,$C$11,$C$11*(1-$G$11))</f>
        <v>200</v>
      </c>
      <c r="M1672">
        <f>IF(D1672&lt;$A$15,0,1)</f>
        <v>1</v>
      </c>
    </row>
    <row r="1673" spans="4:13" x14ac:dyDescent="0.2">
      <c r="D1673">
        <f t="shared" si="97"/>
        <v>1650</v>
      </c>
      <c r="E1673" s="1">
        <f t="shared" si="99"/>
        <v>163.12131199046985</v>
      </c>
      <c r="F1673" s="1">
        <f t="shared" si="98"/>
        <v>-103.20475616352502</v>
      </c>
      <c r="G1673" s="1">
        <f t="shared" si="96"/>
        <v>1.5091899066535903E-45</v>
      </c>
      <c r="H1673" s="1">
        <f>G1673/$G$21</f>
        <v>1.0582961320726239E-46</v>
      </c>
      <c r="I1673">
        <f>IF($E$11&lt;=D1673, IF(D1673&lt;=$A$15,D1673-$E$11,$F$11),0)</f>
        <v>300</v>
      </c>
      <c r="J1673">
        <f>IF(D1673&lt;=$A$15,0,D1673-$A$15)</f>
        <v>1341</v>
      </c>
      <c r="K1673" s="5">
        <f>IF(D1673&lt;$E$11,H1673,0)</f>
        <v>0</v>
      </c>
      <c r="L1673">
        <f>IF(D1673&lt;$A$15,$C$11,$C$11*(1-$G$11))</f>
        <v>200</v>
      </c>
      <c r="M1673">
        <f>IF(D1673&lt;$A$15,0,1)</f>
        <v>1</v>
      </c>
    </row>
    <row r="1674" spans="4:13" x14ac:dyDescent="0.2">
      <c r="D1674">
        <f t="shared" si="97"/>
        <v>1651</v>
      </c>
      <c r="E1674" s="1">
        <f t="shared" si="99"/>
        <v>163.04435094933373</v>
      </c>
      <c r="F1674" s="1">
        <f t="shared" si="98"/>
        <v>-103.28171720466113</v>
      </c>
      <c r="G1674" s="1">
        <f t="shared" si="96"/>
        <v>1.397398061716305E-45</v>
      </c>
      <c r="H1674" s="1">
        <f>G1674/$G$21</f>
        <v>9.7990382599318267E-47</v>
      </c>
      <c r="I1674">
        <f>IF($E$11&lt;=D1674, IF(D1674&lt;=$A$15,D1674-$E$11,$F$11),0)</f>
        <v>300</v>
      </c>
      <c r="J1674">
        <f>IF(D1674&lt;=$A$15,0,D1674-$A$15)</f>
        <v>1342</v>
      </c>
      <c r="K1674" s="5">
        <f>IF(D1674&lt;$E$11,H1674,0)</f>
        <v>0</v>
      </c>
      <c r="L1674">
        <f>IF(D1674&lt;$A$15,$C$11,$C$11*(1-$G$11))</f>
        <v>200</v>
      </c>
      <c r="M1674">
        <f>IF(D1674&lt;$A$15,0,1)</f>
        <v>1</v>
      </c>
    </row>
    <row r="1675" spans="4:13" x14ac:dyDescent="0.2">
      <c r="D1675">
        <f t="shared" si="97"/>
        <v>1652</v>
      </c>
      <c r="E1675" s="1">
        <f t="shared" si="99"/>
        <v>162.96738990819762</v>
      </c>
      <c r="F1675" s="1">
        <f t="shared" si="98"/>
        <v>-103.35867824579725</v>
      </c>
      <c r="G1675" s="1">
        <f t="shared" si="96"/>
        <v>1.2938870941817802E-45</v>
      </c>
      <c r="H1675" s="1">
        <f>G1675/$G$21</f>
        <v>9.0731835740110638E-47</v>
      </c>
      <c r="I1675">
        <f>IF($E$11&lt;=D1675, IF(D1675&lt;=$A$15,D1675-$E$11,$F$11),0)</f>
        <v>300</v>
      </c>
      <c r="J1675">
        <f>IF(D1675&lt;=$A$15,0,D1675-$A$15)</f>
        <v>1343</v>
      </c>
      <c r="K1675" s="5">
        <f>IF(D1675&lt;$E$11,H1675,0)</f>
        <v>0</v>
      </c>
      <c r="L1675">
        <f>IF(D1675&lt;$A$15,$C$11,$C$11*(1-$G$11))</f>
        <v>200</v>
      </c>
      <c r="M1675">
        <f>IF(D1675&lt;$A$15,0,1)</f>
        <v>1</v>
      </c>
    </row>
    <row r="1676" spans="4:13" x14ac:dyDescent="0.2">
      <c r="D1676">
        <f t="shared" si="97"/>
        <v>1653</v>
      </c>
      <c r="E1676" s="1">
        <f t="shared" si="99"/>
        <v>162.8904288670615</v>
      </c>
      <c r="F1676" s="1">
        <f t="shared" si="98"/>
        <v>-103.43563928693337</v>
      </c>
      <c r="G1676" s="1">
        <f t="shared" si="96"/>
        <v>1.1980436057238857E-45</v>
      </c>
      <c r="H1676" s="1">
        <f>G1676/$G$21</f>
        <v>8.4010959018622034E-47</v>
      </c>
      <c r="I1676">
        <f>IF($E$11&lt;=D1676, IF(D1676&lt;=$A$15,D1676-$E$11,$F$11),0)</f>
        <v>300</v>
      </c>
      <c r="J1676">
        <f>IF(D1676&lt;=$A$15,0,D1676-$A$15)</f>
        <v>1344</v>
      </c>
      <c r="K1676" s="5">
        <f>IF(D1676&lt;$E$11,H1676,0)</f>
        <v>0</v>
      </c>
      <c r="L1676">
        <f>IF(D1676&lt;$A$15,$C$11,$C$11*(1-$G$11))</f>
        <v>200</v>
      </c>
      <c r="M1676">
        <f>IF(D1676&lt;$A$15,0,1)</f>
        <v>1</v>
      </c>
    </row>
    <row r="1677" spans="4:13" x14ac:dyDescent="0.2">
      <c r="D1677">
        <f t="shared" si="97"/>
        <v>1654</v>
      </c>
      <c r="E1677" s="1">
        <f t="shared" si="99"/>
        <v>162.81346782592539</v>
      </c>
      <c r="F1677" s="1">
        <f t="shared" si="98"/>
        <v>-103.51260032806948</v>
      </c>
      <c r="G1677" s="1">
        <f t="shared" si="96"/>
        <v>1.1092996349295379E-45</v>
      </c>
      <c r="H1677" s="1">
        <f>G1677/$G$21</f>
        <v>7.7787925017243606E-47</v>
      </c>
      <c r="I1677">
        <f>IF($E$11&lt;=D1677, IF(D1677&lt;=$A$15,D1677-$E$11,$F$11),0)</f>
        <v>300</v>
      </c>
      <c r="J1677">
        <f>IF(D1677&lt;=$A$15,0,D1677-$A$15)</f>
        <v>1345</v>
      </c>
      <c r="K1677" s="5">
        <f>IF(D1677&lt;$E$11,H1677,0)</f>
        <v>0</v>
      </c>
      <c r="L1677">
        <f>IF(D1677&lt;$A$15,$C$11,$C$11*(1-$G$11))</f>
        <v>200</v>
      </c>
      <c r="M1677">
        <f>IF(D1677&lt;$A$15,0,1)</f>
        <v>1</v>
      </c>
    </row>
    <row r="1678" spans="4:13" x14ac:dyDescent="0.2">
      <c r="D1678">
        <f t="shared" si="97"/>
        <v>1655</v>
      </c>
      <c r="E1678" s="1">
        <f t="shared" si="99"/>
        <v>162.73650678478927</v>
      </c>
      <c r="F1678" s="1">
        <f t="shared" si="98"/>
        <v>-103.5895613692056</v>
      </c>
      <c r="G1678" s="1">
        <f t="shared" si="96"/>
        <v>1.027129291601437E-45</v>
      </c>
      <c r="H1678" s="1">
        <f>G1678/$G$21</f>
        <v>7.2025856497448693E-47</v>
      </c>
      <c r="I1678">
        <f>IF($E$11&lt;=D1678, IF(D1678&lt;=$A$15,D1678-$E$11,$F$11),0)</f>
        <v>300</v>
      </c>
      <c r="J1678">
        <f>IF(D1678&lt;=$A$15,0,D1678-$A$15)</f>
        <v>1346</v>
      </c>
      <c r="K1678" s="5">
        <f>IF(D1678&lt;$E$11,H1678,0)</f>
        <v>0</v>
      </c>
      <c r="L1678">
        <f>IF(D1678&lt;$A$15,$C$11,$C$11*(1-$G$11))</f>
        <v>200</v>
      </c>
      <c r="M1678">
        <f>IF(D1678&lt;$A$15,0,1)</f>
        <v>1</v>
      </c>
    </row>
    <row r="1679" spans="4:13" x14ac:dyDescent="0.2">
      <c r="D1679">
        <f t="shared" si="97"/>
        <v>1656</v>
      </c>
      <c r="E1679" s="1">
        <f t="shared" si="99"/>
        <v>162.65954574365315</v>
      </c>
      <c r="F1679" s="1">
        <f t="shared" si="98"/>
        <v>-103.66652241034171</v>
      </c>
      <c r="G1679" s="1">
        <f t="shared" si="96"/>
        <v>9.5104564037171285E-46</v>
      </c>
      <c r="H1679" s="1">
        <f>G1679/$G$21</f>
        <v>6.6690607868008892E-47</v>
      </c>
      <c r="I1679">
        <f>IF($E$11&lt;=D1679, IF(D1679&lt;=$A$15,D1679-$E$11,$F$11),0)</f>
        <v>300</v>
      </c>
      <c r="J1679">
        <f>IF(D1679&lt;=$A$15,0,D1679-$A$15)</f>
        <v>1347</v>
      </c>
      <c r="K1679" s="5">
        <f>IF(D1679&lt;$E$11,H1679,0)</f>
        <v>0</v>
      </c>
      <c r="L1679">
        <f>IF(D1679&lt;$A$15,$C$11,$C$11*(1-$G$11))</f>
        <v>200</v>
      </c>
      <c r="M1679">
        <f>IF(D1679&lt;$A$15,0,1)</f>
        <v>1</v>
      </c>
    </row>
    <row r="1680" spans="4:13" x14ac:dyDescent="0.2">
      <c r="D1680">
        <f t="shared" si="97"/>
        <v>1657</v>
      </c>
      <c r="E1680" s="1">
        <f t="shared" si="99"/>
        <v>162.58258470251704</v>
      </c>
      <c r="F1680" s="1">
        <f t="shared" si="98"/>
        <v>-103.74348345147783</v>
      </c>
      <c r="G1680" s="1">
        <f t="shared" si="96"/>
        <v>8.8059781515900449E-46</v>
      </c>
      <c r="H1680" s="1">
        <f>G1680/$G$21</f>
        <v>6.175056284074975E-47</v>
      </c>
      <c r="I1680">
        <f>IF($E$11&lt;=D1680, IF(D1680&lt;=$A$15,D1680-$E$11,$F$11),0)</f>
        <v>300</v>
      </c>
      <c r="J1680">
        <f>IF(D1680&lt;=$A$15,0,D1680-$A$15)</f>
        <v>1348</v>
      </c>
      <c r="K1680" s="5">
        <f>IF(D1680&lt;$E$11,H1680,0)</f>
        <v>0</v>
      </c>
      <c r="L1680">
        <f>IF(D1680&lt;$A$15,$C$11,$C$11*(1-$G$11))</f>
        <v>200</v>
      </c>
      <c r="M1680">
        <f>IF(D1680&lt;$A$15,0,1)</f>
        <v>1</v>
      </c>
    </row>
    <row r="1681" spans="4:13" x14ac:dyDescent="0.2">
      <c r="D1681">
        <f t="shared" si="97"/>
        <v>1658</v>
      </c>
      <c r="E1681" s="1">
        <f t="shared" si="99"/>
        <v>162.50562366138092</v>
      </c>
      <c r="F1681" s="1">
        <f t="shared" si="98"/>
        <v>-103.82044449261394</v>
      </c>
      <c r="G1681" s="1">
        <f t="shared" si="96"/>
        <v>8.1536834736945902E-46</v>
      </c>
      <c r="H1681" s="1">
        <f>G1681/$G$21</f>
        <v>5.7176447074769023E-47</v>
      </c>
      <c r="I1681">
        <f>IF($E$11&lt;=D1681, IF(D1681&lt;=$A$15,D1681-$E$11,$F$11),0)</f>
        <v>300</v>
      </c>
      <c r="J1681">
        <f>IF(D1681&lt;=$A$15,0,D1681-$A$15)</f>
        <v>1349</v>
      </c>
      <c r="K1681" s="5">
        <f>IF(D1681&lt;$E$11,H1681,0)</f>
        <v>0</v>
      </c>
      <c r="L1681">
        <f>IF(D1681&lt;$A$15,$C$11,$C$11*(1-$G$11))</f>
        <v>200</v>
      </c>
      <c r="M1681">
        <f>IF(D1681&lt;$A$15,0,1)</f>
        <v>1</v>
      </c>
    </row>
    <row r="1682" spans="4:13" x14ac:dyDescent="0.2">
      <c r="D1682">
        <f t="shared" si="97"/>
        <v>1659</v>
      </c>
      <c r="E1682" s="1">
        <f t="shared" si="99"/>
        <v>162.42866262024481</v>
      </c>
      <c r="F1682" s="1">
        <f t="shared" si="98"/>
        <v>-103.89740553375006</v>
      </c>
      <c r="G1682" s="1">
        <f t="shared" si="96"/>
        <v>7.5497069200876775E-46</v>
      </c>
      <c r="H1682" s="1">
        <f>G1682/$G$21</f>
        <v>5.2941154698860861E-47</v>
      </c>
      <c r="I1682">
        <f>IF($E$11&lt;=D1682, IF(D1682&lt;=$A$15,D1682-$E$11,$F$11),0)</f>
        <v>300</v>
      </c>
      <c r="J1682">
        <f>IF(D1682&lt;=$A$15,0,D1682-$A$15)</f>
        <v>1350</v>
      </c>
      <c r="K1682" s="5">
        <f>IF(D1682&lt;$E$11,H1682,0)</f>
        <v>0</v>
      </c>
      <c r="L1682">
        <f>IF(D1682&lt;$A$15,$C$11,$C$11*(1-$G$11))</f>
        <v>200</v>
      </c>
      <c r="M1682">
        <f>IF(D1682&lt;$A$15,0,1)</f>
        <v>1</v>
      </c>
    </row>
    <row r="1683" spans="4:13" x14ac:dyDescent="0.2">
      <c r="D1683">
        <f t="shared" si="97"/>
        <v>1660</v>
      </c>
      <c r="E1683" s="1">
        <f t="shared" si="99"/>
        <v>162.35170157910869</v>
      </c>
      <c r="F1683" s="1">
        <f t="shared" si="98"/>
        <v>-103.97436657488618</v>
      </c>
      <c r="G1683" s="1">
        <f t="shared" si="96"/>
        <v>6.9904693704516426E-46</v>
      </c>
      <c r="H1683" s="1">
        <f>G1683/$G$21</f>
        <v>4.9019587684131053E-47</v>
      </c>
      <c r="I1683">
        <f>IF($E$11&lt;=D1683, IF(D1683&lt;=$A$15,D1683-$E$11,$F$11),0)</f>
        <v>300</v>
      </c>
      <c r="J1683">
        <f>IF(D1683&lt;=$A$15,0,D1683-$A$15)</f>
        <v>1351</v>
      </c>
      <c r="K1683" s="5">
        <f>IF(D1683&lt;$E$11,H1683,0)</f>
        <v>0</v>
      </c>
      <c r="L1683">
        <f>IF(D1683&lt;$A$15,$C$11,$C$11*(1-$G$11))</f>
        <v>200</v>
      </c>
      <c r="M1683">
        <f>IF(D1683&lt;$A$15,0,1)</f>
        <v>1</v>
      </c>
    </row>
    <row r="1684" spans="4:13" x14ac:dyDescent="0.2">
      <c r="D1684">
        <f t="shared" si="97"/>
        <v>1661</v>
      </c>
      <c r="E1684" s="1">
        <f t="shared" si="99"/>
        <v>162.27474053797258</v>
      </c>
      <c r="F1684" s="1">
        <f t="shared" si="98"/>
        <v>-104.05132761602229</v>
      </c>
      <c r="G1684" s="1">
        <f t="shared" si="96"/>
        <v>6.4726568244923432E-46</v>
      </c>
      <c r="H1684" s="1">
        <f>G1684/$G$21</f>
        <v>4.5388507114936736E-47</v>
      </c>
      <c r="I1684">
        <f>IF($E$11&lt;=D1684, IF(D1684&lt;=$A$15,D1684-$E$11,$F$11),0)</f>
        <v>300</v>
      </c>
      <c r="J1684">
        <f>IF(D1684&lt;=$A$15,0,D1684-$A$15)</f>
        <v>1352</v>
      </c>
      <c r="K1684" s="5">
        <f>IF(D1684&lt;$E$11,H1684,0)</f>
        <v>0</v>
      </c>
      <c r="L1684">
        <f>IF(D1684&lt;$A$15,$C$11,$C$11*(1-$G$11))</f>
        <v>200</v>
      </c>
      <c r="M1684">
        <f>IF(D1684&lt;$A$15,0,1)</f>
        <v>1</v>
      </c>
    </row>
    <row r="1685" spans="4:13" x14ac:dyDescent="0.2">
      <c r="D1685">
        <f t="shared" si="97"/>
        <v>1662</v>
      </c>
      <c r="E1685" s="1">
        <f t="shared" si="99"/>
        <v>162.19777949683646</v>
      </c>
      <c r="F1685" s="1">
        <f t="shared" si="98"/>
        <v>-104.12828865715841</v>
      </c>
      <c r="G1685" s="1">
        <f t="shared" si="96"/>
        <v>5.9932007634189119E-46</v>
      </c>
      <c r="H1685" s="1">
        <f>G1685/$G$21</f>
        <v>4.2026395476793801E-47</v>
      </c>
      <c r="I1685">
        <f>IF($E$11&lt;=D1685, IF(D1685&lt;=$A$15,D1685-$E$11,$F$11),0)</f>
        <v>300</v>
      </c>
      <c r="J1685">
        <f>IF(D1685&lt;=$A$15,0,D1685-$A$15)</f>
        <v>1353</v>
      </c>
      <c r="K1685" s="5">
        <f>IF(D1685&lt;$E$11,H1685,0)</f>
        <v>0</v>
      </c>
      <c r="L1685">
        <f>IF(D1685&lt;$A$15,$C$11,$C$11*(1-$G$11))</f>
        <v>200</v>
      </c>
      <c r="M1685">
        <f>IF(D1685&lt;$A$15,0,1)</f>
        <v>1</v>
      </c>
    </row>
    <row r="1686" spans="4:13" x14ac:dyDescent="0.2">
      <c r="D1686">
        <f t="shared" si="97"/>
        <v>1663</v>
      </c>
      <c r="E1686" s="1">
        <f t="shared" si="99"/>
        <v>162.12081845570034</v>
      </c>
      <c r="F1686" s="1">
        <f t="shared" si="98"/>
        <v>-104.20524969829452</v>
      </c>
      <c r="G1686" s="1">
        <f t="shared" si="96"/>
        <v>5.5492599661286922E-46</v>
      </c>
      <c r="H1686" s="1">
        <f>G1686/$G$21</f>
        <v>3.8913329145179936E-47</v>
      </c>
      <c r="I1686">
        <f>IF($E$11&lt;=D1686, IF(D1686&lt;=$A$15,D1686-$E$11,$F$11),0)</f>
        <v>300</v>
      </c>
      <c r="J1686">
        <f>IF(D1686&lt;=$A$15,0,D1686-$A$15)</f>
        <v>1354</v>
      </c>
      <c r="K1686" s="5">
        <f>IF(D1686&lt;$E$11,H1686,0)</f>
        <v>0</v>
      </c>
      <c r="L1686">
        <f>IF(D1686&lt;$A$15,$C$11,$C$11*(1-$G$11))</f>
        <v>200</v>
      </c>
      <c r="M1686">
        <f>IF(D1686&lt;$A$15,0,1)</f>
        <v>1</v>
      </c>
    </row>
    <row r="1687" spans="4:13" x14ac:dyDescent="0.2">
      <c r="D1687">
        <f t="shared" si="97"/>
        <v>1664</v>
      </c>
      <c r="E1687" s="1">
        <f t="shared" si="99"/>
        <v>162.04385741456423</v>
      </c>
      <c r="F1687" s="1">
        <f t="shared" si="98"/>
        <v>-104.28221073943064</v>
      </c>
      <c r="G1687" s="1">
        <f t="shared" si="96"/>
        <v>5.1382036723414468E-46</v>
      </c>
      <c r="H1687" s="1">
        <f>G1687/$G$21</f>
        <v>3.6030860319611509E-47</v>
      </c>
      <c r="I1687">
        <f>IF($E$11&lt;=D1687, IF(D1687&lt;=$A$15,D1687-$E$11,$F$11),0)</f>
        <v>300</v>
      </c>
      <c r="J1687">
        <f>IF(D1687&lt;=$A$15,0,D1687-$A$15)</f>
        <v>1355</v>
      </c>
      <c r="K1687" s="5">
        <f>IF(D1687&lt;$E$11,H1687,0)</f>
        <v>0</v>
      </c>
      <c r="L1687">
        <f>IF(D1687&lt;$A$15,$C$11,$C$11*(1-$G$11))</f>
        <v>200</v>
      </c>
      <c r="M1687">
        <f>IF(D1687&lt;$A$15,0,1)</f>
        <v>1</v>
      </c>
    </row>
    <row r="1688" spans="4:13" x14ac:dyDescent="0.2">
      <c r="D1688">
        <f t="shared" si="97"/>
        <v>1665</v>
      </c>
      <c r="E1688" s="1">
        <f t="shared" si="99"/>
        <v>161.96689637342811</v>
      </c>
      <c r="F1688" s="1">
        <f t="shared" si="98"/>
        <v>-104.35917178056675</v>
      </c>
      <c r="G1688" s="1">
        <f t="shared" ref="G1688:G1751" si="100">EXP(F1688)</f>
        <v>4.7575959929088071E-46</v>
      </c>
      <c r="H1688" s="1">
        <f>G1688/$G$21</f>
        <v>3.3361907703344412E-47</v>
      </c>
      <c r="I1688">
        <f>IF($E$11&lt;=D1688, IF(D1688&lt;=$A$15,D1688-$E$11,$F$11),0)</f>
        <v>300</v>
      </c>
      <c r="J1688">
        <f>IF(D1688&lt;=$A$15,0,D1688-$A$15)</f>
        <v>1356</v>
      </c>
      <c r="K1688" s="5">
        <f>IF(D1688&lt;$E$11,H1688,0)</f>
        <v>0</v>
      </c>
      <c r="L1688">
        <f>IF(D1688&lt;$A$15,$C$11,$C$11*(1-$G$11))</f>
        <v>200</v>
      </c>
      <c r="M1688">
        <f>IF(D1688&lt;$A$15,0,1)</f>
        <v>1</v>
      </c>
    </row>
    <row r="1689" spans="4:13" x14ac:dyDescent="0.2">
      <c r="D1689">
        <f t="shared" ref="D1689:D1752" si="101">1+D1688</f>
        <v>1666</v>
      </c>
      <c r="E1689" s="1">
        <f t="shared" si="99"/>
        <v>161.889935332292</v>
      </c>
      <c r="F1689" s="1">
        <f t="shared" ref="F1689:F1752" si="102">E1689-$E$21</f>
        <v>-104.43613282170287</v>
      </c>
      <c r="G1689" s="1">
        <f t="shared" si="100"/>
        <v>4.4051814749156181E-46</v>
      </c>
      <c r="H1689" s="1">
        <f>G1689/$G$21</f>
        <v>3.0890655280874849E-47</v>
      </c>
      <c r="I1689">
        <f>IF($E$11&lt;=D1689, IF(D1689&lt;=$A$15,D1689-$E$11,$F$11),0)</f>
        <v>300</v>
      </c>
      <c r="J1689">
        <f>IF(D1689&lt;=$A$15,0,D1689-$A$15)</f>
        <v>1357</v>
      </c>
      <c r="K1689" s="5">
        <f>IF(D1689&lt;$E$11,H1689,0)</f>
        <v>0</v>
      </c>
      <c r="L1689">
        <f>IF(D1689&lt;$A$15,$C$11,$C$11*(1-$G$11))</f>
        <v>200</v>
      </c>
      <c r="M1689">
        <f>IF(D1689&lt;$A$15,0,1)</f>
        <v>1</v>
      </c>
    </row>
    <row r="1690" spans="4:13" x14ac:dyDescent="0.2">
      <c r="D1690">
        <f t="shared" si="101"/>
        <v>1667</v>
      </c>
      <c r="E1690" s="1">
        <f t="shared" si="99"/>
        <v>161.81297429115588</v>
      </c>
      <c r="F1690" s="1">
        <f t="shared" si="102"/>
        <v>-104.51309386283899</v>
      </c>
      <c r="G1690" s="1">
        <f t="shared" si="100"/>
        <v>4.078871736033031E-46</v>
      </c>
      <c r="H1690" s="1">
        <f>G1690/$G$21</f>
        <v>2.8602458593402999E-47</v>
      </c>
      <c r="I1690">
        <f>IF($E$11&lt;=D1690, IF(D1690&lt;=$A$15,D1690-$E$11,$F$11),0)</f>
        <v>300</v>
      </c>
      <c r="J1690">
        <f>IF(D1690&lt;=$A$15,0,D1690-$A$15)</f>
        <v>1358</v>
      </c>
      <c r="K1690" s="5">
        <f>IF(D1690&lt;$E$11,H1690,0)</f>
        <v>0</v>
      </c>
      <c r="L1690">
        <f>IF(D1690&lt;$A$15,$C$11,$C$11*(1-$G$11))</f>
        <v>200</v>
      </c>
      <c r="M1690">
        <f>IF(D1690&lt;$A$15,0,1)</f>
        <v>1</v>
      </c>
    </row>
    <row r="1691" spans="4:13" x14ac:dyDescent="0.2">
      <c r="D1691">
        <f t="shared" si="101"/>
        <v>1668</v>
      </c>
      <c r="E1691" s="1">
        <f t="shared" si="99"/>
        <v>161.73601325001977</v>
      </c>
      <c r="F1691" s="1">
        <f t="shared" si="102"/>
        <v>-104.5900549039751</v>
      </c>
      <c r="G1691" s="1">
        <f t="shared" si="100"/>
        <v>3.7767330889195208E-46</v>
      </c>
      <c r="H1691" s="1">
        <f>G1691/$G$21</f>
        <v>2.6483757956854962E-47</v>
      </c>
      <c r="I1691">
        <f>IF($E$11&lt;=D1691, IF(D1691&lt;=$A$15,D1691-$E$11,$F$11),0)</f>
        <v>300</v>
      </c>
      <c r="J1691">
        <f>IF(D1691&lt;=$A$15,0,D1691-$A$15)</f>
        <v>1359</v>
      </c>
      <c r="K1691" s="5">
        <f>IF(D1691&lt;$E$11,H1691,0)</f>
        <v>0</v>
      </c>
      <c r="L1691">
        <f>IF(D1691&lt;$A$15,$C$11,$C$11*(1-$G$11))</f>
        <v>200</v>
      </c>
      <c r="M1691">
        <f>IF(D1691&lt;$A$15,0,1)</f>
        <v>1</v>
      </c>
    </row>
    <row r="1692" spans="4:13" x14ac:dyDescent="0.2">
      <c r="D1692">
        <f t="shared" si="101"/>
        <v>1669</v>
      </c>
      <c r="E1692" s="1">
        <f t="shared" si="99"/>
        <v>161.65905220888365</v>
      </c>
      <c r="F1692" s="1">
        <f t="shared" si="102"/>
        <v>-104.66701594511122</v>
      </c>
      <c r="G1692" s="1">
        <f t="shared" si="100"/>
        <v>3.4969750823329343E-46</v>
      </c>
      <c r="H1692" s="1">
        <f>G1692/$G$21</f>
        <v>2.452199810819935E-47</v>
      </c>
      <c r="I1692">
        <f>IF($E$11&lt;=D1692, IF(D1692&lt;=$A$15,D1692-$E$11,$F$11),0)</f>
        <v>300</v>
      </c>
      <c r="J1692">
        <f>IF(D1692&lt;=$A$15,0,D1692-$A$15)</f>
        <v>1360</v>
      </c>
      <c r="K1692" s="5">
        <f>IF(D1692&lt;$E$11,H1692,0)</f>
        <v>0</v>
      </c>
      <c r="L1692">
        <f>IF(D1692&lt;$A$15,$C$11,$C$11*(1-$G$11))</f>
        <v>200</v>
      </c>
      <c r="M1692">
        <f>IF(D1692&lt;$A$15,0,1)</f>
        <v>1</v>
      </c>
    </row>
    <row r="1693" spans="4:13" x14ac:dyDescent="0.2">
      <c r="D1693">
        <f t="shared" si="101"/>
        <v>1670</v>
      </c>
      <c r="E1693" s="1">
        <f t="shared" si="99"/>
        <v>161.58209116774754</v>
      </c>
      <c r="F1693" s="1">
        <f t="shared" si="102"/>
        <v>-104.74397698624733</v>
      </c>
      <c r="G1693" s="1">
        <f t="shared" si="100"/>
        <v>3.2379398910490541E-46</v>
      </c>
      <c r="H1693" s="1">
        <f>G1693/$G$21</f>
        <v>2.2705553803888575E-47</v>
      </c>
      <c r="I1693">
        <f>IF($E$11&lt;=D1693, IF(D1693&lt;=$A$15,D1693-$E$11,$F$11),0)</f>
        <v>300</v>
      </c>
      <c r="J1693">
        <f>IF(D1693&lt;=$A$15,0,D1693-$A$15)</f>
        <v>1361</v>
      </c>
      <c r="K1693" s="5">
        <f>IF(D1693&lt;$E$11,H1693,0)</f>
        <v>0</v>
      </c>
      <c r="L1693">
        <f>IF(D1693&lt;$A$15,$C$11,$C$11*(1-$G$11))</f>
        <v>200</v>
      </c>
      <c r="M1693">
        <f>IF(D1693&lt;$A$15,0,1)</f>
        <v>1</v>
      </c>
    </row>
    <row r="1694" spans="4:13" x14ac:dyDescent="0.2">
      <c r="D1694">
        <f t="shared" si="101"/>
        <v>1671</v>
      </c>
      <c r="E1694" s="1">
        <f t="shared" si="99"/>
        <v>161.50513012661142</v>
      </c>
      <c r="F1694" s="1">
        <f t="shared" si="102"/>
        <v>-104.82093802738345</v>
      </c>
      <c r="G1694" s="1">
        <f t="shared" si="100"/>
        <v>2.9980924917121249E-46</v>
      </c>
      <c r="H1694" s="1">
        <f>G1694/$G$21</f>
        <v>2.1023660929526722E-47</v>
      </c>
      <c r="I1694">
        <f>IF($E$11&lt;=D1694, IF(D1694&lt;=$A$15,D1694-$E$11,$F$11),0)</f>
        <v>300</v>
      </c>
      <c r="J1694">
        <f>IF(D1694&lt;=$A$15,0,D1694-$A$15)</f>
        <v>1362</v>
      </c>
      <c r="K1694" s="5">
        <f>IF(D1694&lt;$E$11,H1694,0)</f>
        <v>0</v>
      </c>
      <c r="L1694">
        <f>IF(D1694&lt;$A$15,$C$11,$C$11*(1-$G$11))</f>
        <v>200</v>
      </c>
      <c r="M1694">
        <f>IF(D1694&lt;$A$15,0,1)</f>
        <v>1</v>
      </c>
    </row>
    <row r="1695" spans="4:13" x14ac:dyDescent="0.2">
      <c r="D1695">
        <f t="shared" si="101"/>
        <v>1672</v>
      </c>
      <c r="E1695" s="1">
        <f t="shared" si="99"/>
        <v>161.4281690854753</v>
      </c>
      <c r="F1695" s="1">
        <f t="shared" si="102"/>
        <v>-104.89789906851956</v>
      </c>
      <c r="G1695" s="1">
        <f t="shared" si="100"/>
        <v>2.7760115664001508E-46</v>
      </c>
      <c r="H1695" s="1">
        <f>G1695/$G$21</f>
        <v>1.946635271252499E-47</v>
      </c>
      <c r="I1695">
        <f>IF($E$11&lt;=D1695, IF(D1695&lt;=$A$15,D1695-$E$11,$F$11),0)</f>
        <v>300</v>
      </c>
      <c r="J1695">
        <f>IF(D1695&lt;=$A$15,0,D1695-$A$15)</f>
        <v>1363</v>
      </c>
      <c r="K1695" s="5">
        <f>IF(D1695&lt;$E$11,H1695,0)</f>
        <v>0</v>
      </c>
      <c r="L1695">
        <f>IF(D1695&lt;$A$15,$C$11,$C$11*(1-$G$11))</f>
        <v>200</v>
      </c>
      <c r="M1695">
        <f>IF(D1695&lt;$A$15,0,1)</f>
        <v>1</v>
      </c>
    </row>
    <row r="1696" spans="4:13" x14ac:dyDescent="0.2">
      <c r="D1696">
        <f t="shared" si="101"/>
        <v>1673</v>
      </c>
      <c r="E1696" s="1">
        <f t="shared" si="99"/>
        <v>161.35120804433919</v>
      </c>
      <c r="F1696" s="1">
        <f t="shared" si="102"/>
        <v>-104.97486010965568</v>
      </c>
      <c r="G1696" s="1">
        <f t="shared" si="100"/>
        <v>2.5703810800001719E-46</v>
      </c>
      <c r="H1696" s="1">
        <f>G1696/$G$21</f>
        <v>1.8024400659745587E-47</v>
      </c>
      <c r="I1696">
        <f>IF($E$11&lt;=D1696, IF(D1696&lt;=$A$15,D1696-$E$11,$F$11),0)</f>
        <v>300</v>
      </c>
      <c r="J1696">
        <f>IF(D1696&lt;=$A$15,0,D1696-$A$15)</f>
        <v>1364</v>
      </c>
      <c r="K1696" s="5">
        <f>IF(D1696&lt;$E$11,H1696,0)</f>
        <v>0</v>
      </c>
      <c r="L1696">
        <f>IF(D1696&lt;$A$15,$C$11,$C$11*(1-$G$11))</f>
        <v>200</v>
      </c>
      <c r="M1696">
        <f>IF(D1696&lt;$A$15,0,1)</f>
        <v>1</v>
      </c>
    </row>
    <row r="1697" spans="4:13" x14ac:dyDescent="0.2">
      <c r="D1697">
        <f t="shared" si="101"/>
        <v>1674</v>
      </c>
      <c r="E1697" s="1">
        <f t="shared" si="99"/>
        <v>161.27424700320307</v>
      </c>
      <c r="F1697" s="1">
        <f t="shared" si="102"/>
        <v>-105.0518211507918</v>
      </c>
      <c r="G1697" s="1">
        <f t="shared" si="100"/>
        <v>2.379982481481671E-46</v>
      </c>
      <c r="H1697" s="1">
        <f>G1697/$G$21</f>
        <v>1.6689259870135016E-47</v>
      </c>
      <c r="I1697">
        <f>IF($E$11&lt;=D1697, IF(D1697&lt;=$A$15,D1697-$E$11,$F$11),0)</f>
        <v>300</v>
      </c>
      <c r="J1697">
        <f>IF(D1697&lt;=$A$15,0,D1697-$A$15)</f>
        <v>1365</v>
      </c>
      <c r="K1697" s="5">
        <f>IF(D1697&lt;$E$11,H1697,0)</f>
        <v>0</v>
      </c>
      <c r="L1697">
        <f>IF(D1697&lt;$A$15,$C$11,$C$11*(1-$G$11))</f>
        <v>200</v>
      </c>
      <c r="M1697">
        <f>IF(D1697&lt;$A$15,0,1)</f>
        <v>1</v>
      </c>
    </row>
    <row r="1698" spans="4:13" x14ac:dyDescent="0.2">
      <c r="D1698">
        <f t="shared" si="101"/>
        <v>1675</v>
      </c>
      <c r="E1698" s="1">
        <f t="shared" si="99"/>
        <v>161.19728596206696</v>
      </c>
      <c r="F1698" s="1">
        <f t="shared" si="102"/>
        <v>-105.12878219192791</v>
      </c>
      <c r="G1698" s="1">
        <f t="shared" si="100"/>
        <v>2.203687482853427E-46</v>
      </c>
      <c r="H1698" s="1">
        <f>G1698/$G$21</f>
        <v>1.5453018398273359E-47</v>
      </c>
      <c r="I1698">
        <f>IF($E$11&lt;=D1698, IF(D1698&lt;=$A$15,D1698-$E$11,$F$11),0)</f>
        <v>300</v>
      </c>
      <c r="J1698">
        <f>IF(D1698&lt;=$A$15,0,D1698-$A$15)</f>
        <v>1366</v>
      </c>
      <c r="K1698" s="5">
        <f>IF(D1698&lt;$E$11,H1698,0)</f>
        <v>0</v>
      </c>
      <c r="L1698">
        <f>IF(D1698&lt;$A$15,$C$11,$C$11*(1-$G$11))</f>
        <v>200</v>
      </c>
      <c r="M1698">
        <f>IF(D1698&lt;$A$15,0,1)</f>
        <v>1</v>
      </c>
    </row>
    <row r="1699" spans="4:13" x14ac:dyDescent="0.2">
      <c r="D1699">
        <f t="shared" si="101"/>
        <v>1676</v>
      </c>
      <c r="E1699" s="1">
        <f t="shared" si="99"/>
        <v>161.12032492093084</v>
      </c>
      <c r="F1699" s="1">
        <f t="shared" si="102"/>
        <v>-105.20574323306403</v>
      </c>
      <c r="G1699" s="1">
        <f t="shared" si="100"/>
        <v>2.0404513730124579E-46</v>
      </c>
      <c r="H1699" s="1">
        <f>G1699/$G$21</f>
        <v>1.4308350368771807E-47</v>
      </c>
      <c r="I1699">
        <f>IF($E$11&lt;=D1699, IF(D1699&lt;=$A$15,D1699-$E$11,$F$11),0)</f>
        <v>300</v>
      </c>
      <c r="J1699">
        <f>IF(D1699&lt;=$A$15,0,D1699-$A$15)</f>
        <v>1367</v>
      </c>
      <c r="K1699" s="5">
        <f>IF(D1699&lt;$E$11,H1699,0)</f>
        <v>0</v>
      </c>
      <c r="L1699">
        <f>IF(D1699&lt;$A$15,$C$11,$C$11*(1-$G$11))</f>
        <v>200</v>
      </c>
      <c r="M1699">
        <f>IF(D1699&lt;$A$15,0,1)</f>
        <v>1</v>
      </c>
    </row>
    <row r="1700" spans="4:13" x14ac:dyDescent="0.2">
      <c r="D1700">
        <f t="shared" si="101"/>
        <v>1677</v>
      </c>
      <c r="E1700" s="1">
        <f t="shared" si="99"/>
        <v>161.04336387979473</v>
      </c>
      <c r="F1700" s="1">
        <f t="shared" si="102"/>
        <v>-105.28270427420014</v>
      </c>
      <c r="G1700" s="1">
        <f t="shared" si="100"/>
        <v>1.8893068268634108E-46</v>
      </c>
      <c r="H1700" s="1">
        <f>G1700/$G$21</f>
        <v>1.3248472563677767E-47</v>
      </c>
      <c r="I1700">
        <f>IF($E$11&lt;=D1700, IF(D1700&lt;=$A$15,D1700-$E$11,$F$11),0)</f>
        <v>300</v>
      </c>
      <c r="J1700">
        <f>IF(D1700&lt;=$A$15,0,D1700-$A$15)</f>
        <v>1368</v>
      </c>
      <c r="K1700" s="5">
        <f>IF(D1700&lt;$E$11,H1700,0)</f>
        <v>0</v>
      </c>
      <c r="L1700">
        <f>IF(D1700&lt;$A$15,$C$11,$C$11*(1-$G$11))</f>
        <v>200</v>
      </c>
      <c r="M1700">
        <f>IF(D1700&lt;$A$15,0,1)</f>
        <v>1</v>
      </c>
    </row>
    <row r="1701" spans="4:13" x14ac:dyDescent="0.2">
      <c r="D1701">
        <f t="shared" si="101"/>
        <v>1678</v>
      </c>
      <c r="E1701" s="1">
        <f t="shared" si="99"/>
        <v>160.96640283865861</v>
      </c>
      <c r="F1701" s="1">
        <f t="shared" si="102"/>
        <v>-105.35966531533626</v>
      </c>
      <c r="G1701" s="1">
        <f t="shared" si="100"/>
        <v>1.749358173021699E-46</v>
      </c>
      <c r="H1701" s="1">
        <f>G1701/$G$21</f>
        <v>1.2267104225627719E-47</v>
      </c>
      <c r="I1701">
        <f>IF($E$11&lt;=D1701, IF(D1701&lt;=$A$15,D1701-$E$11,$F$11),0)</f>
        <v>300</v>
      </c>
      <c r="J1701">
        <f>IF(D1701&lt;=$A$15,0,D1701-$A$15)</f>
        <v>1369</v>
      </c>
      <c r="K1701" s="5">
        <f>IF(D1701&lt;$E$11,H1701,0)</f>
        <v>0</v>
      </c>
      <c r="L1701">
        <f>IF(D1701&lt;$A$15,$C$11,$C$11*(1-$G$11))</f>
        <v>200</v>
      </c>
      <c r="M1701">
        <f>IF(D1701&lt;$A$15,0,1)</f>
        <v>1</v>
      </c>
    </row>
    <row r="1702" spans="4:13" x14ac:dyDescent="0.2">
      <c r="D1702">
        <f t="shared" si="101"/>
        <v>1679</v>
      </c>
      <c r="E1702" s="1">
        <f t="shared" si="99"/>
        <v>160.88944179752249</v>
      </c>
      <c r="F1702" s="1">
        <f t="shared" si="102"/>
        <v>-105.43662635647237</v>
      </c>
      <c r="G1702" s="1">
        <f t="shared" si="100"/>
        <v>1.6197760861312233E-46</v>
      </c>
      <c r="H1702" s="1">
        <f>G1702/$G$21</f>
        <v>1.1358429838544327E-47</v>
      </c>
      <c r="I1702">
        <f>IF($E$11&lt;=D1702, IF(D1702&lt;=$A$15,D1702-$E$11,$F$11),0)</f>
        <v>300</v>
      </c>
      <c r="J1702">
        <f>IF(D1702&lt;=$A$15,0,D1702-$A$15)</f>
        <v>1370</v>
      </c>
      <c r="K1702" s="5">
        <f>IF(D1702&lt;$E$11,H1702,0)</f>
        <v>0</v>
      </c>
      <c r="L1702">
        <f>IF(D1702&lt;$A$15,$C$11,$C$11*(1-$G$11))</f>
        <v>200</v>
      </c>
      <c r="M1702">
        <f>IF(D1702&lt;$A$15,0,1)</f>
        <v>1</v>
      </c>
    </row>
    <row r="1703" spans="4:13" x14ac:dyDescent="0.2">
      <c r="D1703">
        <f t="shared" si="101"/>
        <v>1680</v>
      </c>
      <c r="E1703" s="1">
        <f t="shared" si="99"/>
        <v>160.81248075638638</v>
      </c>
      <c r="F1703" s="1">
        <f t="shared" si="102"/>
        <v>-105.51358739760849</v>
      </c>
      <c r="G1703" s="1">
        <f t="shared" si="100"/>
        <v>1.4997926723437442E-46</v>
      </c>
      <c r="H1703" s="1">
        <f>G1703/$G$21</f>
        <v>1.0517064665318954E-47</v>
      </c>
      <c r="I1703">
        <f>IF($E$11&lt;=D1703, IF(D1703&lt;=$A$15,D1703-$E$11,$F$11),0)</f>
        <v>300</v>
      </c>
      <c r="J1703">
        <f>IF(D1703&lt;=$A$15,0,D1703-$A$15)</f>
        <v>1371</v>
      </c>
      <c r="K1703" s="5">
        <f>IF(D1703&lt;$E$11,H1703,0)</f>
        <v>0</v>
      </c>
      <c r="L1703">
        <f>IF(D1703&lt;$A$15,$C$11,$C$11*(1-$G$11))</f>
        <v>200</v>
      </c>
      <c r="M1703">
        <f>IF(D1703&lt;$A$15,0,1)</f>
        <v>1</v>
      </c>
    </row>
    <row r="1704" spans="4:13" x14ac:dyDescent="0.2">
      <c r="D1704">
        <f t="shared" si="101"/>
        <v>1681</v>
      </c>
      <c r="E1704" s="1">
        <f t="shared" si="99"/>
        <v>160.73551971525026</v>
      </c>
      <c r="F1704" s="1">
        <f t="shared" si="102"/>
        <v>-105.59054843874461</v>
      </c>
      <c r="G1704" s="1">
        <f t="shared" si="100"/>
        <v>1.3886969188368177E-46</v>
      </c>
      <c r="H1704" s="1">
        <f>G1704/$G$21</f>
        <v>9.738022838258414E-48</v>
      </c>
      <c r="I1704">
        <f>IF($E$11&lt;=D1704, IF(D1704&lt;=$A$15,D1704-$E$11,$F$11),0)</f>
        <v>300</v>
      </c>
      <c r="J1704">
        <f>IF(D1704&lt;=$A$15,0,D1704-$A$15)</f>
        <v>1372</v>
      </c>
      <c r="K1704" s="5">
        <f>IF(D1704&lt;$E$11,H1704,0)</f>
        <v>0</v>
      </c>
      <c r="L1704">
        <f>IF(D1704&lt;$A$15,$C$11,$C$11*(1-$G$11))</f>
        <v>200</v>
      </c>
      <c r="M1704">
        <f>IF(D1704&lt;$A$15,0,1)</f>
        <v>1</v>
      </c>
    </row>
    <row r="1705" spans="4:13" x14ac:dyDescent="0.2">
      <c r="D1705">
        <f t="shared" si="101"/>
        <v>1682</v>
      </c>
      <c r="E1705" s="1">
        <f t="shared" si="99"/>
        <v>160.65855867411415</v>
      </c>
      <c r="F1705" s="1">
        <f t="shared" si="102"/>
        <v>-105.66750947988072</v>
      </c>
      <c r="G1705" s="1">
        <f t="shared" si="100"/>
        <v>1.2858304804044772E-46</v>
      </c>
      <c r="H1705" s="1">
        <f>G1705/$G$21</f>
        <v>9.0166878132023498E-48</v>
      </c>
      <c r="I1705">
        <f>IF($E$11&lt;=D1705, IF(D1705&lt;=$A$15,D1705-$E$11,$F$11),0)</f>
        <v>300</v>
      </c>
      <c r="J1705">
        <f>IF(D1705&lt;=$A$15,0,D1705-$A$15)</f>
        <v>1373</v>
      </c>
      <c r="K1705" s="5">
        <f>IF(D1705&lt;$E$11,H1705,0)</f>
        <v>0</v>
      </c>
      <c r="L1705">
        <f>IF(D1705&lt;$A$15,$C$11,$C$11*(1-$G$11))</f>
        <v>200</v>
      </c>
      <c r="M1705">
        <f>IF(D1705&lt;$A$15,0,1)</f>
        <v>1</v>
      </c>
    </row>
    <row r="1706" spans="4:13" x14ac:dyDescent="0.2">
      <c r="D1706">
        <f t="shared" si="101"/>
        <v>1683</v>
      </c>
      <c r="E1706" s="1">
        <f t="shared" si="99"/>
        <v>160.58159763297803</v>
      </c>
      <c r="F1706" s="1">
        <f t="shared" si="102"/>
        <v>-105.74447052101684</v>
      </c>
      <c r="G1706" s="1">
        <f t="shared" si="100"/>
        <v>1.1905837781523086E-46</v>
      </c>
      <c r="H1706" s="1">
        <f>G1706/$G$21</f>
        <v>8.3487850122245026E-48</v>
      </c>
      <c r="I1706">
        <f>IF($E$11&lt;=D1706, IF(D1706&lt;=$A$15,D1706-$E$11,$F$11),0)</f>
        <v>300</v>
      </c>
      <c r="J1706">
        <f>IF(D1706&lt;=$A$15,0,D1706-$A$15)</f>
        <v>1374</v>
      </c>
      <c r="K1706" s="5">
        <f>IF(D1706&lt;$E$11,H1706,0)</f>
        <v>0</v>
      </c>
      <c r="L1706">
        <f>IF(D1706&lt;$A$15,$C$11,$C$11*(1-$G$11))</f>
        <v>200</v>
      </c>
      <c r="M1706">
        <f>IF(D1706&lt;$A$15,0,1)</f>
        <v>1</v>
      </c>
    </row>
    <row r="1707" spans="4:13" x14ac:dyDescent="0.2">
      <c r="D1707">
        <f t="shared" si="101"/>
        <v>1684</v>
      </c>
      <c r="E1707" s="1">
        <f t="shared" si="99"/>
        <v>160.50463659184192</v>
      </c>
      <c r="F1707" s="1">
        <f t="shared" si="102"/>
        <v>-105.82143156215295</v>
      </c>
      <c r="G1707" s="1">
        <f t="shared" si="100"/>
        <v>1.1023923871780775E-46</v>
      </c>
      <c r="H1707" s="1">
        <f>G1707/$G$21</f>
        <v>7.7303564928005634E-48</v>
      </c>
      <c r="I1707">
        <f>IF($E$11&lt;=D1707, IF(D1707&lt;=$A$15,D1707-$E$11,$F$11),0)</f>
        <v>300</v>
      </c>
      <c r="J1707">
        <f>IF(D1707&lt;=$A$15,0,D1707-$A$15)</f>
        <v>1375</v>
      </c>
      <c r="K1707" s="5">
        <f>IF(D1707&lt;$E$11,H1707,0)</f>
        <v>0</v>
      </c>
      <c r="L1707">
        <f>IF(D1707&lt;$A$15,$C$11,$C$11*(1-$G$11))</f>
        <v>200</v>
      </c>
      <c r="M1707">
        <f>IF(D1707&lt;$A$15,0,1)</f>
        <v>1</v>
      </c>
    </row>
    <row r="1708" spans="4:13" x14ac:dyDescent="0.2">
      <c r="D1708">
        <f t="shared" si="101"/>
        <v>1685</v>
      </c>
      <c r="E1708" s="1">
        <f t="shared" si="99"/>
        <v>160.4276755507058</v>
      </c>
      <c r="F1708" s="1">
        <f t="shared" si="102"/>
        <v>-105.89839260328907</v>
      </c>
      <c r="G1708" s="1">
        <f t="shared" si="100"/>
        <v>1.0207336918315662E-46</v>
      </c>
      <c r="H1708" s="1">
        <f>G1708/$G$21</f>
        <v>7.1577374933339461E-48</v>
      </c>
      <c r="I1708">
        <f>IF($E$11&lt;=D1708, IF(D1708&lt;=$A$15,D1708-$E$11,$F$11),0)</f>
        <v>300</v>
      </c>
      <c r="J1708">
        <f>IF(D1708&lt;=$A$15,0,D1708-$A$15)</f>
        <v>1376</v>
      </c>
      <c r="K1708" s="5">
        <f>IF(D1708&lt;$E$11,H1708,0)</f>
        <v>0</v>
      </c>
      <c r="L1708">
        <f>IF(D1708&lt;$A$15,$C$11,$C$11*(1-$G$11))</f>
        <v>200</v>
      </c>
      <c r="M1708">
        <f>IF(D1708&lt;$A$15,0,1)</f>
        <v>1</v>
      </c>
    </row>
    <row r="1709" spans="4:13" x14ac:dyDescent="0.2">
      <c r="D1709">
        <f t="shared" si="101"/>
        <v>1686</v>
      </c>
      <c r="E1709" s="1">
        <f t="shared" si="99"/>
        <v>160.35071450956968</v>
      </c>
      <c r="F1709" s="1">
        <f t="shared" si="102"/>
        <v>-105.97535364442518</v>
      </c>
      <c r="G1709" s="1">
        <f t="shared" si="100"/>
        <v>9.4512378873294356E-47</v>
      </c>
      <c r="H1709" s="1">
        <f>G1709/$G$21</f>
        <v>6.6275347160500327E-48</v>
      </c>
      <c r="I1709">
        <f>IF($E$11&lt;=D1709, IF(D1709&lt;=$A$15,D1709-$E$11,$F$11),0)</f>
        <v>300</v>
      </c>
      <c r="J1709">
        <f>IF(D1709&lt;=$A$15,0,D1709-$A$15)</f>
        <v>1377</v>
      </c>
      <c r="K1709" s="5">
        <f>IF(D1709&lt;$E$11,H1709,0)</f>
        <v>0</v>
      </c>
      <c r="L1709">
        <f>IF(D1709&lt;$A$15,$C$11,$C$11*(1-$G$11))</f>
        <v>200</v>
      </c>
      <c r="M1709">
        <f>IF(D1709&lt;$A$15,0,1)</f>
        <v>1</v>
      </c>
    </row>
    <row r="1710" spans="4:13" x14ac:dyDescent="0.2">
      <c r="D1710">
        <f t="shared" si="101"/>
        <v>1687</v>
      </c>
      <c r="E1710" s="1">
        <f t="shared" si="99"/>
        <v>160.27375346843357</v>
      </c>
      <c r="F1710" s="1">
        <f t="shared" si="102"/>
        <v>-106.0523146855613</v>
      </c>
      <c r="G1710" s="1">
        <f t="shared" si="100"/>
        <v>8.75114619197181E-47</v>
      </c>
      <c r="H1710" s="1">
        <f>G1710/$G$21</f>
        <v>6.1366062185649231E-48</v>
      </c>
      <c r="I1710">
        <f>IF($E$11&lt;=D1710, IF(D1710&lt;=$A$15,D1710-$E$11,$F$11),0)</f>
        <v>300</v>
      </c>
      <c r="J1710">
        <f>IF(D1710&lt;=$A$15,0,D1710-$A$15)</f>
        <v>1378</v>
      </c>
      <c r="K1710" s="5">
        <f>IF(D1710&lt;$E$11,H1710,0)</f>
        <v>0</v>
      </c>
      <c r="L1710">
        <f>IF(D1710&lt;$A$15,$C$11,$C$11*(1-$G$11))</f>
        <v>200</v>
      </c>
      <c r="M1710">
        <f>IF(D1710&lt;$A$15,0,1)</f>
        <v>1</v>
      </c>
    </row>
    <row r="1711" spans="4:13" x14ac:dyDescent="0.2">
      <c r="D1711">
        <f t="shared" si="101"/>
        <v>1688</v>
      </c>
      <c r="E1711" s="1">
        <f t="shared" si="99"/>
        <v>160.19679242729745</v>
      </c>
      <c r="F1711" s="1">
        <f t="shared" si="102"/>
        <v>-106.12927572669741</v>
      </c>
      <c r="G1711" s="1">
        <f t="shared" si="100"/>
        <v>8.1029131407147422E-47</v>
      </c>
      <c r="H1711" s="1">
        <f>G1711/$G$21</f>
        <v>5.6820427949675933E-48</v>
      </c>
      <c r="I1711">
        <f>IF($E$11&lt;=D1711, IF(D1711&lt;=$A$15,D1711-$E$11,$F$11),0)</f>
        <v>300</v>
      </c>
      <c r="J1711">
        <f>IF(D1711&lt;=$A$15,0,D1711-$A$15)</f>
        <v>1379</v>
      </c>
      <c r="K1711" s="5">
        <f>IF(D1711&lt;$E$11,H1711,0)</f>
        <v>0</v>
      </c>
      <c r="L1711">
        <f>IF(D1711&lt;$A$15,$C$11,$C$11*(1-$G$11))</f>
        <v>200</v>
      </c>
      <c r="M1711">
        <f>IF(D1711&lt;$A$15,0,1)</f>
        <v>1</v>
      </c>
    </row>
    <row r="1712" spans="4:13" x14ac:dyDescent="0.2">
      <c r="D1712">
        <f t="shared" si="101"/>
        <v>1689</v>
      </c>
      <c r="E1712" s="1">
        <f t="shared" si="99"/>
        <v>160.11983138616134</v>
      </c>
      <c r="F1712" s="1">
        <f t="shared" si="102"/>
        <v>-106.20623676783353</v>
      </c>
      <c r="G1712" s="1">
        <f t="shared" si="100"/>
        <v>7.5026973525137444E-47</v>
      </c>
      <c r="H1712" s="1">
        <f>G1712/$G$21</f>
        <v>5.2611507360811712E-48</v>
      </c>
      <c r="I1712">
        <f>IF($E$11&lt;=D1712, IF(D1712&lt;=$A$15,D1712-$E$11,$F$11),0)</f>
        <v>300</v>
      </c>
      <c r="J1712">
        <f>IF(D1712&lt;=$A$15,0,D1712-$A$15)</f>
        <v>1380</v>
      </c>
      <c r="K1712" s="5">
        <f>IF(D1712&lt;$E$11,H1712,0)</f>
        <v>0</v>
      </c>
      <c r="L1712">
        <f>IF(D1712&lt;$A$15,$C$11,$C$11*(1-$G$11))</f>
        <v>200</v>
      </c>
      <c r="M1712">
        <f>IF(D1712&lt;$A$15,0,1)</f>
        <v>1</v>
      </c>
    </row>
    <row r="1713" spans="4:13" x14ac:dyDescent="0.2">
      <c r="D1713">
        <f t="shared" si="101"/>
        <v>1690</v>
      </c>
      <c r="E1713" s="1">
        <f t="shared" si="99"/>
        <v>160.04287034502522</v>
      </c>
      <c r="F1713" s="1">
        <f t="shared" si="102"/>
        <v>-106.28319780896965</v>
      </c>
      <c r="G1713" s="1">
        <f t="shared" si="100"/>
        <v>6.9469419930683704E-47</v>
      </c>
      <c r="H1713" s="1">
        <f>G1713/$G$21</f>
        <v>4.8714358667418873E-48</v>
      </c>
      <c r="I1713">
        <f>IF($E$11&lt;=D1713, IF(D1713&lt;=$A$15,D1713-$E$11,$F$11),0)</f>
        <v>300</v>
      </c>
      <c r="J1713">
        <f>IF(D1713&lt;=$A$15,0,D1713-$A$15)</f>
        <v>1381</v>
      </c>
      <c r="K1713" s="5">
        <f>IF(D1713&lt;$E$11,H1713,0)</f>
        <v>0</v>
      </c>
      <c r="L1713">
        <f>IF(D1713&lt;$A$15,$C$11,$C$11*(1-$G$11))</f>
        <v>200</v>
      </c>
      <c r="M1713">
        <f>IF(D1713&lt;$A$15,0,1)</f>
        <v>1</v>
      </c>
    </row>
    <row r="1714" spans="4:13" x14ac:dyDescent="0.2">
      <c r="D1714">
        <f t="shared" si="101"/>
        <v>1691</v>
      </c>
      <c r="E1714" s="1">
        <f t="shared" si="99"/>
        <v>159.96590930388911</v>
      </c>
      <c r="F1714" s="1">
        <f t="shared" si="102"/>
        <v>-106.36015885010576</v>
      </c>
      <c r="G1714" s="1">
        <f t="shared" si="100"/>
        <v>6.4323536972856091E-47</v>
      </c>
      <c r="H1714" s="1">
        <f>G1714/$G$21</f>
        <v>4.5105887655018045E-48</v>
      </c>
      <c r="I1714">
        <f>IF($E$11&lt;=D1714, IF(D1714&lt;=$A$15,D1714-$E$11,$F$11),0)</f>
        <v>300</v>
      </c>
      <c r="J1714">
        <f>IF(D1714&lt;=$A$15,0,D1714-$A$15)</f>
        <v>1382</v>
      </c>
      <c r="K1714" s="5">
        <f>IF(D1714&lt;$E$11,H1714,0)</f>
        <v>0</v>
      </c>
      <c r="L1714">
        <f>IF(D1714&lt;$A$15,$C$11,$C$11*(1-$G$11))</f>
        <v>200</v>
      </c>
      <c r="M1714">
        <f>IF(D1714&lt;$A$15,0,1)</f>
        <v>1</v>
      </c>
    </row>
    <row r="1715" spans="4:13" x14ac:dyDescent="0.2">
      <c r="D1715">
        <f t="shared" si="101"/>
        <v>1692</v>
      </c>
      <c r="E1715" s="1">
        <f t="shared" si="99"/>
        <v>159.88894826275299</v>
      </c>
      <c r="F1715" s="1">
        <f t="shared" si="102"/>
        <v>-106.43711989124188</v>
      </c>
      <c r="G1715" s="1">
        <f t="shared" si="100"/>
        <v>5.955883053042306E-47</v>
      </c>
      <c r="H1715" s="1">
        <f>G1715/$G$21</f>
        <v>4.1764710791683904E-48</v>
      </c>
      <c r="I1715">
        <f>IF($E$11&lt;=D1715, IF(D1715&lt;=$A$15,D1715-$E$11,$F$11),0)</f>
        <v>300</v>
      </c>
      <c r="J1715">
        <f>IF(D1715&lt;=$A$15,0,D1715-$A$15)</f>
        <v>1383</v>
      </c>
      <c r="K1715" s="5">
        <f>IF(D1715&lt;$E$11,H1715,0)</f>
        <v>0</v>
      </c>
      <c r="L1715">
        <f>IF(D1715&lt;$A$15,$C$11,$C$11*(1-$G$11))</f>
        <v>200</v>
      </c>
      <c r="M1715">
        <f>IF(D1715&lt;$A$15,0,1)</f>
        <v>1</v>
      </c>
    </row>
    <row r="1716" spans="4:13" x14ac:dyDescent="0.2">
      <c r="D1716">
        <f t="shared" si="101"/>
        <v>1693</v>
      </c>
      <c r="E1716" s="1">
        <f t="shared" si="99"/>
        <v>159.81198722161687</v>
      </c>
      <c r="F1716" s="1">
        <f t="shared" si="102"/>
        <v>-106.51408093237799</v>
      </c>
      <c r="G1716" s="1">
        <f t="shared" si="100"/>
        <v>5.5147065305947978E-47</v>
      </c>
      <c r="H1716" s="1">
        <f>G1716/$G$21</f>
        <v>3.8671028510818917E-48</v>
      </c>
      <c r="I1716">
        <f>IF($E$11&lt;=D1716, IF(D1716&lt;=$A$15,D1716-$E$11,$F$11),0)</f>
        <v>300</v>
      </c>
      <c r="J1716">
        <f>IF(D1716&lt;=$A$15,0,D1716-$A$15)</f>
        <v>1384</v>
      </c>
      <c r="K1716" s="5">
        <f>IF(D1716&lt;$E$11,H1716,0)</f>
        <v>0</v>
      </c>
      <c r="L1716">
        <f>IF(D1716&lt;$A$15,$C$11,$C$11*(1-$G$11))</f>
        <v>200</v>
      </c>
      <c r="M1716">
        <f>IF(D1716&lt;$A$15,0,1)</f>
        <v>1</v>
      </c>
    </row>
    <row r="1717" spans="4:13" x14ac:dyDescent="0.2">
      <c r="D1717">
        <f t="shared" si="101"/>
        <v>1694</v>
      </c>
      <c r="E1717" s="1">
        <f t="shared" si="99"/>
        <v>159.73502618048076</v>
      </c>
      <c r="F1717" s="1">
        <f t="shared" si="102"/>
        <v>-106.59104197351411</v>
      </c>
      <c r="G1717" s="1">
        <f t="shared" si="100"/>
        <v>5.1062097505508029E-47</v>
      </c>
      <c r="H1717" s="1">
        <f>G1717/$G$21</f>
        <v>3.5806507880388339E-48</v>
      </c>
      <c r="I1717">
        <f>IF($E$11&lt;=D1717, IF(D1717&lt;=$A$15,D1717-$E$11,$F$11),0)</f>
        <v>300</v>
      </c>
      <c r="J1717">
        <f>IF(D1717&lt;=$A$15,0,D1717-$A$15)</f>
        <v>1385</v>
      </c>
      <c r="K1717" s="5">
        <f>IF(D1717&lt;$E$11,H1717,0)</f>
        <v>0</v>
      </c>
      <c r="L1717">
        <f>IF(D1717&lt;$A$15,$C$11,$C$11*(1-$G$11))</f>
        <v>200</v>
      </c>
      <c r="M1717">
        <f>IF(D1717&lt;$A$15,0,1)</f>
        <v>1</v>
      </c>
    </row>
    <row r="1718" spans="4:13" x14ac:dyDescent="0.2">
      <c r="D1718">
        <f t="shared" si="101"/>
        <v>1695</v>
      </c>
      <c r="E1718" s="1">
        <f t="shared" si="99"/>
        <v>159.65806513934464</v>
      </c>
      <c r="F1718" s="1">
        <f t="shared" si="102"/>
        <v>-106.66800301465022</v>
      </c>
      <c r="G1718" s="1">
        <f t="shared" si="100"/>
        <v>4.7279719912508035E-47</v>
      </c>
      <c r="H1718" s="1">
        <f>G1718/$G$21</f>
        <v>3.3154173963322958E-48</v>
      </c>
      <c r="I1718">
        <f>IF($E$11&lt;=D1718, IF(D1718&lt;=$A$15,D1718-$E$11,$F$11),0)</f>
        <v>300</v>
      </c>
      <c r="J1718">
        <f>IF(D1718&lt;=$A$15,0,D1718-$A$15)</f>
        <v>1386</v>
      </c>
      <c r="K1718" s="5">
        <f>IF(D1718&lt;$E$11,H1718,0)</f>
        <v>0</v>
      </c>
      <c r="L1718">
        <f>IF(D1718&lt;$A$15,$C$11,$C$11*(1-$G$11))</f>
        <v>200</v>
      </c>
      <c r="M1718">
        <f>IF(D1718&lt;$A$15,0,1)</f>
        <v>1</v>
      </c>
    </row>
    <row r="1719" spans="4:13" x14ac:dyDescent="0.2">
      <c r="D1719">
        <f t="shared" si="101"/>
        <v>1696</v>
      </c>
      <c r="E1719" s="1">
        <f t="shared" si="99"/>
        <v>159.58110409820853</v>
      </c>
      <c r="F1719" s="1">
        <f t="shared" si="102"/>
        <v>-106.74496405578634</v>
      </c>
      <c r="G1719" s="1">
        <f t="shared" si="100"/>
        <v>4.377751843750799E-47</v>
      </c>
      <c r="H1719" s="1">
        <f>G1719/$G$21</f>
        <v>3.0698309225299421E-48</v>
      </c>
      <c r="I1719">
        <f>IF($E$11&lt;=D1719, IF(D1719&lt;=$A$15,D1719-$E$11,$F$11),0)</f>
        <v>300</v>
      </c>
      <c r="J1719">
        <f>IF(D1719&lt;=$A$15,0,D1719-$A$15)</f>
        <v>1387</v>
      </c>
      <c r="K1719" s="5">
        <f>IF(D1719&lt;$E$11,H1719,0)</f>
        <v>0</v>
      </c>
      <c r="L1719">
        <f>IF(D1719&lt;$A$15,$C$11,$C$11*(1-$G$11))</f>
        <v>200</v>
      </c>
      <c r="M1719">
        <f>IF(D1719&lt;$A$15,0,1)</f>
        <v>1</v>
      </c>
    </row>
    <row r="1720" spans="4:13" x14ac:dyDescent="0.2">
      <c r="D1720">
        <f t="shared" si="101"/>
        <v>1697</v>
      </c>
      <c r="E1720" s="1">
        <f t="shared" si="99"/>
        <v>159.50414305707241</v>
      </c>
      <c r="F1720" s="1">
        <f t="shared" si="102"/>
        <v>-106.82192509692246</v>
      </c>
      <c r="G1720" s="1">
        <f t="shared" si="100"/>
        <v>4.0534739293989393E-47</v>
      </c>
      <c r="H1720" s="1">
        <f>G1720/$G$21</f>
        <v>2.8424360393796116E-48</v>
      </c>
      <c r="I1720">
        <f>IF($E$11&lt;=D1720, IF(D1720&lt;=$A$15,D1720-$E$11,$F$11),0)</f>
        <v>300</v>
      </c>
      <c r="J1720">
        <f>IF(D1720&lt;=$A$15,0,D1720-$A$15)</f>
        <v>1388</v>
      </c>
      <c r="K1720" s="5">
        <f>IF(D1720&lt;$E$11,H1720,0)</f>
        <v>0</v>
      </c>
      <c r="L1720">
        <f>IF(D1720&lt;$A$15,$C$11,$C$11*(1-$G$11))</f>
        <v>200</v>
      </c>
      <c r="M1720">
        <f>IF(D1720&lt;$A$15,0,1)</f>
        <v>1</v>
      </c>
    </row>
    <row r="1721" spans="4:13" x14ac:dyDescent="0.2">
      <c r="D1721">
        <f t="shared" si="101"/>
        <v>1698</v>
      </c>
      <c r="E1721" s="1">
        <f t="shared" si="99"/>
        <v>159.4271820159363</v>
      </c>
      <c r="F1721" s="1">
        <f t="shared" si="102"/>
        <v>-106.89888613805857</v>
      </c>
      <c r="G1721" s="1">
        <f t="shared" si="100"/>
        <v>3.7532166012953617E-47</v>
      </c>
      <c r="H1721" s="1">
        <f>G1721/$G$21</f>
        <v>2.6318852216478223E-48</v>
      </c>
      <c r="I1721">
        <f>IF($E$11&lt;=D1721, IF(D1721&lt;=$A$15,D1721-$E$11,$F$11),0)</f>
        <v>300</v>
      </c>
      <c r="J1721">
        <f>IF(D1721&lt;=$A$15,0,D1721-$A$15)</f>
        <v>1389</v>
      </c>
      <c r="K1721" s="5">
        <f>IF(D1721&lt;$E$11,H1721,0)</f>
        <v>0</v>
      </c>
      <c r="L1721">
        <f>IF(D1721&lt;$A$15,$C$11,$C$11*(1-$G$11))</f>
        <v>200</v>
      </c>
      <c r="M1721">
        <f>IF(D1721&lt;$A$15,0,1)</f>
        <v>1</v>
      </c>
    </row>
    <row r="1722" spans="4:13" x14ac:dyDescent="0.2">
      <c r="D1722">
        <f t="shared" si="101"/>
        <v>1699</v>
      </c>
      <c r="E1722" s="1">
        <f t="shared" si="99"/>
        <v>159.35022097480018</v>
      </c>
      <c r="F1722" s="1">
        <f t="shared" si="102"/>
        <v>-106.97584717919469</v>
      </c>
      <c r="G1722" s="1">
        <f t="shared" si="100"/>
        <v>3.4752005567550081E-47</v>
      </c>
      <c r="H1722" s="1">
        <f>G1722/$G$21</f>
        <v>2.4369307607850512E-48</v>
      </c>
      <c r="I1722">
        <f>IF($E$11&lt;=D1722, IF(D1722&lt;=$A$15,D1722-$E$11,$F$11),0)</f>
        <v>300</v>
      </c>
      <c r="J1722">
        <f>IF(D1722&lt;=$A$15,0,D1722-$A$15)</f>
        <v>1390</v>
      </c>
      <c r="K1722" s="5">
        <f>IF(D1722&lt;$E$11,H1722,0)</f>
        <v>0</v>
      </c>
      <c r="L1722">
        <f>IF(D1722&lt;$A$15,$C$11,$C$11*(1-$G$11))</f>
        <v>200</v>
      </c>
      <c r="M1722">
        <f>IF(D1722&lt;$A$15,0,1)</f>
        <v>1</v>
      </c>
    </row>
    <row r="1723" spans="4:13" x14ac:dyDescent="0.2">
      <c r="D1723">
        <f t="shared" si="101"/>
        <v>1700</v>
      </c>
      <c r="E1723" s="1">
        <f t="shared" si="99"/>
        <v>159.27325993366406</v>
      </c>
      <c r="F1723" s="1">
        <f t="shared" si="102"/>
        <v>-107.0528082203308</v>
      </c>
      <c r="G1723" s="1">
        <f t="shared" si="100"/>
        <v>3.2177782932917151E-47</v>
      </c>
      <c r="H1723" s="1">
        <f>G1723/$G$21</f>
        <v>2.2564173710972981E-48</v>
      </c>
      <c r="I1723">
        <f>IF($E$11&lt;=D1723, IF(D1723&lt;=$A$15,D1723-$E$11,$F$11),0)</f>
        <v>300</v>
      </c>
      <c r="J1723">
        <f>IF(D1723&lt;=$A$15,0,D1723-$A$15)</f>
        <v>1391</v>
      </c>
      <c r="K1723" s="5">
        <f>IF(D1723&lt;$E$11,H1723,0)</f>
        <v>0</v>
      </c>
      <c r="L1723">
        <f>IF(D1723&lt;$A$15,$C$11,$C$11*(1-$G$11))</f>
        <v>200</v>
      </c>
      <c r="M1723">
        <f>IF(D1723&lt;$A$15,0,1)</f>
        <v>1</v>
      </c>
    </row>
    <row r="1724" spans="4:13" x14ac:dyDescent="0.2">
      <c r="D1724">
        <f t="shared" si="101"/>
        <v>1701</v>
      </c>
      <c r="E1724" s="1">
        <f t="shared" si="99"/>
        <v>159.19629889252795</v>
      </c>
      <c r="F1724" s="1">
        <f t="shared" si="102"/>
        <v>-107.12976926146692</v>
      </c>
      <c r="G1724" s="1">
        <f t="shared" si="100"/>
        <v>2.9794243456405147E-47</v>
      </c>
      <c r="H1724" s="1">
        <f>G1724/$G$21</f>
        <v>2.0892753436086359E-48</v>
      </c>
      <c r="I1724">
        <f>IF($E$11&lt;=D1724, IF(D1724&lt;=$A$15,D1724-$E$11,$F$11),0)</f>
        <v>300</v>
      </c>
      <c r="J1724">
        <f>IF(D1724&lt;=$A$15,0,D1724-$A$15)</f>
        <v>1392</v>
      </c>
      <c r="K1724" s="5">
        <f>IF(D1724&lt;$E$11,H1724,0)</f>
        <v>0</v>
      </c>
      <c r="L1724">
        <f>IF(D1724&lt;$A$15,$C$11,$C$11*(1-$G$11))</f>
        <v>200</v>
      </c>
      <c r="M1724">
        <f>IF(D1724&lt;$A$15,0,1)</f>
        <v>1</v>
      </c>
    </row>
    <row r="1725" spans="4:13" x14ac:dyDescent="0.2">
      <c r="D1725">
        <f t="shared" si="101"/>
        <v>1702</v>
      </c>
      <c r="E1725" s="1">
        <f t="shared" si="99"/>
        <v>159.11933785139183</v>
      </c>
      <c r="F1725" s="1">
        <f t="shared" si="102"/>
        <v>-107.20673030260303</v>
      </c>
      <c r="G1725" s="1">
        <f t="shared" si="100"/>
        <v>2.7587262459634742E-47</v>
      </c>
      <c r="H1725" s="1">
        <f>G1725/$G$21</f>
        <v>1.9345142070450576E-48</v>
      </c>
      <c r="I1725">
        <f>IF($E$11&lt;=D1725, IF(D1725&lt;=$A$15,D1725-$E$11,$F$11),0)</f>
        <v>300</v>
      </c>
      <c r="J1725">
        <f>IF(D1725&lt;=$A$15,0,D1725-$A$15)</f>
        <v>1393</v>
      </c>
      <c r="K1725" s="5">
        <f>IF(D1725&lt;$E$11,H1725,0)</f>
        <v>0</v>
      </c>
      <c r="L1725">
        <f>IF(D1725&lt;$A$15,$C$11,$C$11*(1-$G$11))</f>
        <v>200</v>
      </c>
      <c r="M1725">
        <f>IF(D1725&lt;$A$15,0,1)</f>
        <v>1</v>
      </c>
    </row>
    <row r="1726" spans="4:13" x14ac:dyDescent="0.2">
      <c r="D1726">
        <f t="shared" si="101"/>
        <v>1703</v>
      </c>
      <c r="E1726" s="1">
        <f t="shared" si="99"/>
        <v>159.04237681025572</v>
      </c>
      <c r="F1726" s="1">
        <f t="shared" si="102"/>
        <v>-107.28369134373915</v>
      </c>
      <c r="G1726" s="1">
        <f t="shared" si="100"/>
        <v>2.5543761536699159E-47</v>
      </c>
      <c r="H1726" s="1">
        <f>G1726/$G$21</f>
        <v>1.7912168583750761E-48</v>
      </c>
      <c r="I1726">
        <f>IF($E$11&lt;=D1726, IF(D1726&lt;=$A$15,D1726-$E$11,$F$11),0)</f>
        <v>300</v>
      </c>
      <c r="J1726">
        <f>IF(D1726&lt;=$A$15,0,D1726-$A$15)</f>
        <v>1394</v>
      </c>
      <c r="K1726" s="5">
        <f>IF(D1726&lt;$E$11,H1726,0)</f>
        <v>0</v>
      </c>
      <c r="L1726">
        <f>IF(D1726&lt;$A$15,$C$11,$C$11*(1-$G$11))</f>
        <v>200</v>
      </c>
      <c r="M1726">
        <f>IF(D1726&lt;$A$15,0,1)</f>
        <v>1</v>
      </c>
    </row>
    <row r="1727" spans="4:13" x14ac:dyDescent="0.2">
      <c r="D1727">
        <f t="shared" si="101"/>
        <v>1704</v>
      </c>
      <c r="E1727" s="1">
        <f t="shared" si="99"/>
        <v>158.9654157691196</v>
      </c>
      <c r="F1727" s="1">
        <f t="shared" si="102"/>
        <v>-107.36065238487527</v>
      </c>
      <c r="G1727" s="1">
        <f t="shared" si="100"/>
        <v>2.3651631052499519E-47</v>
      </c>
      <c r="H1727" s="1">
        <f>G1727/$G$21</f>
        <v>1.6585341281250911E-48</v>
      </c>
      <c r="I1727">
        <f>IF($E$11&lt;=D1727, IF(D1727&lt;=$A$15,D1727-$E$11,$F$11),0)</f>
        <v>300</v>
      </c>
      <c r="J1727">
        <f>IF(D1727&lt;=$A$15,0,D1727-$A$15)</f>
        <v>1395</v>
      </c>
      <c r="K1727" s="5">
        <f>IF(D1727&lt;$E$11,H1727,0)</f>
        <v>0</v>
      </c>
      <c r="L1727">
        <f>IF(D1727&lt;$A$15,$C$11,$C$11*(1-$G$11))</f>
        <v>200</v>
      </c>
      <c r="M1727">
        <f>IF(D1727&lt;$A$15,0,1)</f>
        <v>1</v>
      </c>
    </row>
    <row r="1728" spans="4:13" x14ac:dyDescent="0.2">
      <c r="D1728">
        <f t="shared" si="101"/>
        <v>1705</v>
      </c>
      <c r="E1728" s="1">
        <f t="shared" si="99"/>
        <v>158.88845472798349</v>
      </c>
      <c r="F1728" s="1">
        <f t="shared" si="102"/>
        <v>-107.43761342601138</v>
      </c>
      <c r="G1728" s="1">
        <f t="shared" si="100"/>
        <v>2.1899658381944276E-47</v>
      </c>
      <c r="H1728" s="1">
        <f>G1728/$G$21</f>
        <v>1.5356797482639927E-48</v>
      </c>
      <c r="I1728">
        <f>IF($E$11&lt;=D1728, IF(D1728&lt;=$A$15,D1728-$E$11,$F$11),0)</f>
        <v>300</v>
      </c>
      <c r="J1728">
        <f>IF(D1728&lt;=$A$15,0,D1728-$A$15)</f>
        <v>1396</v>
      </c>
      <c r="K1728" s="5">
        <f>IF(D1728&lt;$E$11,H1728,0)</f>
        <v>0</v>
      </c>
      <c r="L1728">
        <f>IF(D1728&lt;$A$15,$C$11,$C$11*(1-$G$11))</f>
        <v>200</v>
      </c>
      <c r="M1728">
        <f>IF(D1728&lt;$A$15,0,1)</f>
        <v>1</v>
      </c>
    </row>
    <row r="1729" spans="4:13" x14ac:dyDescent="0.2">
      <c r="D1729">
        <f t="shared" si="101"/>
        <v>1706</v>
      </c>
      <c r="E1729" s="1">
        <f t="shared" si="99"/>
        <v>158.81149368684737</v>
      </c>
      <c r="F1729" s="1">
        <f t="shared" si="102"/>
        <v>-107.5145744671475</v>
      </c>
      <c r="G1729" s="1">
        <f t="shared" si="100"/>
        <v>2.0277461464763475E-47</v>
      </c>
      <c r="H1729" s="1">
        <f>G1729/$G$21</f>
        <v>1.4219256928370484E-48</v>
      </c>
      <c r="I1729">
        <f>IF($E$11&lt;=D1729, IF(D1729&lt;=$A$15,D1729-$E$11,$F$11),0)</f>
        <v>300</v>
      </c>
      <c r="J1729">
        <f>IF(D1729&lt;=$A$15,0,D1729-$A$15)</f>
        <v>1397</v>
      </c>
      <c r="K1729" s="5">
        <f>IF(D1729&lt;$E$11,H1729,0)</f>
        <v>0</v>
      </c>
      <c r="L1729">
        <f>IF(D1729&lt;$A$15,$C$11,$C$11*(1-$G$11))</f>
        <v>200</v>
      </c>
      <c r="M1729">
        <f>IF(D1729&lt;$A$15,0,1)</f>
        <v>1</v>
      </c>
    </row>
    <row r="1730" spans="4:13" x14ac:dyDescent="0.2">
      <c r="D1730">
        <f t="shared" si="101"/>
        <v>1707</v>
      </c>
      <c r="E1730" s="1">
        <f t="shared" si="99"/>
        <v>158.73453264571125</v>
      </c>
      <c r="F1730" s="1">
        <f t="shared" si="102"/>
        <v>-107.59153550828361</v>
      </c>
      <c r="G1730" s="1">
        <f t="shared" si="100"/>
        <v>1.8775427282188642E-47</v>
      </c>
      <c r="H1730" s="1">
        <f>G1730/$G$21</f>
        <v>1.3165978637380245E-48</v>
      </c>
      <c r="I1730">
        <f>IF($E$11&lt;=D1730, IF(D1730&lt;=$A$15,D1730-$E$11,$F$11),0)</f>
        <v>300</v>
      </c>
      <c r="J1730">
        <f>IF(D1730&lt;=$A$15,0,D1730-$A$15)</f>
        <v>1398</v>
      </c>
      <c r="K1730" s="5">
        <f>IF(D1730&lt;$E$11,H1730,0)</f>
        <v>0</v>
      </c>
      <c r="L1730">
        <f>IF(D1730&lt;$A$15,$C$11,$C$11*(1-$G$11))</f>
        <v>200</v>
      </c>
      <c r="M1730">
        <f>IF(D1730&lt;$A$15,0,1)</f>
        <v>1</v>
      </c>
    </row>
    <row r="1731" spans="4:13" x14ac:dyDescent="0.2">
      <c r="D1731">
        <f t="shared" si="101"/>
        <v>1708</v>
      </c>
      <c r="E1731" s="1">
        <f t="shared" si="99"/>
        <v>158.65757160457514</v>
      </c>
      <c r="F1731" s="1">
        <f t="shared" si="102"/>
        <v>-107.66849654941973</v>
      </c>
      <c r="G1731" s="1">
        <f t="shared" si="100"/>
        <v>1.7384654890915628E-47</v>
      </c>
      <c r="H1731" s="1">
        <f>G1731/$G$21</f>
        <v>1.2190720960537417E-48</v>
      </c>
      <c r="I1731">
        <f>IF($E$11&lt;=D1731, IF(D1731&lt;=$A$15,D1731-$E$11,$F$11),0)</f>
        <v>300</v>
      </c>
      <c r="J1731">
        <f>IF(D1731&lt;=$A$15,0,D1731-$A$15)</f>
        <v>1399</v>
      </c>
      <c r="K1731" s="5">
        <f>IF(D1731&lt;$E$11,H1731,0)</f>
        <v>0</v>
      </c>
      <c r="L1731">
        <f>IF(D1731&lt;$A$15,$C$11,$C$11*(1-$G$11))</f>
        <v>200</v>
      </c>
      <c r="M1731">
        <f>IF(D1731&lt;$A$15,0,1)</f>
        <v>1</v>
      </c>
    </row>
    <row r="1732" spans="4:13" x14ac:dyDescent="0.2">
      <c r="D1732">
        <f t="shared" si="101"/>
        <v>1709</v>
      </c>
      <c r="E1732" s="1">
        <f t="shared" ref="E1732:F1795" si="103">IF($G$11=1,IF(D1732&lt;=$A$15, E1731+LN($C$11)-LN(60/$D$11)-LN(MIN(D1732,$E$11)), E1731-LN(60/$D$11)-LN(MIN(D1732,$E$11))), IF(D1732&lt;=$A$15, E1731+LN($C$11)-LN(60/$D$11)-LN(MIN(D1732,$E$11)), E1731+LN($C$11)+LN(1-$G$11)-LN(60/$D$11)-LN(MIN(D1732,$E$11))))</f>
        <v>158.58061056343902</v>
      </c>
      <c r="F1732" s="1">
        <f t="shared" si="102"/>
        <v>-107.74545759055584</v>
      </c>
      <c r="G1732" s="1">
        <f t="shared" si="100"/>
        <v>1.6096902676773933E-47</v>
      </c>
      <c r="H1732" s="1">
        <f>G1732/$G$21</f>
        <v>1.1287704593090344E-48</v>
      </c>
      <c r="I1732">
        <f>IF($E$11&lt;=D1732, IF(D1732&lt;=$A$15,D1732-$E$11,$F$11),0)</f>
        <v>300</v>
      </c>
      <c r="J1732">
        <f>IF(D1732&lt;=$A$15,0,D1732-$A$15)</f>
        <v>1400</v>
      </c>
      <c r="K1732" s="5">
        <f>IF(D1732&lt;$E$11,H1732,0)</f>
        <v>0</v>
      </c>
      <c r="L1732">
        <f>IF(D1732&lt;$A$15,$C$11,$C$11*(1-$G$11))</f>
        <v>200</v>
      </c>
      <c r="M1732">
        <f>IF(D1732&lt;$A$15,0,1)</f>
        <v>1</v>
      </c>
    </row>
    <row r="1733" spans="4:13" x14ac:dyDescent="0.2">
      <c r="D1733">
        <f t="shared" si="101"/>
        <v>1710</v>
      </c>
      <c r="E1733" s="1">
        <f t="shared" si="103"/>
        <v>158.50364952230291</v>
      </c>
      <c r="F1733" s="1">
        <f t="shared" si="102"/>
        <v>-107.82241863169196</v>
      </c>
      <c r="G1733" s="1">
        <f t="shared" si="100"/>
        <v>1.4904539515531607E-47</v>
      </c>
      <c r="H1733" s="1">
        <f>G1733/$G$21</f>
        <v>1.0451578326935634E-48</v>
      </c>
      <c r="I1733">
        <f>IF($E$11&lt;=D1733, IF(D1733&lt;=$A$15,D1733-$E$11,$F$11),0)</f>
        <v>300</v>
      </c>
      <c r="J1733">
        <f>IF(D1733&lt;=$A$15,0,D1733-$A$15)</f>
        <v>1401</v>
      </c>
      <c r="K1733" s="5">
        <f>IF(D1733&lt;$E$11,H1733,0)</f>
        <v>0</v>
      </c>
      <c r="L1733">
        <f>IF(D1733&lt;$A$15,$C$11,$C$11*(1-$G$11))</f>
        <v>200</v>
      </c>
      <c r="M1733">
        <f>IF(D1733&lt;$A$15,0,1)</f>
        <v>1</v>
      </c>
    </row>
    <row r="1734" spans="4:13" x14ac:dyDescent="0.2">
      <c r="D1734">
        <f t="shared" si="101"/>
        <v>1711</v>
      </c>
      <c r="E1734" s="1">
        <f t="shared" si="103"/>
        <v>158.42668848116679</v>
      </c>
      <c r="F1734" s="1">
        <f t="shared" si="102"/>
        <v>-107.89937967282808</v>
      </c>
      <c r="G1734" s="1">
        <f t="shared" si="100"/>
        <v>1.3800499551418329E-47</v>
      </c>
      <c r="H1734" s="1">
        <f>G1734/$G$21</f>
        <v>9.6773873397553403E-49</v>
      </c>
      <c r="I1734">
        <f>IF($E$11&lt;=D1734, IF(D1734&lt;=$A$15,D1734-$E$11,$F$11),0)</f>
        <v>300</v>
      </c>
      <c r="J1734">
        <f>IF(D1734&lt;=$A$15,0,D1734-$A$15)</f>
        <v>1402</v>
      </c>
      <c r="K1734" s="5">
        <f>IF(D1734&lt;$E$11,H1734,0)</f>
        <v>0</v>
      </c>
      <c r="L1734">
        <f>IF(D1734&lt;$A$15,$C$11,$C$11*(1-$G$11))</f>
        <v>200</v>
      </c>
      <c r="M1734">
        <f>IF(D1734&lt;$A$15,0,1)</f>
        <v>1</v>
      </c>
    </row>
    <row r="1735" spans="4:13" x14ac:dyDescent="0.2">
      <c r="D1735">
        <f t="shared" si="101"/>
        <v>1712</v>
      </c>
      <c r="E1735" s="1">
        <f t="shared" si="103"/>
        <v>158.34972744003068</v>
      </c>
      <c r="F1735" s="1">
        <f t="shared" si="102"/>
        <v>-107.97634071396419</v>
      </c>
      <c r="G1735" s="1">
        <f t="shared" si="100"/>
        <v>1.2778240325387504E-47</v>
      </c>
      <c r="H1735" s="1">
        <f>G1735/$G$21</f>
        <v>8.9605438331069093E-49</v>
      </c>
      <c r="I1735">
        <f>IF($E$11&lt;=D1735, IF(D1735&lt;=$A$15,D1735-$E$11,$F$11),0)</f>
        <v>300</v>
      </c>
      <c r="J1735">
        <f>IF(D1735&lt;=$A$15,0,D1735-$A$15)</f>
        <v>1403</v>
      </c>
      <c r="K1735" s="5">
        <f>IF(D1735&lt;$E$11,H1735,0)</f>
        <v>0</v>
      </c>
      <c r="L1735">
        <f>IF(D1735&lt;$A$15,$C$11,$C$11*(1-$G$11))</f>
        <v>200</v>
      </c>
      <c r="M1735">
        <f>IF(D1735&lt;$A$15,0,1)</f>
        <v>1</v>
      </c>
    </row>
    <row r="1736" spans="4:13" x14ac:dyDescent="0.2">
      <c r="D1736">
        <f t="shared" si="101"/>
        <v>1713</v>
      </c>
      <c r="E1736" s="1">
        <f t="shared" si="103"/>
        <v>158.27276639889456</v>
      </c>
      <c r="F1736" s="1">
        <f t="shared" si="102"/>
        <v>-108.05330175510031</v>
      </c>
      <c r="G1736" s="1">
        <f t="shared" si="100"/>
        <v>1.1831704004988579E-47</v>
      </c>
      <c r="H1736" s="1">
        <f>G1736/$G$21</f>
        <v>8.2967998454694664E-49</v>
      </c>
      <c r="I1736">
        <f>IF($E$11&lt;=D1736, IF(D1736&lt;=$A$15,D1736-$E$11,$F$11),0)</f>
        <v>300</v>
      </c>
      <c r="J1736">
        <f>IF(D1736&lt;=$A$15,0,D1736-$A$15)</f>
        <v>1404</v>
      </c>
      <c r="K1736" s="5">
        <f>IF(D1736&lt;$E$11,H1736,0)</f>
        <v>0</v>
      </c>
      <c r="L1736">
        <f>IF(D1736&lt;$A$15,$C$11,$C$11*(1-$G$11))</f>
        <v>200</v>
      </c>
      <c r="M1736">
        <f>IF(D1736&lt;$A$15,0,1)</f>
        <v>1</v>
      </c>
    </row>
    <row r="1737" spans="4:13" x14ac:dyDescent="0.2">
      <c r="D1737">
        <f t="shared" si="101"/>
        <v>1714</v>
      </c>
      <c r="E1737" s="1">
        <f t="shared" si="103"/>
        <v>158.19580535775845</v>
      </c>
      <c r="F1737" s="1">
        <f t="shared" si="102"/>
        <v>-108.13026279623642</v>
      </c>
      <c r="G1737" s="1">
        <f t="shared" si="100"/>
        <v>1.0955281486100675E-47</v>
      </c>
      <c r="H1737" s="1">
        <f>G1737/$G$21</f>
        <v>7.6822220791384924E-49</v>
      </c>
      <c r="I1737">
        <f>IF($E$11&lt;=D1737, IF(D1737&lt;=$A$15,D1737-$E$11,$F$11),0)</f>
        <v>300</v>
      </c>
      <c r="J1737">
        <f>IF(D1737&lt;=$A$15,0,D1737-$A$15)</f>
        <v>1405</v>
      </c>
      <c r="K1737" s="5">
        <f>IF(D1737&lt;$E$11,H1737,0)</f>
        <v>0</v>
      </c>
      <c r="L1737">
        <f>IF(D1737&lt;$A$15,$C$11,$C$11*(1-$G$11))</f>
        <v>200</v>
      </c>
      <c r="M1737">
        <f>IF(D1737&lt;$A$15,0,1)</f>
        <v>1</v>
      </c>
    </row>
    <row r="1738" spans="4:13" x14ac:dyDescent="0.2">
      <c r="D1738">
        <f t="shared" si="101"/>
        <v>1715</v>
      </c>
      <c r="E1738" s="1">
        <f t="shared" si="103"/>
        <v>158.11884431662233</v>
      </c>
      <c r="F1738" s="1">
        <f t="shared" si="102"/>
        <v>-108.20722383737254</v>
      </c>
      <c r="G1738" s="1">
        <f t="shared" si="100"/>
        <v>1.014377915379705E-47</v>
      </c>
      <c r="H1738" s="1">
        <f>G1738/$G$21</f>
        <v>7.113168591794989E-49</v>
      </c>
      <c r="I1738">
        <f>IF($E$11&lt;=D1738, IF(D1738&lt;=$A$15,D1738-$E$11,$F$11),0)</f>
        <v>300</v>
      </c>
      <c r="J1738">
        <f>IF(D1738&lt;=$A$15,0,D1738-$A$15)</f>
        <v>1406</v>
      </c>
      <c r="K1738" s="5">
        <f>IF(D1738&lt;$E$11,H1738,0)</f>
        <v>0</v>
      </c>
      <c r="L1738">
        <f>IF(D1738&lt;$A$15,$C$11,$C$11*(1-$G$11))</f>
        <v>200</v>
      </c>
      <c r="M1738">
        <f>IF(D1738&lt;$A$15,0,1)</f>
        <v>1</v>
      </c>
    </row>
    <row r="1739" spans="4:13" x14ac:dyDescent="0.2">
      <c r="D1739">
        <f t="shared" si="101"/>
        <v>1716</v>
      </c>
      <c r="E1739" s="1">
        <f t="shared" si="103"/>
        <v>158.04188327548621</v>
      </c>
      <c r="F1739" s="1">
        <f t="shared" si="102"/>
        <v>-108.28418487850865</v>
      </c>
      <c r="G1739" s="1">
        <f t="shared" si="100"/>
        <v>9.3923881053677569E-48</v>
      </c>
      <c r="H1739" s="1">
        <f>G1739/$G$21</f>
        <v>6.5862672146250739E-49</v>
      </c>
      <c r="I1739">
        <f>IF($E$11&lt;=D1739, IF(D1739&lt;=$A$15,D1739-$E$11,$F$11),0)</f>
        <v>300</v>
      </c>
      <c r="J1739">
        <f>IF(D1739&lt;=$A$15,0,D1739-$A$15)</f>
        <v>1407</v>
      </c>
      <c r="K1739" s="5">
        <f>IF(D1739&lt;$E$11,H1739,0)</f>
        <v>0</v>
      </c>
      <c r="L1739">
        <f>IF(D1739&lt;$A$15,$C$11,$C$11*(1-$G$11))</f>
        <v>200</v>
      </c>
      <c r="M1739">
        <f>IF(D1739&lt;$A$15,0,1)</f>
        <v>1</v>
      </c>
    </row>
    <row r="1740" spans="4:13" x14ac:dyDescent="0.2">
      <c r="D1740">
        <f t="shared" si="101"/>
        <v>1717</v>
      </c>
      <c r="E1740" s="1">
        <f t="shared" si="103"/>
        <v>157.9649222343501</v>
      </c>
      <c r="F1740" s="1">
        <f t="shared" si="102"/>
        <v>-108.36114591964477</v>
      </c>
      <c r="G1740" s="1">
        <f t="shared" si="100"/>
        <v>8.6966556531184044E-48</v>
      </c>
      <c r="H1740" s="1">
        <f>G1740/$G$21</f>
        <v>6.0983955690973679E-49</v>
      </c>
      <c r="I1740">
        <f>IF($E$11&lt;=D1740, IF(D1740&lt;=$A$15,D1740-$E$11,$F$11),0)</f>
        <v>300</v>
      </c>
      <c r="J1740">
        <f>IF(D1740&lt;=$A$15,0,D1740-$A$15)</f>
        <v>1408</v>
      </c>
      <c r="K1740" s="5">
        <f>IF(D1740&lt;$E$11,H1740,0)</f>
        <v>0</v>
      </c>
      <c r="L1740">
        <f>IF(D1740&lt;$A$15,$C$11,$C$11*(1-$G$11))</f>
        <v>200</v>
      </c>
      <c r="M1740">
        <f>IF(D1740&lt;$A$15,0,1)</f>
        <v>1</v>
      </c>
    </row>
    <row r="1741" spans="4:13" x14ac:dyDescent="0.2">
      <c r="D1741">
        <f t="shared" si="101"/>
        <v>1718</v>
      </c>
      <c r="E1741" s="1">
        <f t="shared" si="103"/>
        <v>157.88796119321398</v>
      </c>
      <c r="F1741" s="1">
        <f t="shared" si="102"/>
        <v>-108.43810696078089</v>
      </c>
      <c r="G1741" s="1">
        <f t="shared" si="100"/>
        <v>8.0524589380726981E-48</v>
      </c>
      <c r="H1741" s="1">
        <f>G1741/$G$21</f>
        <v>5.6466625639791158E-49</v>
      </c>
      <c r="I1741">
        <f>IF($E$11&lt;=D1741, IF(D1741&lt;=$A$15,D1741-$E$11,$F$11),0)</f>
        <v>300</v>
      </c>
      <c r="J1741">
        <f>IF(D1741&lt;=$A$15,0,D1741-$A$15)</f>
        <v>1409</v>
      </c>
      <c r="K1741" s="5">
        <f>IF(D1741&lt;$E$11,H1741,0)</f>
        <v>0</v>
      </c>
      <c r="L1741">
        <f>IF(D1741&lt;$A$15,$C$11,$C$11*(1-$G$11))</f>
        <v>200</v>
      </c>
      <c r="M1741">
        <f>IF(D1741&lt;$A$15,0,1)</f>
        <v>1</v>
      </c>
    </row>
    <row r="1742" spans="4:13" x14ac:dyDescent="0.2">
      <c r="D1742">
        <f t="shared" si="101"/>
        <v>1719</v>
      </c>
      <c r="E1742" s="1">
        <f t="shared" si="103"/>
        <v>157.81100015207787</v>
      </c>
      <c r="F1742" s="1">
        <f t="shared" si="102"/>
        <v>-108.515068001917</v>
      </c>
      <c r="G1742" s="1">
        <f t="shared" si="100"/>
        <v>7.4559804982155549E-48</v>
      </c>
      <c r="H1742" s="1">
        <f>G1742/$G$21</f>
        <v>5.2283912629436912E-49</v>
      </c>
      <c r="I1742">
        <f>IF($E$11&lt;=D1742, IF(D1742&lt;=$A$15,D1742-$E$11,$F$11),0)</f>
        <v>300</v>
      </c>
      <c r="J1742">
        <f>IF(D1742&lt;=$A$15,0,D1742-$A$15)</f>
        <v>1410</v>
      </c>
      <c r="K1742" s="5">
        <f>IF(D1742&lt;$E$11,H1742,0)</f>
        <v>0</v>
      </c>
      <c r="L1742">
        <f>IF(D1742&lt;$A$15,$C$11,$C$11*(1-$G$11))</f>
        <v>200</v>
      </c>
      <c r="M1742">
        <f>IF(D1742&lt;$A$15,0,1)</f>
        <v>1</v>
      </c>
    </row>
    <row r="1743" spans="4:13" x14ac:dyDescent="0.2">
      <c r="D1743">
        <f t="shared" si="101"/>
        <v>1720</v>
      </c>
      <c r="E1743" s="1">
        <f t="shared" si="103"/>
        <v>157.73403911094175</v>
      </c>
      <c r="F1743" s="1">
        <f t="shared" si="102"/>
        <v>-108.59202904305312</v>
      </c>
      <c r="G1743" s="1">
        <f t="shared" si="100"/>
        <v>6.9036856464959717E-48</v>
      </c>
      <c r="H1743" s="1">
        <f>G1743/$G$21</f>
        <v>4.8411030212442202E-49</v>
      </c>
      <c r="I1743">
        <f>IF($E$11&lt;=D1743, IF(D1743&lt;=$A$15,D1743-$E$11,$F$11),0)</f>
        <v>300</v>
      </c>
      <c r="J1743">
        <f>IF(D1743&lt;=$A$15,0,D1743-$A$15)</f>
        <v>1411</v>
      </c>
      <c r="K1743" s="5">
        <f>IF(D1743&lt;$E$11,H1743,0)</f>
        <v>0</v>
      </c>
      <c r="L1743">
        <f>IF(D1743&lt;$A$15,$C$11,$C$11*(1-$G$11))</f>
        <v>200</v>
      </c>
      <c r="M1743">
        <f>IF(D1743&lt;$A$15,0,1)</f>
        <v>1</v>
      </c>
    </row>
    <row r="1744" spans="4:13" x14ac:dyDescent="0.2">
      <c r="D1744">
        <f t="shared" si="101"/>
        <v>1721</v>
      </c>
      <c r="E1744" s="1">
        <f t="shared" si="103"/>
        <v>157.65707806980564</v>
      </c>
      <c r="F1744" s="1">
        <f t="shared" si="102"/>
        <v>-108.66899008418923</v>
      </c>
      <c r="G1744" s="1">
        <f t="shared" si="100"/>
        <v>6.3923015245333885E-48</v>
      </c>
      <c r="H1744" s="1">
        <f>G1744/$G$21</f>
        <v>4.4825027974484093E-49</v>
      </c>
      <c r="I1744">
        <f>IF($E$11&lt;=D1744, IF(D1744&lt;=$A$15,D1744-$E$11,$F$11),0)</f>
        <v>300</v>
      </c>
      <c r="J1744">
        <f>IF(D1744&lt;=$A$15,0,D1744-$A$15)</f>
        <v>1412</v>
      </c>
      <c r="K1744" s="5">
        <f>IF(D1744&lt;$E$11,H1744,0)</f>
        <v>0</v>
      </c>
      <c r="L1744">
        <f>IF(D1744&lt;$A$15,$C$11,$C$11*(1-$G$11))</f>
        <v>200</v>
      </c>
      <c r="M1744">
        <f>IF(D1744&lt;$A$15,0,1)</f>
        <v>1</v>
      </c>
    </row>
    <row r="1745" spans="4:13" x14ac:dyDescent="0.2">
      <c r="D1745">
        <f t="shared" si="101"/>
        <v>1722</v>
      </c>
      <c r="E1745" s="1">
        <f t="shared" si="103"/>
        <v>157.58011702866952</v>
      </c>
      <c r="F1745" s="1">
        <f t="shared" si="102"/>
        <v>-108.74595112532535</v>
      </c>
      <c r="G1745" s="1">
        <f t="shared" si="100"/>
        <v>5.9187977079013598E-48</v>
      </c>
      <c r="H1745" s="1">
        <f>G1745/$G$21</f>
        <v>4.1504655531930231E-49</v>
      </c>
      <c r="I1745">
        <f>IF($E$11&lt;=D1745, IF(D1745&lt;=$A$15,D1745-$E$11,$F$11),0)</f>
        <v>300</v>
      </c>
      <c r="J1745">
        <f>IF(D1745&lt;=$A$15,0,D1745-$A$15)</f>
        <v>1413</v>
      </c>
      <c r="K1745" s="5">
        <f>IF(D1745&lt;$E$11,H1745,0)</f>
        <v>0</v>
      </c>
      <c r="L1745">
        <f>IF(D1745&lt;$A$15,$C$11,$C$11*(1-$G$11))</f>
        <v>200</v>
      </c>
      <c r="M1745">
        <f>IF(D1745&lt;$A$15,0,1)</f>
        <v>1</v>
      </c>
    </row>
    <row r="1746" spans="4:13" x14ac:dyDescent="0.2">
      <c r="D1746">
        <f t="shared" si="101"/>
        <v>1723</v>
      </c>
      <c r="E1746" s="1">
        <f t="shared" si="103"/>
        <v>157.5031559875334</v>
      </c>
      <c r="F1746" s="1">
        <f t="shared" si="102"/>
        <v>-108.82291216646146</v>
      </c>
      <c r="G1746" s="1">
        <f t="shared" si="100"/>
        <v>5.4803682480568837E-48</v>
      </c>
      <c r="H1746" s="1">
        <f>G1746/$G$21</f>
        <v>3.8430236603639592E-49</v>
      </c>
      <c r="I1746">
        <f>IF($E$11&lt;=D1746, IF(D1746&lt;=$A$15,D1746-$E$11,$F$11),0)</f>
        <v>300</v>
      </c>
      <c r="J1746">
        <f>IF(D1746&lt;=$A$15,0,D1746-$A$15)</f>
        <v>1414</v>
      </c>
      <c r="K1746" s="5">
        <f>IF(D1746&lt;$E$11,H1746,0)</f>
        <v>0</v>
      </c>
      <c r="L1746">
        <f>IF(D1746&lt;$A$15,$C$11,$C$11*(1-$G$11))</f>
        <v>200</v>
      </c>
      <c r="M1746">
        <f>IF(D1746&lt;$A$15,0,1)</f>
        <v>1</v>
      </c>
    </row>
    <row r="1747" spans="4:13" x14ac:dyDescent="0.2">
      <c r="D1747">
        <f t="shared" si="101"/>
        <v>1724</v>
      </c>
      <c r="E1747" s="1">
        <f t="shared" si="103"/>
        <v>157.42619494639729</v>
      </c>
      <c r="F1747" s="1">
        <f t="shared" si="102"/>
        <v>-108.89987320759758</v>
      </c>
      <c r="G1747" s="1">
        <f t="shared" si="100"/>
        <v>5.0744150444971792E-48</v>
      </c>
      <c r="H1747" s="1">
        <f>G1747/$G$21</f>
        <v>3.5583552410777848E-49</v>
      </c>
      <c r="I1747">
        <f>IF($E$11&lt;=D1747, IF(D1747&lt;=$A$15,D1747-$E$11,$F$11),0)</f>
        <v>300</v>
      </c>
      <c r="J1747">
        <f>IF(D1747&lt;=$A$15,0,D1747-$A$15)</f>
        <v>1415</v>
      </c>
      <c r="K1747" s="5">
        <f>IF(D1747&lt;$E$11,H1747,0)</f>
        <v>0</v>
      </c>
      <c r="L1747">
        <f>IF(D1747&lt;$A$15,$C$11,$C$11*(1-$G$11))</f>
        <v>200</v>
      </c>
      <c r="M1747">
        <f>IF(D1747&lt;$A$15,0,1)</f>
        <v>1</v>
      </c>
    </row>
    <row r="1748" spans="4:13" x14ac:dyDescent="0.2">
      <c r="D1748">
        <f t="shared" si="101"/>
        <v>1725</v>
      </c>
      <c r="E1748" s="1">
        <f t="shared" si="103"/>
        <v>157.34923390526117</v>
      </c>
      <c r="F1748" s="1">
        <f t="shared" si="102"/>
        <v>-108.9768342487337</v>
      </c>
      <c r="G1748" s="1">
        <f t="shared" si="100"/>
        <v>4.6985324486085583E-48</v>
      </c>
      <c r="H1748" s="1">
        <f>G1748/$G$21</f>
        <v>3.294773371368361E-49</v>
      </c>
      <c r="I1748">
        <f>IF($E$11&lt;=D1748, IF(D1748&lt;=$A$15,D1748-$E$11,$F$11),0)</f>
        <v>300</v>
      </c>
      <c r="J1748">
        <f>IF(D1748&lt;=$A$15,0,D1748-$A$15)</f>
        <v>1416</v>
      </c>
      <c r="K1748" s="5">
        <f>IF(D1748&lt;$E$11,H1748,0)</f>
        <v>0</v>
      </c>
      <c r="L1748">
        <f>IF(D1748&lt;$A$15,$C$11,$C$11*(1-$G$11))</f>
        <v>200</v>
      </c>
      <c r="M1748">
        <f>IF(D1748&lt;$A$15,0,1)</f>
        <v>1</v>
      </c>
    </row>
    <row r="1749" spans="4:13" x14ac:dyDescent="0.2">
      <c r="D1749">
        <f t="shared" si="101"/>
        <v>1726</v>
      </c>
      <c r="E1749" s="1">
        <f t="shared" si="103"/>
        <v>157.27227286412506</v>
      </c>
      <c r="F1749" s="1">
        <f t="shared" si="102"/>
        <v>-109.05379528986981</v>
      </c>
      <c r="G1749" s="1">
        <f t="shared" si="100"/>
        <v>4.3504930079709426E-48</v>
      </c>
      <c r="H1749" s="1">
        <f>G1749/$G$21</f>
        <v>3.0507160846003728E-49</v>
      </c>
      <c r="I1749">
        <f>IF($E$11&lt;=D1749, IF(D1749&lt;=$A$15,D1749-$E$11,$F$11),0)</f>
        <v>300</v>
      </c>
      <c r="J1749">
        <f>IF(D1749&lt;=$A$15,0,D1749-$A$15)</f>
        <v>1417</v>
      </c>
      <c r="K1749" s="5">
        <f>IF(D1749&lt;$E$11,H1749,0)</f>
        <v>0</v>
      </c>
      <c r="L1749">
        <f>IF(D1749&lt;$A$15,$C$11,$C$11*(1-$G$11))</f>
        <v>200</v>
      </c>
      <c r="M1749">
        <f>IF(D1749&lt;$A$15,0,1)</f>
        <v>1</v>
      </c>
    </row>
    <row r="1750" spans="4:13" x14ac:dyDescent="0.2">
      <c r="D1750">
        <f t="shared" si="101"/>
        <v>1727</v>
      </c>
      <c r="E1750" s="1">
        <f t="shared" si="103"/>
        <v>157.19531182298894</v>
      </c>
      <c r="F1750" s="1">
        <f t="shared" si="102"/>
        <v>-109.13075633100593</v>
      </c>
      <c r="G1750" s="1">
        <f t="shared" si="100"/>
        <v>4.0282342666398127E-48</v>
      </c>
      <c r="H1750" s="1">
        <f>G1750/$G$21</f>
        <v>2.8247371153707514E-49</v>
      </c>
      <c r="I1750">
        <f>IF($E$11&lt;=D1750, IF(D1750&lt;=$A$15,D1750-$E$11,$F$11),0)</f>
        <v>300</v>
      </c>
      <c r="J1750">
        <f>IF(D1750&lt;=$A$15,0,D1750-$A$15)</f>
        <v>1418</v>
      </c>
      <c r="K1750" s="5">
        <f>IF(D1750&lt;$E$11,H1750,0)</f>
        <v>0</v>
      </c>
      <c r="L1750">
        <f>IF(D1750&lt;$A$15,$C$11,$C$11*(1-$G$11))</f>
        <v>200</v>
      </c>
      <c r="M1750">
        <f>IF(D1750&lt;$A$15,0,1)</f>
        <v>1</v>
      </c>
    </row>
    <row r="1751" spans="4:13" x14ac:dyDescent="0.2">
      <c r="D1751">
        <f t="shared" si="101"/>
        <v>1728</v>
      </c>
      <c r="E1751" s="1">
        <f t="shared" si="103"/>
        <v>157.11835078185283</v>
      </c>
      <c r="F1751" s="1">
        <f t="shared" si="102"/>
        <v>-109.20771737214204</v>
      </c>
      <c r="G1751" s="1">
        <f t="shared" si="100"/>
        <v>3.7298465431850589E-48</v>
      </c>
      <c r="H1751" s="1">
        <f>G1751/$G$21</f>
        <v>2.6154973290470251E-49</v>
      </c>
      <c r="I1751">
        <f>IF($E$11&lt;=D1751, IF(D1751&lt;=$A$15,D1751-$E$11,$F$11),0)</f>
        <v>300</v>
      </c>
      <c r="J1751">
        <f>IF(D1751&lt;=$A$15,0,D1751-$A$15)</f>
        <v>1419</v>
      </c>
      <c r="K1751" s="5">
        <f>IF(D1751&lt;$E$11,H1751,0)</f>
        <v>0</v>
      </c>
      <c r="L1751">
        <f>IF(D1751&lt;$A$15,$C$11,$C$11*(1-$G$11))</f>
        <v>200</v>
      </c>
      <c r="M1751">
        <f>IF(D1751&lt;$A$15,0,1)</f>
        <v>1</v>
      </c>
    </row>
    <row r="1752" spans="4:13" x14ac:dyDescent="0.2">
      <c r="D1752">
        <f t="shared" si="101"/>
        <v>1729</v>
      </c>
      <c r="E1752" s="1">
        <f t="shared" si="103"/>
        <v>157.04138974071671</v>
      </c>
      <c r="F1752" s="1">
        <f t="shared" si="102"/>
        <v>-109.28467841327816</v>
      </c>
      <c r="G1752" s="1">
        <f t="shared" ref="G1752:G1815" si="104">EXP(F1752)</f>
        <v>3.4535616140602831E-48</v>
      </c>
      <c r="H1752" s="1">
        <f>G1752/$G$21</f>
        <v>2.4217567861546833E-49</v>
      </c>
      <c r="I1752">
        <f>IF($E$11&lt;=D1752, IF(D1752&lt;=$A$15,D1752-$E$11,$F$11),0)</f>
        <v>300</v>
      </c>
      <c r="J1752">
        <f>IF(D1752&lt;=$A$15,0,D1752-$A$15)</f>
        <v>1420</v>
      </c>
      <c r="K1752" s="5">
        <f>IF(D1752&lt;$E$11,H1752,0)</f>
        <v>0</v>
      </c>
      <c r="L1752">
        <f>IF(D1752&lt;$A$15,$C$11,$C$11*(1-$G$11))</f>
        <v>200</v>
      </c>
      <c r="M1752">
        <f>IF(D1752&lt;$A$15,0,1)</f>
        <v>1</v>
      </c>
    </row>
    <row r="1753" spans="4:13" x14ac:dyDescent="0.2">
      <c r="D1753">
        <f t="shared" ref="D1753:D1816" si="105">1+D1752</f>
        <v>1730</v>
      </c>
      <c r="E1753" s="1">
        <f t="shared" si="103"/>
        <v>156.96442869958059</v>
      </c>
      <c r="F1753" s="1">
        <f t="shared" ref="F1753:F1816" si="106">E1753-$E$21</f>
        <v>-109.36163945441427</v>
      </c>
      <c r="G1753" s="1">
        <f t="shared" si="104"/>
        <v>3.1977422352410434E-48</v>
      </c>
      <c r="H1753" s="1">
        <f>G1753/$G$21</f>
        <v>2.2423673945876981E-49</v>
      </c>
      <c r="I1753">
        <f>IF($E$11&lt;=D1753, IF(D1753&lt;=$A$15,D1753-$E$11,$F$11),0)</f>
        <v>300</v>
      </c>
      <c r="J1753">
        <f>IF(D1753&lt;=$A$15,0,D1753-$A$15)</f>
        <v>1421</v>
      </c>
      <c r="K1753" s="5">
        <f>IF(D1753&lt;$E$11,H1753,0)</f>
        <v>0</v>
      </c>
      <c r="L1753">
        <f>IF(D1753&lt;$A$15,$C$11,$C$11*(1-$G$11))</f>
        <v>200</v>
      </c>
      <c r="M1753">
        <f>IF(D1753&lt;$A$15,0,1)</f>
        <v>1</v>
      </c>
    </row>
    <row r="1754" spans="4:13" x14ac:dyDescent="0.2">
      <c r="D1754">
        <f t="shared" si="105"/>
        <v>1731</v>
      </c>
      <c r="E1754" s="1">
        <f t="shared" si="103"/>
        <v>156.88746765844448</v>
      </c>
      <c r="F1754" s="1">
        <f t="shared" si="106"/>
        <v>-109.43860049555039</v>
      </c>
      <c r="G1754" s="1">
        <f t="shared" si="104"/>
        <v>2.9608724400380405E-48</v>
      </c>
      <c r="H1754" s="1">
        <f>G1754/$G$21</f>
        <v>2.0762661060997468E-49</v>
      </c>
      <c r="I1754">
        <f>IF($E$11&lt;=D1754, IF(D1754&lt;=$A$15,D1754-$E$11,$F$11),0)</f>
        <v>300</v>
      </c>
      <c r="J1754">
        <f>IF(D1754&lt;=$A$15,0,D1754-$A$15)</f>
        <v>1422</v>
      </c>
      <c r="K1754" s="5">
        <f>IF(D1754&lt;$E$11,H1754,0)</f>
        <v>0</v>
      </c>
      <c r="L1754">
        <f>IF(D1754&lt;$A$15,$C$11,$C$11*(1-$G$11))</f>
        <v>200</v>
      </c>
      <c r="M1754">
        <f>IF(D1754&lt;$A$15,0,1)</f>
        <v>1</v>
      </c>
    </row>
    <row r="1755" spans="4:13" x14ac:dyDescent="0.2">
      <c r="D1755">
        <f t="shared" si="105"/>
        <v>1732</v>
      </c>
      <c r="E1755" s="1">
        <f t="shared" si="103"/>
        <v>156.81050661730836</v>
      </c>
      <c r="F1755" s="1">
        <f t="shared" si="106"/>
        <v>-109.5155615366865</v>
      </c>
      <c r="G1755" s="1">
        <f t="shared" si="104"/>
        <v>2.7415485555908133E-48</v>
      </c>
      <c r="H1755" s="1">
        <f>G1755/$G$21</f>
        <v>1.9224686167590492E-49</v>
      </c>
      <c r="I1755">
        <f>IF($E$11&lt;=D1755, IF(D1755&lt;=$A$15,D1755-$E$11,$F$11),0)</f>
        <v>300</v>
      </c>
      <c r="J1755">
        <f>IF(D1755&lt;=$A$15,0,D1755-$A$15)</f>
        <v>1423</v>
      </c>
      <c r="K1755" s="5">
        <f>IF(D1755&lt;$E$11,H1755,0)</f>
        <v>0</v>
      </c>
      <c r="L1755">
        <f>IF(D1755&lt;$A$15,$C$11,$C$11*(1-$G$11))</f>
        <v>200</v>
      </c>
      <c r="M1755">
        <f>IF(D1755&lt;$A$15,0,1)</f>
        <v>1</v>
      </c>
    </row>
    <row r="1756" spans="4:13" x14ac:dyDescent="0.2">
      <c r="D1756">
        <f t="shared" si="105"/>
        <v>1733</v>
      </c>
      <c r="E1756" s="1">
        <f t="shared" si="103"/>
        <v>156.73354557617225</v>
      </c>
      <c r="F1756" s="1">
        <f t="shared" si="106"/>
        <v>-109.59252257782262</v>
      </c>
      <c r="G1756" s="1">
        <f t="shared" si="104"/>
        <v>2.5384708848063405E-48</v>
      </c>
      <c r="H1756" s="1">
        <f>G1756/$G$21</f>
        <v>1.780063534036179E-49</v>
      </c>
      <c r="I1756">
        <f>IF($E$11&lt;=D1756, IF(D1756&lt;=$A$15,D1756-$E$11,$F$11),0)</f>
        <v>300</v>
      </c>
      <c r="J1756">
        <f>IF(D1756&lt;=$A$15,0,D1756-$A$15)</f>
        <v>1424</v>
      </c>
      <c r="K1756" s="5">
        <f>IF(D1756&lt;$E$11,H1756,0)</f>
        <v>0</v>
      </c>
      <c r="L1756">
        <f>IF(D1756&lt;$A$15,$C$11,$C$11*(1-$G$11))</f>
        <v>200</v>
      </c>
      <c r="M1756">
        <f>IF(D1756&lt;$A$15,0,1)</f>
        <v>1</v>
      </c>
    </row>
    <row r="1757" spans="4:13" x14ac:dyDescent="0.2">
      <c r="D1757">
        <f t="shared" si="105"/>
        <v>1734</v>
      </c>
      <c r="E1757" s="1">
        <f t="shared" si="103"/>
        <v>156.65658453503613</v>
      </c>
      <c r="F1757" s="1">
        <f t="shared" si="106"/>
        <v>-109.66948361895874</v>
      </c>
      <c r="G1757" s="1">
        <f t="shared" si="104"/>
        <v>2.3504360044503449E-48</v>
      </c>
      <c r="H1757" s="1">
        <f>G1757/$G$21</f>
        <v>1.6482069759594458E-49</v>
      </c>
      <c r="I1757">
        <f>IF($E$11&lt;=D1757, IF(D1757&lt;=$A$15,D1757-$E$11,$F$11),0)</f>
        <v>300</v>
      </c>
      <c r="J1757">
        <f>IF(D1757&lt;=$A$15,0,D1757-$A$15)</f>
        <v>1425</v>
      </c>
      <c r="K1757" s="5">
        <f>IF(D1757&lt;$E$11,H1757,0)</f>
        <v>0</v>
      </c>
      <c r="L1757">
        <f>IF(D1757&lt;$A$15,$C$11,$C$11*(1-$G$11))</f>
        <v>200</v>
      </c>
      <c r="M1757">
        <f>IF(D1757&lt;$A$15,0,1)</f>
        <v>1</v>
      </c>
    </row>
    <row r="1758" spans="4:13" x14ac:dyDescent="0.2">
      <c r="D1758">
        <f t="shared" si="105"/>
        <v>1735</v>
      </c>
      <c r="E1758" s="1">
        <f t="shared" si="103"/>
        <v>156.57962349390002</v>
      </c>
      <c r="F1758" s="1">
        <f t="shared" si="106"/>
        <v>-109.74644466009485</v>
      </c>
      <c r="G1758" s="1">
        <f t="shared" si="104"/>
        <v>2.1763296337503469E-48</v>
      </c>
      <c r="H1758" s="1">
        <f>G1758/$G$21</f>
        <v>1.5261175703328396E-49</v>
      </c>
      <c r="I1758">
        <f>IF($E$11&lt;=D1758, IF(D1758&lt;=$A$15,D1758-$E$11,$F$11),0)</f>
        <v>300</v>
      </c>
      <c r="J1758">
        <f>IF(D1758&lt;=$A$15,0,D1758-$A$15)</f>
        <v>1426</v>
      </c>
      <c r="K1758" s="5">
        <f>IF(D1758&lt;$E$11,H1758,0)</f>
        <v>0</v>
      </c>
      <c r="L1758">
        <f>IF(D1758&lt;$A$15,$C$11,$C$11*(1-$G$11))</f>
        <v>200</v>
      </c>
      <c r="M1758">
        <f>IF(D1758&lt;$A$15,0,1)</f>
        <v>1</v>
      </c>
    </row>
    <row r="1759" spans="4:13" x14ac:dyDescent="0.2">
      <c r="D1759">
        <f t="shared" si="105"/>
        <v>1736</v>
      </c>
      <c r="E1759" s="1">
        <f t="shared" si="103"/>
        <v>156.5026624527639</v>
      </c>
      <c r="F1759" s="1">
        <f t="shared" si="106"/>
        <v>-109.82340570123097</v>
      </c>
      <c r="G1759" s="1">
        <f t="shared" si="104"/>
        <v>2.0151200312503466E-48</v>
      </c>
      <c r="H1759" s="1">
        <f>G1759/$G$21</f>
        <v>1.4130718243822767E-49</v>
      </c>
      <c r="I1759">
        <f>IF($E$11&lt;=D1759, IF(D1759&lt;=$A$15,D1759-$E$11,$F$11),0)</f>
        <v>300</v>
      </c>
      <c r="J1759">
        <f>IF(D1759&lt;=$A$15,0,D1759-$A$15)</f>
        <v>1427</v>
      </c>
      <c r="K1759" s="5">
        <f>IF(D1759&lt;$E$11,H1759,0)</f>
        <v>0</v>
      </c>
      <c r="L1759">
        <f>IF(D1759&lt;$A$15,$C$11,$C$11*(1-$G$11))</f>
        <v>200</v>
      </c>
      <c r="M1759">
        <f>IF(D1759&lt;$A$15,0,1)</f>
        <v>1</v>
      </c>
    </row>
    <row r="1760" spans="4:13" x14ac:dyDescent="0.2">
      <c r="D1760">
        <f t="shared" si="105"/>
        <v>1737</v>
      </c>
      <c r="E1760" s="1">
        <f t="shared" si="103"/>
        <v>156.42570141162778</v>
      </c>
      <c r="F1760" s="1">
        <f t="shared" si="106"/>
        <v>-109.90036674236708</v>
      </c>
      <c r="G1760" s="1">
        <f t="shared" si="104"/>
        <v>1.8658518807873816E-48</v>
      </c>
      <c r="H1760" s="1">
        <f>G1760/$G$21</f>
        <v>1.3083998373910134E-49</v>
      </c>
      <c r="I1760">
        <f>IF($E$11&lt;=D1760, IF(D1760&lt;=$A$15,D1760-$E$11,$F$11),0)</f>
        <v>300</v>
      </c>
      <c r="J1760">
        <f>IF(D1760&lt;=$A$15,0,D1760-$A$15)</f>
        <v>1428</v>
      </c>
      <c r="K1760" s="5">
        <f>IF(D1760&lt;$E$11,H1760,0)</f>
        <v>0</v>
      </c>
      <c r="L1760">
        <f>IF(D1760&lt;$A$15,$C$11,$C$11*(1-$G$11))</f>
        <v>200</v>
      </c>
      <c r="M1760">
        <f>IF(D1760&lt;$A$15,0,1)</f>
        <v>1</v>
      </c>
    </row>
    <row r="1761" spans="4:13" x14ac:dyDescent="0.2">
      <c r="D1761">
        <f t="shared" si="105"/>
        <v>1738</v>
      </c>
      <c r="E1761" s="1">
        <f t="shared" si="103"/>
        <v>156.34874037049167</v>
      </c>
      <c r="F1761" s="1">
        <f t="shared" si="106"/>
        <v>-109.9773277835032</v>
      </c>
      <c r="G1761" s="1">
        <f t="shared" si="104"/>
        <v>1.7276406303587085E-48</v>
      </c>
      <c r="H1761" s="1">
        <f>G1761/$G$21</f>
        <v>1.2114813309176203E-49</v>
      </c>
      <c r="I1761">
        <f>IF($E$11&lt;=D1761, IF(D1761&lt;=$A$15,D1761-$E$11,$F$11),0)</f>
        <v>300</v>
      </c>
      <c r="J1761">
        <f>IF(D1761&lt;=$A$15,0,D1761-$A$15)</f>
        <v>1429</v>
      </c>
      <c r="K1761" s="5">
        <f>IF(D1761&lt;$E$11,H1761,0)</f>
        <v>0</v>
      </c>
      <c r="L1761">
        <f>IF(D1761&lt;$A$15,$C$11,$C$11*(1-$G$11))</f>
        <v>200</v>
      </c>
      <c r="M1761">
        <f>IF(D1761&lt;$A$15,0,1)</f>
        <v>1</v>
      </c>
    </row>
    <row r="1762" spans="4:13" x14ac:dyDescent="0.2">
      <c r="D1762">
        <f t="shared" si="105"/>
        <v>1739</v>
      </c>
      <c r="E1762" s="1">
        <f t="shared" si="103"/>
        <v>156.27177932935555</v>
      </c>
      <c r="F1762" s="1">
        <f t="shared" si="106"/>
        <v>-110.05428882463931</v>
      </c>
      <c r="G1762" s="1">
        <f t="shared" si="104"/>
        <v>1.5996672503321577E-48</v>
      </c>
      <c r="H1762" s="1">
        <f>G1762/$G$21</f>
        <v>1.1217419730718849E-49</v>
      </c>
      <c r="I1762">
        <f>IF($E$11&lt;=D1762, IF(D1762&lt;=$A$15,D1762-$E$11,$F$11),0)</f>
        <v>300</v>
      </c>
      <c r="J1762">
        <f>IF(D1762&lt;=$A$15,0,D1762-$A$15)</f>
        <v>1430</v>
      </c>
      <c r="K1762" s="5">
        <f>IF(D1762&lt;$E$11,H1762,0)</f>
        <v>0</v>
      </c>
      <c r="L1762">
        <f>IF(D1762&lt;$A$15,$C$11,$C$11*(1-$G$11))</f>
        <v>200</v>
      </c>
      <c r="M1762">
        <f>IF(D1762&lt;$A$15,0,1)</f>
        <v>1</v>
      </c>
    </row>
    <row r="1763" spans="4:13" x14ac:dyDescent="0.2">
      <c r="D1763">
        <f t="shared" si="105"/>
        <v>1740</v>
      </c>
      <c r="E1763" s="1">
        <f t="shared" si="103"/>
        <v>156.19481828821944</v>
      </c>
      <c r="F1763" s="1">
        <f t="shared" si="106"/>
        <v>-110.13124986577543</v>
      </c>
      <c r="G1763" s="1">
        <f t="shared" si="104"/>
        <v>1.4811733799372019E-48</v>
      </c>
      <c r="H1763" s="1">
        <f>G1763/$G$21</f>
        <v>1.0386499750665733E-49</v>
      </c>
      <c r="I1763">
        <f>IF($E$11&lt;=D1763, IF(D1763&lt;=$A$15,D1763-$E$11,$F$11),0)</f>
        <v>300</v>
      </c>
      <c r="J1763">
        <f>IF(D1763&lt;=$A$15,0,D1763-$A$15)</f>
        <v>1431</v>
      </c>
      <c r="K1763" s="5">
        <f>IF(D1763&lt;$E$11,H1763,0)</f>
        <v>0</v>
      </c>
      <c r="L1763">
        <f>IF(D1763&lt;$A$15,$C$11,$C$11*(1-$G$11))</f>
        <v>200</v>
      </c>
      <c r="M1763">
        <f>IF(D1763&lt;$A$15,0,1)</f>
        <v>1</v>
      </c>
    </row>
    <row r="1764" spans="4:13" x14ac:dyDescent="0.2">
      <c r="D1764">
        <f t="shared" si="105"/>
        <v>1741</v>
      </c>
      <c r="E1764" s="1">
        <f t="shared" si="103"/>
        <v>156.11785724708332</v>
      </c>
      <c r="F1764" s="1">
        <f t="shared" si="106"/>
        <v>-110.20821090691155</v>
      </c>
      <c r="G1764" s="1">
        <f t="shared" si="104"/>
        <v>1.3714568332752042E-48</v>
      </c>
      <c r="H1764" s="1">
        <f>G1764/$G$21</f>
        <v>9.6171293987646895E-50</v>
      </c>
      <c r="I1764">
        <f>IF($E$11&lt;=D1764, IF(D1764&lt;=$A$15,D1764-$E$11,$F$11),0)</f>
        <v>300</v>
      </c>
      <c r="J1764">
        <f>IF(D1764&lt;=$A$15,0,D1764-$A$15)</f>
        <v>1432</v>
      </c>
      <c r="K1764" s="5">
        <f>IF(D1764&lt;$E$11,H1764,0)</f>
        <v>0</v>
      </c>
      <c r="L1764">
        <f>IF(D1764&lt;$A$15,$C$11,$C$11*(1-$G$11))</f>
        <v>200</v>
      </c>
      <c r="M1764">
        <f>IF(D1764&lt;$A$15,0,1)</f>
        <v>1</v>
      </c>
    </row>
    <row r="1765" spans="4:13" x14ac:dyDescent="0.2">
      <c r="D1765">
        <f t="shared" si="105"/>
        <v>1742</v>
      </c>
      <c r="E1765" s="1">
        <f t="shared" si="103"/>
        <v>156.04089620594721</v>
      </c>
      <c r="F1765" s="1">
        <f t="shared" si="106"/>
        <v>-110.28517194804766</v>
      </c>
      <c r="G1765" s="1">
        <f t="shared" si="104"/>
        <v>1.2698674382177977E-48</v>
      </c>
      <c r="H1765" s="1">
        <f>G1765/$G$21</f>
        <v>8.9047494433007498E-50</v>
      </c>
      <c r="I1765">
        <f>IF($E$11&lt;=D1765, IF(D1765&lt;=$A$15,D1765-$E$11,$F$11),0)</f>
        <v>300</v>
      </c>
      <c r="J1765">
        <f>IF(D1765&lt;=$A$15,0,D1765-$A$15)</f>
        <v>1433</v>
      </c>
      <c r="K1765" s="5">
        <f>IF(D1765&lt;$E$11,H1765,0)</f>
        <v>0</v>
      </c>
      <c r="L1765">
        <f>IF(D1765&lt;$A$15,$C$11,$C$11*(1-$G$11))</f>
        <v>200</v>
      </c>
      <c r="M1765">
        <f>IF(D1765&lt;$A$15,0,1)</f>
        <v>1</v>
      </c>
    </row>
    <row r="1766" spans="4:13" x14ac:dyDescent="0.2">
      <c r="D1766">
        <f t="shared" si="105"/>
        <v>1743</v>
      </c>
      <c r="E1766" s="1">
        <f t="shared" si="103"/>
        <v>155.96393516481109</v>
      </c>
      <c r="F1766" s="1">
        <f t="shared" si="106"/>
        <v>-110.36213298918378</v>
      </c>
      <c r="G1766" s="1">
        <f t="shared" si="104"/>
        <v>1.1758031835350128E-48</v>
      </c>
      <c r="H1766" s="1">
        <f>G1766/$G$21</f>
        <v>8.2451383734267255E-50</v>
      </c>
      <c r="I1766">
        <f>IF($E$11&lt;=D1766, IF(D1766&lt;=$A$15,D1766-$E$11,$F$11),0)</f>
        <v>300</v>
      </c>
      <c r="J1766">
        <f>IF(D1766&lt;=$A$15,0,D1766-$A$15)</f>
        <v>1434</v>
      </c>
      <c r="K1766" s="5">
        <f>IF(D1766&lt;$E$11,H1766,0)</f>
        <v>0</v>
      </c>
      <c r="L1766">
        <f>IF(D1766&lt;$A$15,$C$11,$C$11*(1-$G$11))</f>
        <v>200</v>
      </c>
      <c r="M1766">
        <f>IF(D1766&lt;$A$15,0,1)</f>
        <v>1</v>
      </c>
    </row>
    <row r="1767" spans="4:13" x14ac:dyDescent="0.2">
      <c r="D1767">
        <f t="shared" si="105"/>
        <v>1744</v>
      </c>
      <c r="E1767" s="1">
        <f t="shared" si="103"/>
        <v>155.88697412367497</v>
      </c>
      <c r="F1767" s="1">
        <f t="shared" si="106"/>
        <v>-110.43909403031989</v>
      </c>
      <c r="G1767" s="1">
        <f t="shared" si="104"/>
        <v>1.0887066514213218E-48</v>
      </c>
      <c r="H1767" s="1">
        <f>G1767/$G$21</f>
        <v>7.6343873828026194E-50</v>
      </c>
      <c r="I1767">
        <f>IF($E$11&lt;=D1767, IF(D1767&lt;=$A$15,D1767-$E$11,$F$11),0)</f>
        <v>300</v>
      </c>
      <c r="J1767">
        <f>IF(D1767&lt;=$A$15,0,D1767-$A$15)</f>
        <v>1435</v>
      </c>
      <c r="K1767" s="5">
        <f>IF(D1767&lt;$E$11,H1767,0)</f>
        <v>0</v>
      </c>
      <c r="L1767">
        <f>IF(D1767&lt;$A$15,$C$11,$C$11*(1-$G$11))</f>
        <v>200</v>
      </c>
      <c r="M1767">
        <f>IF(D1767&lt;$A$15,0,1)</f>
        <v>1</v>
      </c>
    </row>
    <row r="1768" spans="4:13" x14ac:dyDescent="0.2">
      <c r="D1768">
        <f t="shared" si="105"/>
        <v>1745</v>
      </c>
      <c r="E1768" s="1">
        <f t="shared" si="103"/>
        <v>155.81001308253886</v>
      </c>
      <c r="F1768" s="1">
        <f t="shared" si="106"/>
        <v>-110.51605507145601</v>
      </c>
      <c r="G1768" s="1">
        <f t="shared" si="104"/>
        <v>1.0080617142790144E-48</v>
      </c>
      <c r="H1768" s="1">
        <f>G1768/$G$21</f>
        <v>7.0688772062988112E-50</v>
      </c>
      <c r="I1768">
        <f>IF($E$11&lt;=D1768, IF(D1768&lt;=$A$15,D1768-$E$11,$F$11),0)</f>
        <v>300</v>
      </c>
      <c r="J1768">
        <f>IF(D1768&lt;=$A$15,0,D1768-$A$15)</f>
        <v>1436</v>
      </c>
      <c r="K1768" s="5">
        <f>IF(D1768&lt;$E$11,H1768,0)</f>
        <v>0</v>
      </c>
      <c r="L1768">
        <f>IF(D1768&lt;$A$15,$C$11,$C$11*(1-$G$11))</f>
        <v>200</v>
      </c>
      <c r="M1768">
        <f>IF(D1768&lt;$A$15,0,1)</f>
        <v>1</v>
      </c>
    </row>
    <row r="1769" spans="4:13" x14ac:dyDescent="0.2">
      <c r="D1769">
        <f t="shared" si="105"/>
        <v>1746</v>
      </c>
      <c r="E1769" s="1">
        <f t="shared" si="103"/>
        <v>155.73305204140274</v>
      </c>
      <c r="F1769" s="1">
        <f t="shared" si="106"/>
        <v>-110.59301611259212</v>
      </c>
      <c r="G1769" s="1">
        <f t="shared" si="104"/>
        <v>9.3339047618428448E-49</v>
      </c>
      <c r="H1769" s="1">
        <f>G1769/$G$21</f>
        <v>6.5452566724989822E-50</v>
      </c>
      <c r="I1769">
        <f>IF($E$11&lt;=D1769, IF(D1769&lt;=$A$15,D1769-$E$11,$F$11),0)</f>
        <v>300</v>
      </c>
      <c r="J1769">
        <f>IF(D1769&lt;=$A$15,0,D1769-$A$15)</f>
        <v>1437</v>
      </c>
      <c r="K1769" s="5">
        <f>IF(D1769&lt;$E$11,H1769,0)</f>
        <v>0</v>
      </c>
      <c r="L1769">
        <f>IF(D1769&lt;$A$15,$C$11,$C$11*(1-$G$11))</f>
        <v>200</v>
      </c>
      <c r="M1769">
        <f>IF(D1769&lt;$A$15,0,1)</f>
        <v>1</v>
      </c>
    </row>
    <row r="1770" spans="4:13" x14ac:dyDescent="0.2">
      <c r="D1770">
        <f t="shared" si="105"/>
        <v>1747</v>
      </c>
      <c r="E1770" s="1">
        <f t="shared" si="103"/>
        <v>155.65609100026663</v>
      </c>
      <c r="F1770" s="1">
        <f t="shared" si="106"/>
        <v>-110.66997715372824</v>
      </c>
      <c r="G1770" s="1">
        <f t="shared" si="104"/>
        <v>8.6425044091138548E-49</v>
      </c>
      <c r="H1770" s="1">
        <f>G1770/$G$21</f>
        <v>6.0604228449065414E-50</v>
      </c>
      <c r="I1770">
        <f>IF($E$11&lt;=D1770, IF(D1770&lt;=$A$15,D1770-$E$11,$F$11),0)</f>
        <v>300</v>
      </c>
      <c r="J1770">
        <f>IF(D1770&lt;=$A$15,0,D1770-$A$15)</f>
        <v>1438</v>
      </c>
      <c r="K1770" s="5">
        <f>IF(D1770&lt;$E$11,H1770,0)</f>
        <v>0</v>
      </c>
      <c r="L1770">
        <f>IF(D1770&lt;$A$15,$C$11,$C$11*(1-$G$11))</f>
        <v>200</v>
      </c>
      <c r="M1770">
        <f>IF(D1770&lt;$A$15,0,1)</f>
        <v>1</v>
      </c>
    </row>
    <row r="1771" spans="4:13" x14ac:dyDescent="0.2">
      <c r="D1771">
        <f t="shared" si="105"/>
        <v>1748</v>
      </c>
      <c r="E1771" s="1">
        <f t="shared" si="103"/>
        <v>155.57912995913051</v>
      </c>
      <c r="F1771" s="1">
        <f t="shared" si="106"/>
        <v>-110.74693819486436</v>
      </c>
      <c r="G1771" s="1">
        <f t="shared" si="104"/>
        <v>8.0023188973277449E-49</v>
      </c>
      <c r="H1771" s="1">
        <f>G1771/$G$21</f>
        <v>5.6115026341727955E-50</v>
      </c>
      <c r="I1771">
        <f>IF($E$11&lt;=D1771, IF(D1771&lt;=$A$15,D1771-$E$11,$F$11),0)</f>
        <v>300</v>
      </c>
      <c r="J1771">
        <f>IF(D1771&lt;=$A$15,0,D1771-$A$15)</f>
        <v>1439</v>
      </c>
      <c r="K1771" s="5">
        <f>IF(D1771&lt;$E$11,H1771,0)</f>
        <v>0</v>
      </c>
      <c r="L1771">
        <f>IF(D1771&lt;$A$15,$C$11,$C$11*(1-$G$11))</f>
        <v>200</v>
      </c>
      <c r="M1771">
        <f>IF(D1771&lt;$A$15,0,1)</f>
        <v>1</v>
      </c>
    </row>
    <row r="1772" spans="4:13" x14ac:dyDescent="0.2">
      <c r="D1772">
        <f t="shared" si="105"/>
        <v>1749</v>
      </c>
      <c r="E1772" s="1">
        <f t="shared" si="103"/>
        <v>155.5021689179944</v>
      </c>
      <c r="F1772" s="1">
        <f t="shared" si="106"/>
        <v>-110.82389923600047</v>
      </c>
      <c r="G1772" s="1">
        <f t="shared" si="104"/>
        <v>7.4095545345628197E-49</v>
      </c>
      <c r="H1772" s="1">
        <f>G1772/$G$21</f>
        <v>5.195835772382283E-50</v>
      </c>
      <c r="I1772">
        <f>IF($E$11&lt;=D1772, IF(D1772&lt;=$A$15,D1772-$E$11,$F$11),0)</f>
        <v>300</v>
      </c>
      <c r="J1772">
        <f>IF(D1772&lt;=$A$15,0,D1772-$A$15)</f>
        <v>1440</v>
      </c>
      <c r="K1772" s="5">
        <f>IF(D1772&lt;$E$11,H1772,0)</f>
        <v>0</v>
      </c>
      <c r="L1772">
        <f>IF(D1772&lt;$A$15,$C$11,$C$11*(1-$G$11))</f>
        <v>200</v>
      </c>
      <c r="M1772">
        <f>IF(D1772&lt;$A$15,0,1)</f>
        <v>1</v>
      </c>
    </row>
    <row r="1773" spans="4:13" x14ac:dyDescent="0.2">
      <c r="D1773">
        <f t="shared" si="105"/>
        <v>1750</v>
      </c>
      <c r="E1773" s="1">
        <f t="shared" si="103"/>
        <v>155.42520787685828</v>
      </c>
      <c r="F1773" s="1">
        <f t="shared" si="106"/>
        <v>-110.90086027713659</v>
      </c>
      <c r="G1773" s="1">
        <f t="shared" si="104"/>
        <v>6.8606986431138092E-49</v>
      </c>
      <c r="H1773" s="1">
        <f>G1773/$G$21</f>
        <v>4.8109590485021749E-50</v>
      </c>
      <c r="I1773">
        <f>IF($E$11&lt;=D1773, IF(D1773&lt;=$A$15,D1773-$E$11,$F$11),0)</f>
        <v>300</v>
      </c>
      <c r="J1773">
        <f>IF(D1773&lt;=$A$15,0,D1773-$A$15)</f>
        <v>1441</v>
      </c>
      <c r="K1773" s="5">
        <f>IF(D1773&lt;$E$11,H1773,0)</f>
        <v>0</v>
      </c>
      <c r="L1773">
        <f>IF(D1773&lt;$A$15,$C$11,$C$11*(1-$G$11))</f>
        <v>200</v>
      </c>
      <c r="M1773">
        <f>IF(D1773&lt;$A$15,0,1)</f>
        <v>1</v>
      </c>
    </row>
    <row r="1774" spans="4:13" x14ac:dyDescent="0.2">
      <c r="D1774">
        <f t="shared" si="105"/>
        <v>1751</v>
      </c>
      <c r="E1774" s="1">
        <f t="shared" si="103"/>
        <v>155.34824683572216</v>
      </c>
      <c r="F1774" s="1">
        <f t="shared" si="106"/>
        <v>-110.9778213182727</v>
      </c>
      <c r="G1774" s="1">
        <f t="shared" si="104"/>
        <v>6.3524987436239771E-49</v>
      </c>
      <c r="H1774" s="1">
        <f>G1774/$G$21</f>
        <v>4.4545917115761435E-50</v>
      </c>
      <c r="I1774">
        <f>IF($E$11&lt;=D1774, IF(D1774&lt;=$A$15,D1774-$E$11,$F$11),0)</f>
        <v>300</v>
      </c>
      <c r="J1774">
        <f>IF(D1774&lt;=$A$15,0,D1774-$A$15)</f>
        <v>1442</v>
      </c>
      <c r="K1774" s="5">
        <f>IF(D1774&lt;$E$11,H1774,0)</f>
        <v>0</v>
      </c>
      <c r="L1774">
        <f>IF(D1774&lt;$A$15,$C$11,$C$11*(1-$G$11))</f>
        <v>200</v>
      </c>
      <c r="M1774">
        <f>IF(D1774&lt;$A$15,0,1)</f>
        <v>1</v>
      </c>
    </row>
    <row r="1775" spans="4:13" x14ac:dyDescent="0.2">
      <c r="D1775">
        <f t="shared" si="105"/>
        <v>1752</v>
      </c>
      <c r="E1775" s="1">
        <f t="shared" si="103"/>
        <v>155.27128579458605</v>
      </c>
      <c r="F1775" s="1">
        <f t="shared" si="106"/>
        <v>-111.05478235940882</v>
      </c>
      <c r="G1775" s="1">
        <f t="shared" si="104"/>
        <v>5.8819432811333871E-49</v>
      </c>
      <c r="H1775" s="1">
        <f>G1775/$G$21</f>
        <v>4.1246219551631485E-50</v>
      </c>
      <c r="I1775">
        <f>IF($E$11&lt;=D1775, IF(D1775&lt;=$A$15,D1775-$E$11,$F$11),0)</f>
        <v>300</v>
      </c>
      <c r="J1775">
        <f>IF(D1775&lt;=$A$15,0,D1775-$A$15)</f>
        <v>1443</v>
      </c>
      <c r="K1775" s="5">
        <f>IF(D1775&lt;$E$11,H1775,0)</f>
        <v>0</v>
      </c>
      <c r="L1775">
        <f>IF(D1775&lt;$A$15,$C$11,$C$11*(1-$G$11))</f>
        <v>200</v>
      </c>
      <c r="M1775">
        <f>IF(D1775&lt;$A$15,0,1)</f>
        <v>1</v>
      </c>
    </row>
    <row r="1776" spans="4:13" x14ac:dyDescent="0.2">
      <c r="D1776">
        <f t="shared" si="105"/>
        <v>1753</v>
      </c>
      <c r="E1776" s="1">
        <f t="shared" si="103"/>
        <v>155.19432475344993</v>
      </c>
      <c r="F1776" s="1">
        <f t="shared" si="106"/>
        <v>-111.13174340054493</v>
      </c>
      <c r="G1776" s="1">
        <f t="shared" si="104"/>
        <v>5.4462437788272788E-49</v>
      </c>
      <c r="H1776" s="1">
        <f>G1776/$G$21</f>
        <v>3.8190944029288893E-50</v>
      </c>
      <c r="I1776">
        <f>IF($E$11&lt;=D1776, IF(D1776&lt;=$A$15,D1776-$E$11,$F$11),0)</f>
        <v>300</v>
      </c>
      <c r="J1776">
        <f>IF(D1776&lt;=$A$15,0,D1776-$A$15)</f>
        <v>1444</v>
      </c>
      <c r="K1776" s="5">
        <f>IF(D1776&lt;$E$11,H1776,0)</f>
        <v>0</v>
      </c>
      <c r="L1776">
        <f>IF(D1776&lt;$A$15,$C$11,$C$11*(1-$G$11))</f>
        <v>200</v>
      </c>
      <c r="M1776">
        <f>IF(D1776&lt;$A$15,0,1)</f>
        <v>1</v>
      </c>
    </row>
    <row r="1777" spans="4:13" x14ac:dyDescent="0.2">
      <c r="D1777">
        <f t="shared" si="105"/>
        <v>1754</v>
      </c>
      <c r="E1777" s="1">
        <f t="shared" si="103"/>
        <v>155.11736371231382</v>
      </c>
      <c r="F1777" s="1">
        <f t="shared" si="106"/>
        <v>-111.20870444168105</v>
      </c>
      <c r="G1777" s="1">
        <f t="shared" si="104"/>
        <v>5.0428183137290258E-49</v>
      </c>
      <c r="H1777" s="1">
        <f>G1777/$G$21</f>
        <v>3.5361985212304978E-50</v>
      </c>
      <c r="I1777">
        <f>IF($E$11&lt;=D1777, IF(D1777&lt;=$A$15,D1777-$E$11,$F$11),0)</f>
        <v>300</v>
      </c>
      <c r="J1777">
        <f>IF(D1777&lt;=$A$15,0,D1777-$A$15)</f>
        <v>1445</v>
      </c>
      <c r="K1777" s="5">
        <f>IF(D1777&lt;$E$11,H1777,0)</f>
        <v>0</v>
      </c>
      <c r="L1777">
        <f>IF(D1777&lt;$A$15,$C$11,$C$11*(1-$G$11))</f>
        <v>200</v>
      </c>
      <c r="M1777">
        <f>IF(D1777&lt;$A$15,0,1)</f>
        <v>1</v>
      </c>
    </row>
    <row r="1778" spans="4:13" x14ac:dyDescent="0.2">
      <c r="D1778">
        <f t="shared" si="105"/>
        <v>1755</v>
      </c>
      <c r="E1778" s="1">
        <f t="shared" si="103"/>
        <v>155.0404026711777</v>
      </c>
      <c r="F1778" s="1">
        <f t="shared" si="106"/>
        <v>-111.28566548281717</v>
      </c>
      <c r="G1778" s="1">
        <f t="shared" si="104"/>
        <v>4.6692762164158232E-49</v>
      </c>
      <c r="H1778" s="1">
        <f>G1778/$G$21</f>
        <v>3.2742578900282799E-50</v>
      </c>
      <c r="I1778">
        <f>IF($E$11&lt;=D1778, IF(D1778&lt;=$A$15,D1778-$E$11,$F$11),0)</f>
        <v>300</v>
      </c>
      <c r="J1778">
        <f>IF(D1778&lt;=$A$15,0,D1778-$A$15)</f>
        <v>1446</v>
      </c>
      <c r="K1778" s="5">
        <f>IF(D1778&lt;$E$11,H1778,0)</f>
        <v>0</v>
      </c>
      <c r="L1778">
        <f>IF(D1778&lt;$A$15,$C$11,$C$11*(1-$G$11))</f>
        <v>200</v>
      </c>
      <c r="M1778">
        <f>IF(D1778&lt;$A$15,0,1)</f>
        <v>1</v>
      </c>
    </row>
    <row r="1779" spans="4:13" x14ac:dyDescent="0.2">
      <c r="D1779">
        <f t="shared" si="105"/>
        <v>1756</v>
      </c>
      <c r="E1779" s="1">
        <f t="shared" si="103"/>
        <v>154.96344163004159</v>
      </c>
      <c r="F1779" s="1">
        <f t="shared" si="106"/>
        <v>-111.36262652395328</v>
      </c>
      <c r="G1779" s="1">
        <f t="shared" si="104"/>
        <v>4.3234039040887804E-49</v>
      </c>
      <c r="H1779" s="1">
        <f>G1779/$G$21</f>
        <v>3.0317202685447426E-50</v>
      </c>
      <c r="I1779">
        <f>IF($E$11&lt;=D1779, IF(D1779&lt;=$A$15,D1779-$E$11,$F$11),0)</f>
        <v>300</v>
      </c>
      <c r="J1779">
        <f>IF(D1779&lt;=$A$15,0,D1779-$A$15)</f>
        <v>1447</v>
      </c>
      <c r="K1779" s="5">
        <f>IF(D1779&lt;$E$11,H1779,0)</f>
        <v>0</v>
      </c>
      <c r="L1779">
        <f>IF(D1779&lt;$A$15,$C$11,$C$11*(1-$G$11))</f>
        <v>200</v>
      </c>
      <c r="M1779">
        <f>IF(D1779&lt;$A$15,0,1)</f>
        <v>1</v>
      </c>
    </row>
    <row r="1780" spans="4:13" x14ac:dyDescent="0.2">
      <c r="D1780">
        <f t="shared" si="105"/>
        <v>1757</v>
      </c>
      <c r="E1780" s="1">
        <f t="shared" si="103"/>
        <v>154.88648058890547</v>
      </c>
      <c r="F1780" s="1">
        <f t="shared" si="106"/>
        <v>-111.4395875650894</v>
      </c>
      <c r="G1780" s="1">
        <f t="shared" si="104"/>
        <v>4.0031517630452176E-49</v>
      </c>
      <c r="H1780" s="1">
        <f>G1780/$G$21</f>
        <v>2.8071483968007231E-50</v>
      </c>
      <c r="I1780">
        <f>IF($E$11&lt;=D1780, IF(D1780&lt;=$A$15,D1780-$E$11,$F$11),0)</f>
        <v>300</v>
      </c>
      <c r="J1780">
        <f>IF(D1780&lt;=$A$15,0,D1780-$A$15)</f>
        <v>1448</v>
      </c>
      <c r="K1780" s="5">
        <f>IF(D1780&lt;$E$11,H1780,0)</f>
        <v>0</v>
      </c>
      <c r="L1780">
        <f>IF(D1780&lt;$A$15,$C$11,$C$11*(1-$G$11))</f>
        <v>200</v>
      </c>
      <c r="M1780">
        <f>IF(D1780&lt;$A$15,0,1)</f>
        <v>1</v>
      </c>
    </row>
    <row r="1781" spans="4:13" x14ac:dyDescent="0.2">
      <c r="D1781">
        <f t="shared" si="105"/>
        <v>1758</v>
      </c>
      <c r="E1781" s="1">
        <f t="shared" si="103"/>
        <v>154.80951954776936</v>
      </c>
      <c r="F1781" s="1">
        <f t="shared" si="106"/>
        <v>-111.51654860622551</v>
      </c>
      <c r="G1781" s="1">
        <f t="shared" si="104"/>
        <v>3.7066220028196924E-49</v>
      </c>
      <c r="H1781" s="1">
        <f>G1781/$G$21</f>
        <v>2.5992114785192204E-50</v>
      </c>
      <c r="I1781">
        <f>IF($E$11&lt;=D1781, IF(D1781&lt;=$A$15,D1781-$E$11,$F$11),0)</f>
        <v>300</v>
      </c>
      <c r="J1781">
        <f>IF(D1781&lt;=$A$15,0,D1781-$A$15)</f>
        <v>1449</v>
      </c>
      <c r="K1781" s="5">
        <f>IF(D1781&lt;$E$11,H1781,0)</f>
        <v>0</v>
      </c>
      <c r="L1781">
        <f>IF(D1781&lt;$A$15,$C$11,$C$11*(1-$G$11))</f>
        <v>200</v>
      </c>
      <c r="M1781">
        <f>IF(D1781&lt;$A$15,0,1)</f>
        <v>1</v>
      </c>
    </row>
    <row r="1782" spans="4:13" x14ac:dyDescent="0.2">
      <c r="D1782">
        <f t="shared" si="105"/>
        <v>1759</v>
      </c>
      <c r="E1782" s="1">
        <f t="shared" si="103"/>
        <v>154.73255850663324</v>
      </c>
      <c r="F1782" s="1">
        <f t="shared" si="106"/>
        <v>-111.59350964736163</v>
      </c>
      <c r="G1782" s="1">
        <f t="shared" si="104"/>
        <v>3.4320574100182771E-49</v>
      </c>
      <c r="H1782" s="1">
        <f>G1782/$G$21</f>
        <v>2.4066772949252343E-50</v>
      </c>
      <c r="I1782">
        <f>IF($E$11&lt;=D1782, IF(D1782&lt;=$A$15,D1782-$E$11,$F$11),0)</f>
        <v>300</v>
      </c>
      <c r="J1782">
        <f>IF(D1782&lt;=$A$15,0,D1782-$A$15)</f>
        <v>1450</v>
      </c>
      <c r="K1782" s="5">
        <f>IF(D1782&lt;$E$11,H1782,0)</f>
        <v>0</v>
      </c>
      <c r="L1782">
        <f>IF(D1782&lt;$A$15,$C$11,$C$11*(1-$G$11))</f>
        <v>200</v>
      </c>
      <c r="M1782">
        <f>IF(D1782&lt;$A$15,0,1)</f>
        <v>1</v>
      </c>
    </row>
    <row r="1783" spans="4:13" x14ac:dyDescent="0.2">
      <c r="D1783">
        <f t="shared" si="105"/>
        <v>1760</v>
      </c>
      <c r="E1783" s="1">
        <f t="shared" si="103"/>
        <v>154.65559746549712</v>
      </c>
      <c r="F1783" s="1">
        <f t="shared" si="106"/>
        <v>-111.67047068849774</v>
      </c>
      <c r="G1783" s="1">
        <f t="shared" si="104"/>
        <v>3.1778309352021489E-49</v>
      </c>
      <c r="H1783" s="1">
        <f>G1783/$G$21</f>
        <v>2.2284049027085788E-50</v>
      </c>
      <c r="I1783">
        <f>IF($E$11&lt;=D1783, IF(D1783&lt;=$A$15,D1783-$E$11,$F$11),0)</f>
        <v>300</v>
      </c>
      <c r="J1783">
        <f>IF(D1783&lt;=$A$15,0,D1783-$A$15)</f>
        <v>1451</v>
      </c>
      <c r="K1783" s="5">
        <f>IF(D1783&lt;$E$11,H1783,0)</f>
        <v>0</v>
      </c>
      <c r="L1783">
        <f>IF(D1783&lt;$A$15,$C$11,$C$11*(1-$G$11))</f>
        <v>200</v>
      </c>
      <c r="M1783">
        <f>IF(D1783&lt;$A$15,0,1)</f>
        <v>1</v>
      </c>
    </row>
    <row r="1784" spans="4:13" x14ac:dyDescent="0.2">
      <c r="D1784">
        <f t="shared" si="105"/>
        <v>1761</v>
      </c>
      <c r="E1784" s="1">
        <f t="shared" si="103"/>
        <v>154.57863642436101</v>
      </c>
      <c r="F1784" s="1">
        <f t="shared" si="106"/>
        <v>-111.74743172963386</v>
      </c>
      <c r="G1784" s="1">
        <f t="shared" si="104"/>
        <v>2.9424360511131381E-49</v>
      </c>
      <c r="H1784" s="1">
        <f>G1784/$G$21</f>
        <v>2.0633378728783399E-50</v>
      </c>
      <c r="I1784">
        <f>IF($E$11&lt;=D1784, IF(D1784&lt;=$A$15,D1784-$E$11,$F$11),0)</f>
        <v>300</v>
      </c>
      <c r="J1784">
        <f>IF(D1784&lt;=$A$15,0,D1784-$A$15)</f>
        <v>1452</v>
      </c>
      <c r="K1784" s="5">
        <f>IF(D1784&lt;$E$11,H1784,0)</f>
        <v>0</v>
      </c>
      <c r="L1784">
        <f>IF(D1784&lt;$A$15,$C$11,$C$11*(1-$G$11))</f>
        <v>200</v>
      </c>
      <c r="M1784">
        <f>IF(D1784&lt;$A$15,0,1)</f>
        <v>1</v>
      </c>
    </row>
    <row r="1785" spans="4:13" x14ac:dyDescent="0.2">
      <c r="D1785">
        <f t="shared" si="105"/>
        <v>1762</v>
      </c>
      <c r="E1785" s="1">
        <f t="shared" si="103"/>
        <v>154.50167538322489</v>
      </c>
      <c r="F1785" s="1">
        <f t="shared" si="106"/>
        <v>-111.82439277076998</v>
      </c>
      <c r="G1785" s="1">
        <f t="shared" si="104"/>
        <v>2.7244778251047917E-49</v>
      </c>
      <c r="H1785" s="1">
        <f>G1785/$G$21</f>
        <v>1.9104980304429313E-50</v>
      </c>
      <c r="I1785">
        <f>IF($E$11&lt;=D1785, IF(D1785&lt;=$A$15,D1785-$E$11,$F$11),0)</f>
        <v>300</v>
      </c>
      <c r="J1785">
        <f>IF(D1785&lt;=$A$15,0,D1785-$A$15)</f>
        <v>1453</v>
      </c>
      <c r="K1785" s="5">
        <f>IF(D1785&lt;$E$11,H1785,0)</f>
        <v>0</v>
      </c>
      <c r="L1785">
        <f>IF(D1785&lt;$A$15,$C$11,$C$11*(1-$G$11))</f>
        <v>200</v>
      </c>
      <c r="M1785">
        <f>IF(D1785&lt;$A$15,0,1)</f>
        <v>1</v>
      </c>
    </row>
    <row r="1786" spans="4:13" x14ac:dyDescent="0.2">
      <c r="D1786">
        <f t="shared" si="105"/>
        <v>1763</v>
      </c>
      <c r="E1786" s="1">
        <f t="shared" si="103"/>
        <v>154.42471434208878</v>
      </c>
      <c r="F1786" s="1">
        <f t="shared" si="106"/>
        <v>-111.90135381190609</v>
      </c>
      <c r="G1786" s="1">
        <f t="shared" si="104"/>
        <v>2.5226646528748392E-49</v>
      </c>
      <c r="H1786" s="1">
        <f>G1786/$G$21</f>
        <v>1.7689796578175515E-50</v>
      </c>
      <c r="I1786">
        <f>IF($E$11&lt;=D1786, IF(D1786&lt;=$A$15,D1786-$E$11,$F$11),0)</f>
        <v>300</v>
      </c>
      <c r="J1786">
        <f>IF(D1786&lt;=$A$15,0,D1786-$A$15)</f>
        <v>1454</v>
      </c>
      <c r="K1786" s="5">
        <f>IF(D1786&lt;$E$11,H1786,0)</f>
        <v>0</v>
      </c>
      <c r="L1786">
        <f>IF(D1786&lt;$A$15,$C$11,$C$11*(1-$G$11))</f>
        <v>200</v>
      </c>
      <c r="M1786">
        <f>IF(D1786&lt;$A$15,0,1)</f>
        <v>1</v>
      </c>
    </row>
    <row r="1787" spans="4:13" x14ac:dyDescent="0.2">
      <c r="D1787">
        <f t="shared" si="105"/>
        <v>1764</v>
      </c>
      <c r="E1787" s="1">
        <f t="shared" si="103"/>
        <v>154.34775330095266</v>
      </c>
      <c r="F1787" s="1">
        <f t="shared" si="106"/>
        <v>-111.97831485304221</v>
      </c>
      <c r="G1787" s="1">
        <f t="shared" si="104"/>
        <v>2.3358006045137694E-49</v>
      </c>
      <c r="H1787" s="1">
        <f>G1787/$G$21</f>
        <v>1.6379441276088646E-50</v>
      </c>
      <c r="I1787">
        <f>IF($E$11&lt;=D1787, IF(D1787&lt;=$A$15,D1787-$E$11,$F$11),0)</f>
        <v>300</v>
      </c>
      <c r="J1787">
        <f>IF(D1787&lt;=$A$15,0,D1787-$A$15)</f>
        <v>1455</v>
      </c>
      <c r="K1787" s="5">
        <f>IF(D1787&lt;$E$11,H1787,0)</f>
        <v>0</v>
      </c>
      <c r="L1787">
        <f>IF(D1787&lt;$A$15,$C$11,$C$11*(1-$G$11))</f>
        <v>200</v>
      </c>
      <c r="M1787">
        <f>IF(D1787&lt;$A$15,0,1)</f>
        <v>1</v>
      </c>
    </row>
    <row r="1788" spans="4:13" x14ac:dyDescent="0.2">
      <c r="D1788">
        <f t="shared" si="105"/>
        <v>1765</v>
      </c>
      <c r="E1788" s="1">
        <f t="shared" si="103"/>
        <v>154.27079225981655</v>
      </c>
      <c r="F1788" s="1">
        <f t="shared" si="106"/>
        <v>-112.05527589417832</v>
      </c>
      <c r="G1788" s="1">
        <f t="shared" si="104"/>
        <v>2.1627783375127767E-49</v>
      </c>
      <c r="H1788" s="1">
        <f>G1788/$G$21</f>
        <v>1.5166149329711901E-50</v>
      </c>
      <c r="I1788">
        <f>IF($E$11&lt;=D1788, IF(D1788&lt;=$A$15,D1788-$E$11,$F$11),0)</f>
        <v>300</v>
      </c>
      <c r="J1788">
        <f>IF(D1788&lt;=$A$15,0,D1788-$A$15)</f>
        <v>1456</v>
      </c>
      <c r="K1788" s="5">
        <f>IF(D1788&lt;$E$11,H1788,0)</f>
        <v>0</v>
      </c>
      <c r="L1788">
        <f>IF(D1788&lt;$A$15,$C$11,$C$11*(1-$G$11))</f>
        <v>200</v>
      </c>
      <c r="M1788">
        <f>IF(D1788&lt;$A$15,0,1)</f>
        <v>1</v>
      </c>
    </row>
    <row r="1789" spans="4:13" x14ac:dyDescent="0.2">
      <c r="D1789">
        <f t="shared" si="105"/>
        <v>1766</v>
      </c>
      <c r="E1789" s="1">
        <f t="shared" si="103"/>
        <v>154.19383121868043</v>
      </c>
      <c r="F1789" s="1">
        <f t="shared" si="106"/>
        <v>-112.13223693531444</v>
      </c>
      <c r="G1789" s="1">
        <f t="shared" si="104"/>
        <v>2.0025725347340779E-49</v>
      </c>
      <c r="H1789" s="1">
        <f>G1789/$G$21</f>
        <v>1.404273086084453E-50</v>
      </c>
      <c r="I1789">
        <f>IF($E$11&lt;=D1789, IF(D1789&lt;=$A$15,D1789-$E$11,$F$11),0)</f>
        <v>300</v>
      </c>
      <c r="J1789">
        <f>IF(D1789&lt;=$A$15,0,D1789-$A$15)</f>
        <v>1457</v>
      </c>
      <c r="K1789" s="5">
        <f>IF(D1789&lt;$E$11,H1789,0)</f>
        <v>0</v>
      </c>
      <c r="L1789">
        <f>IF(D1789&lt;$A$15,$C$11,$C$11*(1-$G$11))</f>
        <v>200</v>
      </c>
      <c r="M1789">
        <f>IF(D1789&lt;$A$15,0,1)</f>
        <v>1</v>
      </c>
    </row>
    <row r="1790" spans="4:13" x14ac:dyDescent="0.2">
      <c r="D1790">
        <f t="shared" si="105"/>
        <v>1767</v>
      </c>
      <c r="E1790" s="1">
        <f t="shared" si="103"/>
        <v>154.11687017754431</v>
      </c>
      <c r="F1790" s="1">
        <f t="shared" si="106"/>
        <v>-112.20919797645055</v>
      </c>
      <c r="G1790" s="1">
        <f t="shared" si="104"/>
        <v>1.8542338284575031E-49</v>
      </c>
      <c r="H1790" s="1">
        <f>G1790/$G$21</f>
        <v>1.3002528574856211E-50</v>
      </c>
      <c r="I1790">
        <f>IF($E$11&lt;=D1790, IF(D1790&lt;=$A$15,D1790-$E$11,$F$11),0)</f>
        <v>300</v>
      </c>
      <c r="J1790">
        <f>IF(D1790&lt;=$A$15,0,D1790-$A$15)</f>
        <v>1458</v>
      </c>
      <c r="K1790" s="5">
        <f>IF(D1790&lt;$E$11,H1790,0)</f>
        <v>0</v>
      </c>
      <c r="L1790">
        <f>IF(D1790&lt;$A$15,$C$11,$C$11*(1-$G$11))</f>
        <v>200</v>
      </c>
      <c r="M1790">
        <f>IF(D1790&lt;$A$15,0,1)</f>
        <v>1</v>
      </c>
    </row>
    <row r="1791" spans="4:13" x14ac:dyDescent="0.2">
      <c r="D1791">
        <f t="shared" si="105"/>
        <v>1768</v>
      </c>
      <c r="E1791" s="1">
        <f t="shared" si="103"/>
        <v>154.0399091364082</v>
      </c>
      <c r="F1791" s="1">
        <f t="shared" si="106"/>
        <v>-112.28615901758667</v>
      </c>
      <c r="G1791" s="1">
        <f t="shared" si="104"/>
        <v>1.7168831744977096E-49</v>
      </c>
      <c r="H1791" s="1">
        <f>G1791/$G$21</f>
        <v>1.2039378310052199E-50</v>
      </c>
      <c r="I1791">
        <f>IF($E$11&lt;=D1791, IF(D1791&lt;=$A$15,D1791-$E$11,$F$11),0)</f>
        <v>300</v>
      </c>
      <c r="J1791">
        <f>IF(D1791&lt;=$A$15,0,D1791-$A$15)</f>
        <v>1459</v>
      </c>
      <c r="K1791" s="5">
        <f>IF(D1791&lt;$E$11,H1791,0)</f>
        <v>0</v>
      </c>
      <c r="L1791">
        <f>IF(D1791&lt;$A$15,$C$11,$C$11*(1-$G$11))</f>
        <v>200</v>
      </c>
      <c r="M1791">
        <f>IF(D1791&lt;$A$15,0,1)</f>
        <v>1</v>
      </c>
    </row>
    <row r="1792" spans="4:13" x14ac:dyDescent="0.2">
      <c r="D1792">
        <f t="shared" si="105"/>
        <v>1769</v>
      </c>
      <c r="E1792" s="1">
        <f t="shared" si="103"/>
        <v>153.96294809527208</v>
      </c>
      <c r="F1792" s="1">
        <f t="shared" si="106"/>
        <v>-112.36312005872279</v>
      </c>
      <c r="G1792" s="1">
        <f t="shared" si="104"/>
        <v>1.589706643053455E-49</v>
      </c>
      <c r="H1792" s="1">
        <f>G1792/$G$21</f>
        <v>1.1147572509307734E-50</v>
      </c>
      <c r="I1792">
        <f>IF($E$11&lt;=D1792, IF(D1792&lt;=$A$15,D1792-$E$11,$F$11),0)</f>
        <v>300</v>
      </c>
      <c r="J1792">
        <f>IF(D1792&lt;=$A$15,0,D1792-$A$15)</f>
        <v>1460</v>
      </c>
      <c r="K1792" s="5">
        <f>IF(D1792&lt;$E$11,H1792,0)</f>
        <v>0</v>
      </c>
      <c r="L1792">
        <f>IF(D1792&lt;$A$15,$C$11,$C$11*(1-$G$11))</f>
        <v>200</v>
      </c>
      <c r="M1792">
        <f>IF(D1792&lt;$A$15,0,1)</f>
        <v>1</v>
      </c>
    </row>
    <row r="1793" spans="4:13" x14ac:dyDescent="0.2">
      <c r="D1793">
        <f t="shared" si="105"/>
        <v>1770</v>
      </c>
      <c r="E1793" s="1">
        <f t="shared" si="103"/>
        <v>153.88598705413597</v>
      </c>
      <c r="F1793" s="1">
        <f t="shared" si="106"/>
        <v>-112.4400810998589</v>
      </c>
      <c r="G1793" s="1">
        <f t="shared" si="104"/>
        <v>1.4719505954198844E-49</v>
      </c>
      <c r="H1793" s="1">
        <f>G1793/$G$21</f>
        <v>1.0321826397507291E-50</v>
      </c>
      <c r="I1793">
        <f>IF($E$11&lt;=D1793, IF(D1793&lt;=$A$15,D1793-$E$11,$F$11),0)</f>
        <v>300</v>
      </c>
      <c r="J1793">
        <f>IF(D1793&lt;=$A$15,0,D1793-$A$15)</f>
        <v>1461</v>
      </c>
      <c r="K1793" s="5">
        <f>IF(D1793&lt;$E$11,H1793,0)</f>
        <v>0</v>
      </c>
      <c r="L1793">
        <f>IF(D1793&lt;$A$15,$C$11,$C$11*(1-$G$11))</f>
        <v>200</v>
      </c>
      <c r="M1793">
        <f>IF(D1793&lt;$A$15,0,1)</f>
        <v>1</v>
      </c>
    </row>
    <row r="1794" spans="4:13" x14ac:dyDescent="0.2">
      <c r="D1794">
        <f t="shared" si="105"/>
        <v>1771</v>
      </c>
      <c r="E1794" s="1">
        <f t="shared" si="103"/>
        <v>153.80902601299985</v>
      </c>
      <c r="F1794" s="1">
        <f t="shared" si="106"/>
        <v>-112.51704214099502</v>
      </c>
      <c r="G1794" s="1">
        <f t="shared" si="104"/>
        <v>1.3629172179813915E-49</v>
      </c>
      <c r="H1794" s="1">
        <f>G1794/$G$21</f>
        <v>9.5572466643587232E-51</v>
      </c>
      <c r="I1794">
        <f>IF($E$11&lt;=D1794, IF(D1794&lt;=$A$15,D1794-$E$11,$F$11),0)</f>
        <v>300</v>
      </c>
      <c r="J1794">
        <f>IF(D1794&lt;=$A$15,0,D1794-$A$15)</f>
        <v>1462</v>
      </c>
      <c r="K1794" s="5">
        <f>IF(D1794&lt;$E$11,H1794,0)</f>
        <v>0</v>
      </c>
      <c r="L1794">
        <f>IF(D1794&lt;$A$15,$C$11,$C$11*(1-$G$11))</f>
        <v>200</v>
      </c>
      <c r="M1794">
        <f>IF(D1794&lt;$A$15,0,1)</f>
        <v>1</v>
      </c>
    </row>
    <row r="1795" spans="4:13" x14ac:dyDescent="0.2">
      <c r="D1795">
        <f t="shared" si="105"/>
        <v>1772</v>
      </c>
      <c r="E1795" s="1">
        <f t="shared" si="103"/>
        <v>153.73206497186374</v>
      </c>
      <c r="F1795" s="1">
        <f t="shared" si="106"/>
        <v>-112.59400318213113</v>
      </c>
      <c r="G1795" s="1">
        <f t="shared" si="104"/>
        <v>1.2619603870198229E-49</v>
      </c>
      <c r="H1795" s="1">
        <f>G1795/$G$21</f>
        <v>8.8493024669989291E-51</v>
      </c>
      <c r="I1795">
        <f>IF($E$11&lt;=D1795, IF(D1795&lt;=$A$15,D1795-$E$11,$F$11),0)</f>
        <v>300</v>
      </c>
      <c r="J1795">
        <f>IF(D1795&lt;=$A$15,0,D1795-$A$15)</f>
        <v>1463</v>
      </c>
      <c r="K1795" s="5">
        <f>IF(D1795&lt;$E$11,H1795,0)</f>
        <v>0</v>
      </c>
      <c r="L1795">
        <f>IF(D1795&lt;$A$15,$C$11,$C$11*(1-$G$11))</f>
        <v>200</v>
      </c>
      <c r="M1795">
        <f>IF(D1795&lt;$A$15,0,1)</f>
        <v>1</v>
      </c>
    </row>
    <row r="1796" spans="4:13" x14ac:dyDescent="0.2">
      <c r="D1796">
        <f t="shared" si="105"/>
        <v>1773</v>
      </c>
      <c r="E1796" s="1">
        <f t="shared" ref="E1796:F1859" si="107">IF($G$11=1,IF(D1796&lt;=$A$15, E1795+LN($C$11)-LN(60/$D$11)-LN(MIN(D1796,$E$11)), E1795-LN(60/$D$11)-LN(MIN(D1796,$E$11))), IF(D1796&lt;=$A$15, E1795+LN($C$11)-LN(60/$D$11)-LN(MIN(D1796,$E$11)), E1795+LN($C$11)+LN(1-$G$11)-LN(60/$D$11)-LN(MIN(D1796,$E$11))))</f>
        <v>153.65510393072762</v>
      </c>
      <c r="F1796" s="1">
        <f t="shared" si="106"/>
        <v>-112.67096422326725</v>
      </c>
      <c r="G1796" s="1">
        <f t="shared" si="104"/>
        <v>1.1684818398331842E-49</v>
      </c>
      <c r="H1796" s="1">
        <f>G1796/$G$21</f>
        <v>8.1937985805546686E-51</v>
      </c>
      <c r="I1796">
        <f>IF($E$11&lt;=D1796, IF(D1796&lt;=$A$15,D1796-$E$11,$F$11),0)</f>
        <v>300</v>
      </c>
      <c r="J1796">
        <f>IF(D1796&lt;=$A$15,0,D1796-$A$15)</f>
        <v>1464</v>
      </c>
      <c r="K1796" s="5">
        <f>IF(D1796&lt;$E$11,H1796,0)</f>
        <v>0</v>
      </c>
      <c r="L1796">
        <f>IF(D1796&lt;$A$15,$C$11,$C$11*(1-$G$11))</f>
        <v>200</v>
      </c>
      <c r="M1796">
        <f>IF(D1796&lt;$A$15,0,1)</f>
        <v>1</v>
      </c>
    </row>
    <row r="1797" spans="4:13" x14ac:dyDescent="0.2">
      <c r="D1797">
        <f t="shared" si="105"/>
        <v>1774</v>
      </c>
      <c r="E1797" s="1">
        <f t="shared" si="107"/>
        <v>153.5781428895915</v>
      </c>
      <c r="F1797" s="1">
        <f t="shared" si="106"/>
        <v>-112.74792526440336</v>
      </c>
      <c r="G1797" s="1">
        <f t="shared" si="104"/>
        <v>1.0819276294751843E-49</v>
      </c>
      <c r="H1797" s="1">
        <f>G1797/$G$21</f>
        <v>7.5868505375507147E-51</v>
      </c>
      <c r="I1797">
        <f>IF($E$11&lt;=D1797, IF(D1797&lt;=$A$15,D1797-$E$11,$F$11),0)</f>
        <v>300</v>
      </c>
      <c r="J1797">
        <f>IF(D1797&lt;=$A$15,0,D1797-$A$15)</f>
        <v>1465</v>
      </c>
      <c r="K1797" s="5">
        <f>IF(D1797&lt;$E$11,H1797,0)</f>
        <v>0</v>
      </c>
      <c r="L1797">
        <f>IF(D1797&lt;$A$15,$C$11,$C$11*(1-$G$11))</f>
        <v>200</v>
      </c>
      <c r="M1797">
        <f>IF(D1797&lt;$A$15,0,1)</f>
        <v>1</v>
      </c>
    </row>
    <row r="1798" spans="4:13" x14ac:dyDescent="0.2">
      <c r="D1798">
        <f t="shared" si="105"/>
        <v>1775</v>
      </c>
      <c r="E1798" s="1">
        <f t="shared" si="107"/>
        <v>153.50118184845539</v>
      </c>
      <c r="F1798" s="1">
        <f t="shared" si="106"/>
        <v>-112.82488630553948</v>
      </c>
      <c r="G1798" s="1">
        <f t="shared" si="104"/>
        <v>1.0017848421066647E-49</v>
      </c>
      <c r="H1798" s="1">
        <f>G1798/$G$21</f>
        <v>7.0248616088433428E-51</v>
      </c>
      <c r="I1798">
        <f>IF($E$11&lt;=D1798, IF(D1798&lt;=$A$15,D1798-$E$11,$F$11),0)</f>
        <v>300</v>
      </c>
      <c r="J1798">
        <f>IF(D1798&lt;=$A$15,0,D1798-$A$15)</f>
        <v>1466</v>
      </c>
      <c r="K1798" s="5">
        <f>IF(D1798&lt;$E$11,H1798,0)</f>
        <v>0</v>
      </c>
      <c r="L1798">
        <f>IF(D1798&lt;$A$15,$C$11,$C$11*(1-$G$11))</f>
        <v>200</v>
      </c>
      <c r="M1798">
        <f>IF(D1798&lt;$A$15,0,1)</f>
        <v>1</v>
      </c>
    </row>
    <row r="1799" spans="4:13" x14ac:dyDescent="0.2">
      <c r="D1799">
        <f t="shared" si="105"/>
        <v>1776</v>
      </c>
      <c r="E1799" s="1">
        <f t="shared" si="107"/>
        <v>153.42422080731927</v>
      </c>
      <c r="F1799" s="1">
        <f t="shared" si="106"/>
        <v>-112.90184734667559</v>
      </c>
      <c r="G1799" s="1">
        <f t="shared" si="104"/>
        <v>9.2757855750618272E-50</v>
      </c>
      <c r="H1799" s="1">
        <f>G1799/$G$21</f>
        <v>6.5045014896698433E-51</v>
      </c>
      <c r="I1799">
        <f>IF($E$11&lt;=D1799, IF(D1799&lt;=$A$15,D1799-$E$11,$F$11),0)</f>
        <v>300</v>
      </c>
      <c r="J1799">
        <f>IF(D1799&lt;=$A$15,0,D1799-$A$15)</f>
        <v>1467</v>
      </c>
      <c r="K1799" s="5">
        <f>IF(D1799&lt;$E$11,H1799,0)</f>
        <v>0</v>
      </c>
      <c r="L1799">
        <f>IF(D1799&lt;$A$15,$C$11,$C$11*(1-$G$11))</f>
        <v>200</v>
      </c>
      <c r="M1799">
        <f>IF(D1799&lt;$A$15,0,1)</f>
        <v>1</v>
      </c>
    </row>
    <row r="1800" spans="4:13" x14ac:dyDescent="0.2">
      <c r="D1800">
        <f t="shared" si="105"/>
        <v>1777</v>
      </c>
      <c r="E1800" s="1">
        <f t="shared" si="107"/>
        <v>153.34725976618316</v>
      </c>
      <c r="F1800" s="1">
        <f t="shared" si="106"/>
        <v>-112.97880838781171</v>
      </c>
      <c r="G1800" s="1">
        <f t="shared" si="104"/>
        <v>8.5886903472795796E-50</v>
      </c>
      <c r="H1800" s="1">
        <f>G1800/$G$21</f>
        <v>6.0226865645091914E-51</v>
      </c>
      <c r="I1800">
        <f>IF($E$11&lt;=D1800, IF(D1800&lt;=$A$15,D1800-$E$11,$F$11),0)</f>
        <v>300</v>
      </c>
      <c r="J1800">
        <f>IF(D1800&lt;=$A$15,0,D1800-$A$15)</f>
        <v>1468</v>
      </c>
      <c r="K1800" s="5">
        <f>IF(D1800&lt;$E$11,H1800,0)</f>
        <v>0</v>
      </c>
      <c r="L1800">
        <f>IF(D1800&lt;$A$15,$C$11,$C$11*(1-$G$11))</f>
        <v>200</v>
      </c>
      <c r="M1800">
        <f>IF(D1800&lt;$A$15,0,1)</f>
        <v>1</v>
      </c>
    </row>
    <row r="1801" spans="4:13" x14ac:dyDescent="0.2">
      <c r="D1801">
        <f t="shared" si="105"/>
        <v>1778</v>
      </c>
      <c r="E1801" s="1">
        <f t="shared" si="107"/>
        <v>153.27029872504704</v>
      </c>
      <c r="F1801" s="1">
        <f t="shared" si="106"/>
        <v>-113.05576942894783</v>
      </c>
      <c r="G1801" s="1">
        <f t="shared" si="104"/>
        <v>7.9524910622960073E-50</v>
      </c>
      <c r="H1801" s="1">
        <f>G1801/$G$21</f>
        <v>5.576561633804877E-51</v>
      </c>
      <c r="I1801">
        <f>IF($E$11&lt;=D1801, IF(D1801&lt;=$A$15,D1801-$E$11,$F$11),0)</f>
        <v>300</v>
      </c>
      <c r="J1801">
        <f>IF(D1801&lt;=$A$15,0,D1801-$A$15)</f>
        <v>1469</v>
      </c>
      <c r="K1801" s="5">
        <f>IF(D1801&lt;$E$11,H1801,0)</f>
        <v>0</v>
      </c>
      <c r="L1801">
        <f>IF(D1801&lt;$A$15,$C$11,$C$11*(1-$G$11))</f>
        <v>200</v>
      </c>
      <c r="M1801">
        <f>IF(D1801&lt;$A$15,0,1)</f>
        <v>1</v>
      </c>
    </row>
    <row r="1802" spans="4:13" x14ac:dyDescent="0.2">
      <c r="D1802">
        <f t="shared" si="105"/>
        <v>1779</v>
      </c>
      <c r="E1802" s="1">
        <f t="shared" si="107"/>
        <v>153.19333768391093</v>
      </c>
      <c r="F1802" s="1">
        <f t="shared" si="106"/>
        <v>-113.13273047008394</v>
      </c>
      <c r="G1802" s="1">
        <f t="shared" si="104"/>
        <v>7.3634176502741737E-50</v>
      </c>
      <c r="H1802" s="1">
        <f>G1802/$G$21</f>
        <v>5.1634829942638405E-51</v>
      </c>
      <c r="I1802">
        <f>IF($E$11&lt;=D1802, IF(D1802&lt;=$A$15,D1802-$E$11,$F$11),0)</f>
        <v>300</v>
      </c>
      <c r="J1802">
        <f>IF(D1802&lt;=$A$15,0,D1802-$A$15)</f>
        <v>1470</v>
      </c>
      <c r="K1802" s="5">
        <f>IF(D1802&lt;$E$11,H1802,0)</f>
        <v>0</v>
      </c>
      <c r="L1802">
        <f>IF(D1802&lt;$A$15,$C$11,$C$11*(1-$G$11))</f>
        <v>200</v>
      </c>
      <c r="M1802">
        <f>IF(D1802&lt;$A$15,0,1)</f>
        <v>1</v>
      </c>
    </row>
    <row r="1803" spans="4:13" x14ac:dyDescent="0.2">
      <c r="D1803">
        <f t="shared" si="105"/>
        <v>1780</v>
      </c>
      <c r="E1803" s="1">
        <f t="shared" si="107"/>
        <v>153.11637664277481</v>
      </c>
      <c r="F1803" s="1">
        <f t="shared" si="106"/>
        <v>-113.20969151122006</v>
      </c>
      <c r="G1803" s="1">
        <f t="shared" si="104"/>
        <v>6.8179793058095065E-50</v>
      </c>
      <c r="H1803" s="1">
        <f>G1803/$G$21</f>
        <v>4.7810027724665798E-51</v>
      </c>
      <c r="I1803">
        <f>IF($E$11&lt;=D1803, IF(D1803&lt;=$A$15,D1803-$E$11,$F$11),0)</f>
        <v>300</v>
      </c>
      <c r="J1803">
        <f>IF(D1803&lt;=$A$15,0,D1803-$A$15)</f>
        <v>1471</v>
      </c>
      <c r="K1803" s="5">
        <f>IF(D1803&lt;$E$11,H1803,0)</f>
        <v>0</v>
      </c>
      <c r="L1803">
        <f>IF(D1803&lt;$A$15,$C$11,$C$11*(1-$G$11))</f>
        <v>200</v>
      </c>
      <c r="M1803">
        <f>IF(D1803&lt;$A$15,0,1)</f>
        <v>1</v>
      </c>
    </row>
    <row r="1804" spans="4:13" x14ac:dyDescent="0.2">
      <c r="D1804">
        <f t="shared" si="105"/>
        <v>1781</v>
      </c>
      <c r="E1804" s="1">
        <f t="shared" si="107"/>
        <v>153.03941560163869</v>
      </c>
      <c r="F1804" s="1">
        <f t="shared" si="106"/>
        <v>-113.28665255235617</v>
      </c>
      <c r="G1804" s="1">
        <f t="shared" si="104"/>
        <v>6.3129438016755485E-50</v>
      </c>
      <c r="H1804" s="1">
        <f>G1804/$G$21</f>
        <v>4.4268544189505926E-51</v>
      </c>
      <c r="I1804">
        <f>IF($E$11&lt;=D1804, IF(D1804&lt;=$A$15,D1804-$E$11,$F$11),0)</f>
        <v>300</v>
      </c>
      <c r="J1804">
        <f>IF(D1804&lt;=$A$15,0,D1804-$A$15)</f>
        <v>1472</v>
      </c>
      <c r="K1804" s="5">
        <f>IF(D1804&lt;$E$11,H1804,0)</f>
        <v>0</v>
      </c>
      <c r="L1804">
        <f>IF(D1804&lt;$A$15,$C$11,$C$11*(1-$G$11))</f>
        <v>200</v>
      </c>
      <c r="M1804">
        <f>IF(D1804&lt;$A$15,0,1)</f>
        <v>1</v>
      </c>
    </row>
    <row r="1805" spans="4:13" x14ac:dyDescent="0.2">
      <c r="D1805">
        <f t="shared" si="105"/>
        <v>1782</v>
      </c>
      <c r="E1805" s="1">
        <f t="shared" si="107"/>
        <v>152.96245456050258</v>
      </c>
      <c r="F1805" s="1">
        <f t="shared" si="106"/>
        <v>-113.36361359349229</v>
      </c>
      <c r="G1805" s="1">
        <f t="shared" si="104"/>
        <v>5.8453183348848409E-50</v>
      </c>
      <c r="H1805" s="1">
        <f>G1805/$G$21</f>
        <v>4.0989392768061559E-51</v>
      </c>
      <c r="I1805">
        <f>IF($E$11&lt;=D1805, IF(D1805&lt;=$A$15,D1805-$E$11,$F$11),0)</f>
        <v>300</v>
      </c>
      <c r="J1805">
        <f>IF(D1805&lt;=$A$15,0,D1805-$A$15)</f>
        <v>1473</v>
      </c>
      <c r="K1805" s="5">
        <f>IF(D1805&lt;$E$11,H1805,0)</f>
        <v>0</v>
      </c>
      <c r="L1805">
        <f>IF(D1805&lt;$A$15,$C$11,$C$11*(1-$G$11))</f>
        <v>200</v>
      </c>
      <c r="M1805">
        <f>IF(D1805&lt;$A$15,0,1)</f>
        <v>1</v>
      </c>
    </row>
    <row r="1806" spans="4:13" x14ac:dyDescent="0.2">
      <c r="D1806">
        <f t="shared" si="105"/>
        <v>1783</v>
      </c>
      <c r="E1806" s="1">
        <f t="shared" si="107"/>
        <v>152.88549351936646</v>
      </c>
      <c r="F1806" s="1">
        <f t="shared" si="106"/>
        <v>-113.4405746346284</v>
      </c>
      <c r="G1806" s="1">
        <f t="shared" si="104"/>
        <v>5.4123317915601065E-50</v>
      </c>
      <c r="H1806" s="1">
        <f>G1806/$G$21</f>
        <v>3.7953141451909334E-51</v>
      </c>
      <c r="I1806">
        <f>IF($E$11&lt;=D1806, IF(D1806&lt;=$A$15,D1806-$E$11,$F$11),0)</f>
        <v>300</v>
      </c>
      <c r="J1806">
        <f>IF(D1806&lt;=$A$15,0,D1806-$A$15)</f>
        <v>1474</v>
      </c>
      <c r="K1806" s="5">
        <f>IF(D1806&lt;$E$11,H1806,0)</f>
        <v>0</v>
      </c>
      <c r="L1806">
        <f>IF(D1806&lt;$A$15,$C$11,$C$11*(1-$G$11))</f>
        <v>200</v>
      </c>
      <c r="M1806">
        <f>IF(D1806&lt;$A$15,0,1)</f>
        <v>1</v>
      </c>
    </row>
    <row r="1807" spans="4:13" x14ac:dyDescent="0.2">
      <c r="D1807">
        <f t="shared" si="105"/>
        <v>1784</v>
      </c>
      <c r="E1807" s="1">
        <f t="shared" si="107"/>
        <v>152.80853247823035</v>
      </c>
      <c r="F1807" s="1">
        <f t="shared" si="106"/>
        <v>-113.51753567576452</v>
      </c>
      <c r="G1807" s="1">
        <f t="shared" si="104"/>
        <v>5.0114183255186801E-50</v>
      </c>
      <c r="H1807" s="1">
        <f>G1807/$G$21</f>
        <v>3.5141797640657228E-51</v>
      </c>
      <c r="I1807">
        <f>IF($E$11&lt;=D1807, IF(D1807&lt;=$A$15,D1807-$E$11,$F$11),0)</f>
        <v>300</v>
      </c>
      <c r="J1807">
        <f>IF(D1807&lt;=$A$15,0,D1807-$A$15)</f>
        <v>1475</v>
      </c>
      <c r="K1807" s="5">
        <f>IF(D1807&lt;$E$11,H1807,0)</f>
        <v>0</v>
      </c>
      <c r="L1807">
        <f>IF(D1807&lt;$A$15,$C$11,$C$11*(1-$G$11))</f>
        <v>200</v>
      </c>
      <c r="M1807">
        <f>IF(D1807&lt;$A$15,0,1)</f>
        <v>1</v>
      </c>
    </row>
    <row r="1808" spans="4:13" x14ac:dyDescent="0.2">
      <c r="D1808">
        <f t="shared" si="105"/>
        <v>1785</v>
      </c>
      <c r="E1808" s="1">
        <f t="shared" si="107"/>
        <v>152.73157143709423</v>
      </c>
      <c r="F1808" s="1">
        <f t="shared" si="106"/>
        <v>-113.59449671690064</v>
      </c>
      <c r="G1808" s="1">
        <f t="shared" si="104"/>
        <v>4.640202153258096E-50</v>
      </c>
      <c r="H1808" s="1">
        <f>G1808/$G$21</f>
        <v>3.2538701519127475E-51</v>
      </c>
      <c r="I1808">
        <f>IF($E$11&lt;=D1808, IF(D1808&lt;=$A$15,D1808-$E$11,$F$11),0)</f>
        <v>300</v>
      </c>
      <c r="J1808">
        <f>IF(D1808&lt;=$A$15,0,D1808-$A$15)</f>
        <v>1476</v>
      </c>
      <c r="K1808" s="5">
        <f>IF(D1808&lt;$E$11,H1808,0)</f>
        <v>0</v>
      </c>
      <c r="L1808">
        <f>IF(D1808&lt;$A$15,$C$11,$C$11*(1-$G$11))</f>
        <v>200</v>
      </c>
      <c r="M1808">
        <f>IF(D1808&lt;$A$15,0,1)</f>
        <v>1</v>
      </c>
    </row>
    <row r="1809" spans="4:13" x14ac:dyDescent="0.2">
      <c r="D1809">
        <f t="shared" si="105"/>
        <v>1786</v>
      </c>
      <c r="E1809" s="1">
        <f t="shared" si="107"/>
        <v>152.65461039595812</v>
      </c>
      <c r="F1809" s="1">
        <f t="shared" si="106"/>
        <v>-113.67145775803675</v>
      </c>
      <c r="G1809" s="1">
        <f t="shared" si="104"/>
        <v>4.2964834752390326E-50</v>
      </c>
      <c r="H1809" s="1">
        <f>G1809/$G$21</f>
        <v>3.0128427332525824E-51</v>
      </c>
      <c r="I1809">
        <f>IF($E$11&lt;=D1809, IF(D1809&lt;=$A$15,D1809-$E$11,$F$11),0)</f>
        <v>300</v>
      </c>
      <c r="J1809">
        <f>IF(D1809&lt;=$A$15,0,D1809-$A$15)</f>
        <v>1477</v>
      </c>
      <c r="K1809" s="5">
        <f>IF(D1809&lt;$E$11,H1809,0)</f>
        <v>0</v>
      </c>
      <c r="L1809">
        <f>IF(D1809&lt;$A$15,$C$11,$C$11*(1-$G$11))</f>
        <v>200</v>
      </c>
      <c r="M1809">
        <f>IF(D1809&lt;$A$15,0,1)</f>
        <v>1</v>
      </c>
    </row>
    <row r="1810" spans="4:13" x14ac:dyDescent="0.2">
      <c r="D1810">
        <f t="shared" si="105"/>
        <v>1787</v>
      </c>
      <c r="E1810" s="1">
        <f t="shared" si="107"/>
        <v>152.577649354822</v>
      </c>
      <c r="F1810" s="1">
        <f t="shared" si="106"/>
        <v>-113.74841879917287</v>
      </c>
      <c r="G1810" s="1">
        <f t="shared" si="104"/>
        <v>3.9782254400361914E-50</v>
      </c>
      <c r="H1810" s="1">
        <f>G1810/$G$21</f>
        <v>2.78966919745613E-51</v>
      </c>
      <c r="I1810">
        <f>IF($E$11&lt;=D1810, IF(D1810&lt;=$A$15,D1810-$E$11,$F$11),0)</f>
        <v>300</v>
      </c>
      <c r="J1810">
        <f>IF(D1810&lt;=$A$15,0,D1810-$A$15)</f>
        <v>1478</v>
      </c>
      <c r="K1810" s="5">
        <f>IF(D1810&lt;$E$11,H1810,0)</f>
        <v>0</v>
      </c>
      <c r="L1810">
        <f>IF(D1810&lt;$A$15,$C$11,$C$11*(1-$G$11))</f>
        <v>200</v>
      </c>
      <c r="M1810">
        <f>IF(D1810&lt;$A$15,0,1)</f>
        <v>1</v>
      </c>
    </row>
    <row r="1811" spans="4:13" x14ac:dyDescent="0.2">
      <c r="D1811">
        <f t="shared" si="105"/>
        <v>1788</v>
      </c>
      <c r="E1811" s="1">
        <f t="shared" si="107"/>
        <v>152.50068831368588</v>
      </c>
      <c r="F1811" s="1">
        <f t="shared" si="106"/>
        <v>-113.82537984030898</v>
      </c>
      <c r="G1811" s="1">
        <f t="shared" si="104"/>
        <v>3.6835420741076312E-50</v>
      </c>
      <c r="H1811" s="1">
        <f>G1811/$G$21</f>
        <v>2.5830270346816346E-51</v>
      </c>
      <c r="I1811">
        <f>IF($E$11&lt;=D1811, IF(D1811&lt;=$A$15,D1811-$E$11,$F$11),0)</f>
        <v>300</v>
      </c>
      <c r="J1811">
        <f>IF(D1811&lt;=$A$15,0,D1811-$A$15)</f>
        <v>1479</v>
      </c>
      <c r="K1811" s="5">
        <f>IF(D1811&lt;$E$11,H1811,0)</f>
        <v>0</v>
      </c>
      <c r="L1811">
        <f>IF(D1811&lt;$A$15,$C$11,$C$11*(1-$G$11))</f>
        <v>200</v>
      </c>
      <c r="M1811">
        <f>IF(D1811&lt;$A$15,0,1)</f>
        <v>1</v>
      </c>
    </row>
    <row r="1812" spans="4:13" x14ac:dyDescent="0.2">
      <c r="D1812">
        <f t="shared" si="105"/>
        <v>1789</v>
      </c>
      <c r="E1812" s="1">
        <f t="shared" si="107"/>
        <v>152.42372727254977</v>
      </c>
      <c r="F1812" s="1">
        <f t="shared" si="106"/>
        <v>-113.9023408814451</v>
      </c>
      <c r="G1812" s="1">
        <f t="shared" si="104"/>
        <v>3.410687105655257E-50</v>
      </c>
      <c r="H1812" s="1">
        <f>G1812/$G$21</f>
        <v>2.3916916987793216E-51</v>
      </c>
      <c r="I1812">
        <f>IF($E$11&lt;=D1812, IF(D1812&lt;=$A$15,D1812-$E$11,$F$11),0)</f>
        <v>300</v>
      </c>
      <c r="J1812">
        <f>IF(D1812&lt;=$A$15,0,D1812-$A$15)</f>
        <v>1480</v>
      </c>
      <c r="K1812" s="5">
        <f>IF(D1812&lt;$E$11,H1812,0)</f>
        <v>0</v>
      </c>
      <c r="L1812">
        <f>IF(D1812&lt;$A$15,$C$11,$C$11*(1-$G$11))</f>
        <v>200</v>
      </c>
      <c r="M1812">
        <f>IF(D1812&lt;$A$15,0,1)</f>
        <v>1</v>
      </c>
    </row>
    <row r="1813" spans="4:13" x14ac:dyDescent="0.2">
      <c r="D1813">
        <f t="shared" si="105"/>
        <v>1790</v>
      </c>
      <c r="E1813" s="1">
        <f t="shared" si="107"/>
        <v>152.34676623141365</v>
      </c>
      <c r="F1813" s="1">
        <f t="shared" si="106"/>
        <v>-113.97930192258121</v>
      </c>
      <c r="G1813" s="1">
        <f t="shared" si="104"/>
        <v>3.1580436163475002E-50</v>
      </c>
      <c r="H1813" s="1">
        <f>G1813/$G$21</f>
        <v>2.214529350721622E-51</v>
      </c>
      <c r="I1813">
        <f>IF($E$11&lt;=D1813, IF(D1813&lt;=$A$15,D1813-$E$11,$F$11),0)</f>
        <v>300</v>
      </c>
      <c r="J1813">
        <f>IF(D1813&lt;=$A$15,0,D1813-$A$15)</f>
        <v>1481</v>
      </c>
      <c r="K1813" s="5">
        <f>IF(D1813&lt;$E$11,H1813,0)</f>
        <v>0</v>
      </c>
      <c r="L1813">
        <f>IF(D1813&lt;$A$15,$C$11,$C$11*(1-$G$11))</f>
        <v>200</v>
      </c>
      <c r="M1813">
        <f>IF(D1813&lt;$A$15,0,1)</f>
        <v>1</v>
      </c>
    </row>
    <row r="1814" spans="4:13" x14ac:dyDescent="0.2">
      <c r="D1814">
        <f t="shared" si="105"/>
        <v>1791</v>
      </c>
      <c r="E1814" s="1">
        <f t="shared" si="107"/>
        <v>152.26980519027754</v>
      </c>
      <c r="F1814" s="1">
        <f t="shared" si="106"/>
        <v>-114.05626296371733</v>
      </c>
      <c r="G1814" s="1">
        <f t="shared" si="104"/>
        <v>2.9241144595810556E-50</v>
      </c>
      <c r="H1814" s="1">
        <f>G1814/$G$21</f>
        <v>2.0504901395570834E-51</v>
      </c>
      <c r="I1814">
        <f>IF($E$11&lt;=D1814, IF(D1814&lt;=$A$15,D1814-$E$11,$F$11),0)</f>
        <v>300</v>
      </c>
      <c r="J1814">
        <f>IF(D1814&lt;=$A$15,0,D1814-$A$15)</f>
        <v>1482</v>
      </c>
      <c r="K1814" s="5">
        <f>IF(D1814&lt;$E$11,H1814,0)</f>
        <v>0</v>
      </c>
      <c r="L1814">
        <f>IF(D1814&lt;$A$15,$C$11,$C$11*(1-$G$11))</f>
        <v>200</v>
      </c>
      <c r="M1814">
        <f>IF(D1814&lt;$A$15,0,1)</f>
        <v>1</v>
      </c>
    </row>
    <row r="1815" spans="4:13" x14ac:dyDescent="0.2">
      <c r="D1815">
        <f t="shared" si="105"/>
        <v>1792</v>
      </c>
      <c r="E1815" s="1">
        <f t="shared" si="107"/>
        <v>152.19284414914142</v>
      </c>
      <c r="F1815" s="1">
        <f t="shared" si="106"/>
        <v>-114.13322400485345</v>
      </c>
      <c r="G1815" s="1">
        <f t="shared" si="104"/>
        <v>2.7075133885010119E-50</v>
      </c>
      <c r="H1815" s="1">
        <f>G1815/$G$21</f>
        <v>1.8986019810713978E-51</v>
      </c>
      <c r="I1815">
        <f>IF($E$11&lt;=D1815, IF(D1815&lt;=$A$15,D1815-$E$11,$F$11),0)</f>
        <v>300</v>
      </c>
      <c r="J1815">
        <f>IF(D1815&lt;=$A$15,0,D1815-$A$15)</f>
        <v>1483</v>
      </c>
      <c r="K1815" s="5">
        <f>IF(D1815&lt;$E$11,H1815,0)</f>
        <v>0</v>
      </c>
      <c r="L1815">
        <f>IF(D1815&lt;$A$15,$C$11,$C$11*(1-$G$11))</f>
        <v>200</v>
      </c>
      <c r="M1815">
        <f>IF(D1815&lt;$A$15,0,1)</f>
        <v>1</v>
      </c>
    </row>
    <row r="1816" spans="4:13" x14ac:dyDescent="0.2">
      <c r="D1816">
        <f t="shared" si="105"/>
        <v>1793</v>
      </c>
      <c r="E1816" s="1">
        <f t="shared" si="107"/>
        <v>152.11588310800531</v>
      </c>
      <c r="F1816" s="1">
        <f t="shared" si="106"/>
        <v>-114.21018504598956</v>
      </c>
      <c r="G1816" s="1">
        <f t="shared" ref="G1816:G1879" si="108">EXP(F1816)</f>
        <v>2.5069568412046723E-50</v>
      </c>
      <c r="H1816" s="1">
        <f>G1816/$G$21</f>
        <v>1.7579647972883532E-51</v>
      </c>
      <c r="I1816">
        <f>IF($E$11&lt;=D1816, IF(D1816&lt;=$A$15,D1816-$E$11,$F$11),0)</f>
        <v>300</v>
      </c>
      <c r="J1816">
        <f>IF(D1816&lt;=$A$15,0,D1816-$A$15)</f>
        <v>1484</v>
      </c>
      <c r="K1816" s="5">
        <f>IF(D1816&lt;$E$11,H1816,0)</f>
        <v>0</v>
      </c>
      <c r="L1816">
        <f>IF(D1816&lt;$A$15,$C$11,$C$11*(1-$G$11))</f>
        <v>200</v>
      </c>
      <c r="M1816">
        <f>IF(D1816&lt;$A$15,0,1)</f>
        <v>1</v>
      </c>
    </row>
    <row r="1817" spans="4:13" x14ac:dyDescent="0.2">
      <c r="D1817">
        <f t="shared" ref="D1817:D1880" si="109">1+D1816</f>
        <v>1794</v>
      </c>
      <c r="E1817" s="1">
        <f t="shared" si="107"/>
        <v>152.03892206686919</v>
      </c>
      <c r="F1817" s="1">
        <f t="shared" ref="F1817:F1880" si="110">E1817-$E$21</f>
        <v>-114.28714608712568</v>
      </c>
      <c r="G1817" s="1">
        <f t="shared" si="108"/>
        <v>2.3212563344488E-50</v>
      </c>
      <c r="H1817" s="1">
        <f>G1817/$G$21</f>
        <v>1.6277451826744217E-51</v>
      </c>
      <c r="I1817">
        <f>IF($E$11&lt;=D1817, IF(D1817&lt;=$A$15,D1817-$E$11,$F$11),0)</f>
        <v>300</v>
      </c>
      <c r="J1817">
        <f>IF(D1817&lt;=$A$15,0,D1817-$A$15)</f>
        <v>1485</v>
      </c>
      <c r="K1817" s="5">
        <f>IF(D1817&lt;$E$11,H1817,0)</f>
        <v>0</v>
      </c>
      <c r="L1817">
        <f>IF(D1817&lt;$A$15,$C$11,$C$11*(1-$G$11))</f>
        <v>200</v>
      </c>
      <c r="M1817">
        <f>IF(D1817&lt;$A$15,0,1)</f>
        <v>1</v>
      </c>
    </row>
    <row r="1818" spans="4:13" x14ac:dyDescent="0.2">
      <c r="D1818">
        <f t="shared" si="109"/>
        <v>1795</v>
      </c>
      <c r="E1818" s="1">
        <f t="shared" si="107"/>
        <v>151.96196102573307</v>
      </c>
      <c r="F1818" s="1">
        <f t="shared" si="110"/>
        <v>-114.36410712826179</v>
      </c>
      <c r="G1818" s="1">
        <f t="shared" si="108"/>
        <v>2.1493114207859527E-50</v>
      </c>
      <c r="H1818" s="1">
        <f>G1818/$G$21</f>
        <v>1.5071714654392982E-51</v>
      </c>
      <c r="I1818">
        <f>IF($E$11&lt;=D1818, IF(D1818&lt;=$A$15,D1818-$E$11,$F$11),0)</f>
        <v>300</v>
      </c>
      <c r="J1818">
        <f>IF(D1818&lt;=$A$15,0,D1818-$A$15)</f>
        <v>1486</v>
      </c>
      <c r="K1818" s="5">
        <f>IF(D1818&lt;$E$11,H1818,0)</f>
        <v>0</v>
      </c>
      <c r="L1818">
        <f>IF(D1818&lt;$A$15,$C$11,$C$11*(1-$G$11))</f>
        <v>200</v>
      </c>
      <c r="M1818">
        <f>IF(D1818&lt;$A$15,0,1)</f>
        <v>1</v>
      </c>
    </row>
    <row r="1819" spans="4:13" x14ac:dyDescent="0.2">
      <c r="D1819">
        <f t="shared" si="109"/>
        <v>1796</v>
      </c>
      <c r="E1819" s="1">
        <f t="shared" si="107"/>
        <v>151.88499998459696</v>
      </c>
      <c r="F1819" s="1">
        <f t="shared" si="110"/>
        <v>-114.44106816939791</v>
      </c>
      <c r="G1819" s="1">
        <f t="shared" si="108"/>
        <v>1.990103167394426E-50</v>
      </c>
      <c r="H1819" s="1">
        <f>G1819/$G$21</f>
        <v>1.3955291346660346E-51</v>
      </c>
      <c r="I1819">
        <f>IF($E$11&lt;=D1819, IF(D1819&lt;=$A$15,D1819-$E$11,$F$11),0)</f>
        <v>300</v>
      </c>
      <c r="J1819">
        <f>IF(D1819&lt;=$A$15,0,D1819-$A$15)</f>
        <v>1487</v>
      </c>
      <c r="K1819" s="5">
        <f>IF(D1819&lt;$E$11,H1819,0)</f>
        <v>0</v>
      </c>
      <c r="L1819">
        <f>IF(D1819&lt;$A$15,$C$11,$C$11*(1-$G$11))</f>
        <v>200</v>
      </c>
      <c r="M1819">
        <f>IF(D1819&lt;$A$15,0,1)</f>
        <v>1</v>
      </c>
    </row>
    <row r="1820" spans="4:13" x14ac:dyDescent="0.2">
      <c r="D1820">
        <f t="shared" si="109"/>
        <v>1797</v>
      </c>
      <c r="E1820" s="1">
        <f t="shared" si="107"/>
        <v>151.80803894346084</v>
      </c>
      <c r="F1820" s="1">
        <f t="shared" si="110"/>
        <v>-114.51802921053402</v>
      </c>
      <c r="G1820" s="1">
        <f t="shared" si="108"/>
        <v>1.8426881179578252E-50</v>
      </c>
      <c r="H1820" s="1">
        <f>G1820/$G$21</f>
        <v>1.2921566061722707E-51</v>
      </c>
      <c r="I1820">
        <f>IF($E$11&lt;=D1820, IF(D1820&lt;=$A$15,D1820-$E$11,$F$11),0)</f>
        <v>300</v>
      </c>
      <c r="J1820">
        <f>IF(D1820&lt;=$A$15,0,D1820-$A$15)</f>
        <v>1488</v>
      </c>
      <c r="K1820" s="5">
        <f>IF(D1820&lt;$E$11,H1820,0)</f>
        <v>0</v>
      </c>
      <c r="L1820">
        <f>IF(D1820&lt;$A$15,$C$11,$C$11*(1-$G$11))</f>
        <v>200</v>
      </c>
      <c r="M1820">
        <f>IF(D1820&lt;$A$15,0,1)</f>
        <v>1</v>
      </c>
    </row>
    <row r="1821" spans="4:13" x14ac:dyDescent="0.2">
      <c r="D1821">
        <f t="shared" si="109"/>
        <v>1798</v>
      </c>
      <c r="E1821" s="1">
        <f t="shared" si="107"/>
        <v>151.73107790232473</v>
      </c>
      <c r="F1821" s="1">
        <f t="shared" si="110"/>
        <v>-114.59499025167014</v>
      </c>
      <c r="G1821" s="1">
        <f t="shared" si="108"/>
        <v>1.7061927018128227E-50</v>
      </c>
      <c r="H1821" s="1">
        <f>G1821/$G$21</f>
        <v>1.1964413020113769E-51</v>
      </c>
      <c r="I1821">
        <f>IF($E$11&lt;=D1821, IF(D1821&lt;=$A$15,D1821-$E$11,$F$11),0)</f>
        <v>300</v>
      </c>
      <c r="J1821">
        <f>IF(D1821&lt;=$A$15,0,D1821-$A$15)</f>
        <v>1489</v>
      </c>
      <c r="K1821" s="5">
        <f>IF(D1821&lt;$E$11,H1821,0)</f>
        <v>0</v>
      </c>
      <c r="L1821">
        <f>IF(D1821&lt;$A$15,$C$11,$C$11*(1-$G$11))</f>
        <v>200</v>
      </c>
      <c r="M1821">
        <f>IF(D1821&lt;$A$15,0,1)</f>
        <v>1</v>
      </c>
    </row>
    <row r="1822" spans="4:13" x14ac:dyDescent="0.2">
      <c r="D1822">
        <f t="shared" si="109"/>
        <v>1799</v>
      </c>
      <c r="E1822" s="1">
        <f t="shared" si="107"/>
        <v>151.65411686118861</v>
      </c>
      <c r="F1822" s="1">
        <f t="shared" si="110"/>
        <v>-114.67195129280626</v>
      </c>
      <c r="G1822" s="1">
        <f t="shared" si="108"/>
        <v>1.579808057234115E-50</v>
      </c>
      <c r="H1822" s="1">
        <f>G1822/$G$21</f>
        <v>1.1078160203809185E-51</v>
      </c>
      <c r="I1822">
        <f>IF($E$11&lt;=D1822, IF(D1822&lt;=$A$15,D1822-$E$11,$F$11),0)</f>
        <v>300</v>
      </c>
      <c r="J1822">
        <f>IF(D1822&lt;=$A$15,0,D1822-$A$15)</f>
        <v>1490</v>
      </c>
      <c r="K1822" s="5">
        <f>IF(D1822&lt;$E$11,H1822,0)</f>
        <v>0</v>
      </c>
      <c r="L1822">
        <f>IF(D1822&lt;$A$15,$C$11,$C$11*(1-$G$11))</f>
        <v>200</v>
      </c>
      <c r="M1822">
        <f>IF(D1822&lt;$A$15,0,1)</f>
        <v>1</v>
      </c>
    </row>
    <row r="1823" spans="4:13" x14ac:dyDescent="0.2">
      <c r="D1823">
        <f t="shared" si="109"/>
        <v>1800</v>
      </c>
      <c r="E1823" s="1">
        <f t="shared" si="107"/>
        <v>151.5771558200525</v>
      </c>
      <c r="F1823" s="1">
        <f t="shared" si="110"/>
        <v>-114.74891233394237</v>
      </c>
      <c r="G1823" s="1">
        <f t="shared" si="108"/>
        <v>1.4627852381797547E-50</v>
      </c>
      <c r="H1823" s="1">
        <f>G1823/$G$21</f>
        <v>1.0257555744267894E-51</v>
      </c>
      <c r="I1823">
        <f>IF($E$11&lt;=D1823, IF(D1823&lt;=$A$15,D1823-$E$11,$F$11),0)</f>
        <v>300</v>
      </c>
      <c r="J1823">
        <f>IF(D1823&lt;=$A$15,0,D1823-$A$15)</f>
        <v>1491</v>
      </c>
      <c r="K1823" s="5">
        <f>IF(D1823&lt;$E$11,H1823,0)</f>
        <v>0</v>
      </c>
      <c r="L1823">
        <f>IF(D1823&lt;$A$15,$C$11,$C$11*(1-$G$11))</f>
        <v>200</v>
      </c>
      <c r="M1823">
        <f>IF(D1823&lt;$A$15,0,1)</f>
        <v>1</v>
      </c>
    </row>
    <row r="1824" spans="4:13" x14ac:dyDescent="0.2">
      <c r="D1824">
        <f t="shared" si="109"/>
        <v>1801</v>
      </c>
      <c r="E1824" s="1">
        <f t="shared" si="107"/>
        <v>151.50019477891638</v>
      </c>
      <c r="F1824" s="1">
        <f t="shared" si="110"/>
        <v>-114.82587337507849</v>
      </c>
      <c r="G1824" s="1">
        <f t="shared" si="108"/>
        <v>1.3544307760923824E-50</v>
      </c>
      <c r="H1824" s="1">
        <f>G1824/$G$21</f>
        <v>9.4977368002481688E-52</v>
      </c>
      <c r="I1824">
        <f>IF($E$11&lt;=D1824, IF(D1824&lt;=$A$15,D1824-$E$11,$F$11),0)</f>
        <v>300</v>
      </c>
      <c r="J1824">
        <f>IF(D1824&lt;=$A$15,0,D1824-$A$15)</f>
        <v>1492</v>
      </c>
      <c r="K1824" s="5">
        <f>IF(D1824&lt;$E$11,H1824,0)</f>
        <v>0</v>
      </c>
      <c r="L1824">
        <f>IF(D1824&lt;$A$15,$C$11,$C$11*(1-$G$11))</f>
        <v>200</v>
      </c>
      <c r="M1824">
        <f>IF(D1824&lt;$A$15,0,1)</f>
        <v>1</v>
      </c>
    </row>
    <row r="1825" spans="4:13" x14ac:dyDescent="0.2">
      <c r="D1825">
        <f t="shared" si="109"/>
        <v>1802</v>
      </c>
      <c r="E1825" s="1">
        <f t="shared" si="107"/>
        <v>151.42323373778027</v>
      </c>
      <c r="F1825" s="1">
        <f t="shared" si="110"/>
        <v>-114.9028344162146</v>
      </c>
      <c r="G1825" s="1">
        <f t="shared" si="108"/>
        <v>1.2541025704559256E-50</v>
      </c>
      <c r="H1825" s="1">
        <f>G1825/$G$21</f>
        <v>8.794200740970638E-52</v>
      </c>
      <c r="I1825">
        <f>IF($E$11&lt;=D1825, IF(D1825&lt;=$A$15,D1825-$E$11,$F$11),0)</f>
        <v>300</v>
      </c>
      <c r="J1825">
        <f>IF(D1825&lt;=$A$15,0,D1825-$A$15)</f>
        <v>1493</v>
      </c>
      <c r="K1825" s="5">
        <f>IF(D1825&lt;$E$11,H1825,0)</f>
        <v>0</v>
      </c>
      <c r="L1825">
        <f>IF(D1825&lt;$A$15,$C$11,$C$11*(1-$G$11))</f>
        <v>200</v>
      </c>
      <c r="M1825">
        <f>IF(D1825&lt;$A$15,0,1)</f>
        <v>1</v>
      </c>
    </row>
    <row r="1826" spans="4:13" x14ac:dyDescent="0.2">
      <c r="D1826">
        <f t="shared" si="109"/>
        <v>1803</v>
      </c>
      <c r="E1826" s="1">
        <f t="shared" si="107"/>
        <v>151.34627269664415</v>
      </c>
      <c r="F1826" s="1">
        <f t="shared" si="110"/>
        <v>-114.97979545735072</v>
      </c>
      <c r="G1826" s="1">
        <f t="shared" si="108"/>
        <v>1.1612060837555013E-50</v>
      </c>
      <c r="H1826" s="1">
        <f>G1826/$G$21</f>
        <v>8.1427784638618051E-52</v>
      </c>
      <c r="I1826">
        <f>IF($E$11&lt;=D1826, IF(D1826&lt;=$A$15,D1826-$E$11,$F$11),0)</f>
        <v>300</v>
      </c>
      <c r="J1826">
        <f>IF(D1826&lt;=$A$15,0,D1826-$A$15)</f>
        <v>1494</v>
      </c>
      <c r="K1826" s="5">
        <f>IF(D1826&lt;$E$11,H1826,0)</f>
        <v>0</v>
      </c>
      <c r="L1826">
        <f>IF(D1826&lt;$A$15,$C$11,$C$11*(1-$G$11))</f>
        <v>200</v>
      </c>
      <c r="M1826">
        <f>IF(D1826&lt;$A$15,0,1)</f>
        <v>1</v>
      </c>
    </row>
    <row r="1827" spans="4:13" x14ac:dyDescent="0.2">
      <c r="D1827">
        <f t="shared" si="109"/>
        <v>1804</v>
      </c>
      <c r="E1827" s="1">
        <f t="shared" si="107"/>
        <v>151.26931165550803</v>
      </c>
      <c r="F1827" s="1">
        <f t="shared" si="110"/>
        <v>-115.05675649848683</v>
      </c>
      <c r="G1827" s="1">
        <f t="shared" si="108"/>
        <v>1.0751908182921446E-50</v>
      </c>
      <c r="H1827" s="1">
        <f>G1827/$G$21</f>
        <v>7.5396096887610269E-52</v>
      </c>
      <c r="I1827">
        <f>IF($E$11&lt;=D1827, IF(D1827&lt;=$A$15,D1827-$E$11,$F$11),0)</f>
        <v>300</v>
      </c>
      <c r="J1827">
        <f>IF(D1827&lt;=$A$15,0,D1827-$A$15)</f>
        <v>1495</v>
      </c>
      <c r="K1827" s="5">
        <f>IF(D1827&lt;$E$11,H1827,0)</f>
        <v>0</v>
      </c>
      <c r="L1827">
        <f>IF(D1827&lt;$A$15,$C$11,$C$11*(1-$G$11))</f>
        <v>200</v>
      </c>
      <c r="M1827">
        <f>IF(D1827&lt;$A$15,0,1)</f>
        <v>1</v>
      </c>
    </row>
    <row r="1828" spans="4:13" x14ac:dyDescent="0.2">
      <c r="D1828">
        <f t="shared" si="109"/>
        <v>1805</v>
      </c>
      <c r="E1828" s="1">
        <f t="shared" si="107"/>
        <v>151.19235061437192</v>
      </c>
      <c r="F1828" s="1">
        <f t="shared" si="110"/>
        <v>-115.13371753962295</v>
      </c>
      <c r="G1828" s="1">
        <f t="shared" si="108"/>
        <v>9.9554705397422047E-51</v>
      </c>
      <c r="H1828" s="1">
        <f>G1828/$G$21</f>
        <v>6.9811200821862236E-52</v>
      </c>
      <c r="I1828">
        <f>IF($E$11&lt;=D1828, IF(D1828&lt;=$A$15,D1828-$E$11,$F$11),0)</f>
        <v>300</v>
      </c>
      <c r="J1828">
        <f>IF(D1828&lt;=$A$15,0,D1828-$A$15)</f>
        <v>1496</v>
      </c>
      <c r="K1828" s="5">
        <f>IF(D1828&lt;$E$11,H1828,0)</f>
        <v>0</v>
      </c>
      <c r="L1828">
        <f>IF(D1828&lt;$A$15,$C$11,$C$11*(1-$G$11))</f>
        <v>200</v>
      </c>
      <c r="M1828">
        <f>IF(D1828&lt;$A$15,0,1)</f>
        <v>1</v>
      </c>
    </row>
    <row r="1829" spans="4:13" x14ac:dyDescent="0.2">
      <c r="D1829">
        <f t="shared" si="109"/>
        <v>1806</v>
      </c>
      <c r="E1829" s="1">
        <f t="shared" si="107"/>
        <v>151.1153895732358</v>
      </c>
      <c r="F1829" s="1">
        <f t="shared" si="110"/>
        <v>-115.21067858075907</v>
      </c>
      <c r="G1829" s="1">
        <f t="shared" si="108"/>
        <v>9.2180282775391948E-51</v>
      </c>
      <c r="H1829" s="1">
        <f>G1829/$G$21</f>
        <v>6.4640000760984371E-52</v>
      </c>
      <c r="I1829">
        <f>IF($E$11&lt;=D1829, IF(D1829&lt;=$A$15,D1829-$E$11,$F$11),0)</f>
        <v>300</v>
      </c>
      <c r="J1829">
        <f>IF(D1829&lt;=$A$15,0,D1829-$A$15)</f>
        <v>1497</v>
      </c>
      <c r="K1829" s="5">
        <f>IF(D1829&lt;$E$11,H1829,0)</f>
        <v>0</v>
      </c>
      <c r="L1829">
        <f>IF(D1829&lt;$A$15,$C$11,$C$11*(1-$G$11))</f>
        <v>200</v>
      </c>
      <c r="M1829">
        <f>IF(D1829&lt;$A$15,0,1)</f>
        <v>1</v>
      </c>
    </row>
    <row r="1830" spans="4:13" x14ac:dyDescent="0.2">
      <c r="D1830">
        <f t="shared" si="109"/>
        <v>1807</v>
      </c>
      <c r="E1830" s="1">
        <f t="shared" si="107"/>
        <v>151.03842853209969</v>
      </c>
      <c r="F1830" s="1">
        <f t="shared" si="110"/>
        <v>-115.28763962189518</v>
      </c>
      <c r="G1830" s="1">
        <f t="shared" si="108"/>
        <v>8.5352113680919552E-51</v>
      </c>
      <c r="H1830" s="1">
        <f>G1830/$G$21</f>
        <v>5.9851852556467772E-52</v>
      </c>
      <c r="I1830">
        <f>IF($E$11&lt;=D1830, IF(D1830&lt;=$A$15,D1830-$E$11,$F$11),0)</f>
        <v>300</v>
      </c>
      <c r="J1830">
        <f>IF(D1830&lt;=$A$15,0,D1830-$A$15)</f>
        <v>1498</v>
      </c>
      <c r="K1830" s="5">
        <f>IF(D1830&lt;$E$11,H1830,0)</f>
        <v>0</v>
      </c>
      <c r="L1830">
        <f>IF(D1830&lt;$A$15,$C$11,$C$11*(1-$G$11))</f>
        <v>200</v>
      </c>
      <c r="M1830">
        <f>IF(D1830&lt;$A$15,0,1)</f>
        <v>1</v>
      </c>
    </row>
    <row r="1831" spans="4:13" x14ac:dyDescent="0.2">
      <c r="D1831">
        <f t="shared" si="109"/>
        <v>1808</v>
      </c>
      <c r="E1831" s="1">
        <f t="shared" si="107"/>
        <v>150.96146749096357</v>
      </c>
      <c r="F1831" s="1">
        <f t="shared" si="110"/>
        <v>-115.3646006630313</v>
      </c>
      <c r="G1831" s="1">
        <f t="shared" si="108"/>
        <v>7.9029734889741327E-51</v>
      </c>
      <c r="H1831" s="1">
        <f>G1831/$G$21</f>
        <v>5.5418381996730119E-52</v>
      </c>
      <c r="I1831">
        <f>IF($E$11&lt;=D1831, IF(D1831&lt;=$A$15,D1831-$E$11,$F$11),0)</f>
        <v>300</v>
      </c>
      <c r="J1831">
        <f>IF(D1831&lt;=$A$15,0,D1831-$A$15)</f>
        <v>1499</v>
      </c>
      <c r="K1831" s="5">
        <f>IF(D1831&lt;$E$11,H1831,0)</f>
        <v>0</v>
      </c>
      <c r="L1831">
        <f>IF(D1831&lt;$A$15,$C$11,$C$11*(1-$G$11))</f>
        <v>200</v>
      </c>
      <c r="M1831">
        <f>IF(D1831&lt;$A$15,0,1)</f>
        <v>1</v>
      </c>
    </row>
    <row r="1832" spans="4:13" x14ac:dyDescent="0.2">
      <c r="D1832">
        <f t="shared" si="109"/>
        <v>1809</v>
      </c>
      <c r="E1832" s="1">
        <f t="shared" si="107"/>
        <v>150.88450644982746</v>
      </c>
      <c r="F1832" s="1">
        <f t="shared" si="110"/>
        <v>-115.44156170416741</v>
      </c>
      <c r="G1832" s="1">
        <f t="shared" si="108"/>
        <v>7.3175680453465106E-51</v>
      </c>
      <c r="H1832" s="1">
        <f>G1832/$G$21</f>
        <v>5.1313316663639636E-52</v>
      </c>
      <c r="I1832">
        <f>IF($E$11&lt;=D1832, IF(D1832&lt;=$A$15,D1832-$E$11,$F$11),0)</f>
        <v>300</v>
      </c>
      <c r="J1832">
        <f>IF(D1832&lt;=$A$15,0,D1832-$A$15)</f>
        <v>1500</v>
      </c>
      <c r="K1832" s="5">
        <f>IF(D1832&lt;$E$11,H1832,0)</f>
        <v>0</v>
      </c>
      <c r="L1832">
        <f>IF(D1832&lt;$A$15,$C$11,$C$11*(1-$G$11))</f>
        <v>200</v>
      </c>
      <c r="M1832">
        <f>IF(D1832&lt;$A$15,0,1)</f>
        <v>1</v>
      </c>
    </row>
    <row r="1833" spans="4:13" x14ac:dyDescent="0.2">
      <c r="D1833">
        <f t="shared" si="109"/>
        <v>1810</v>
      </c>
      <c r="E1833" s="1">
        <f t="shared" si="107"/>
        <v>150.80754540869134</v>
      </c>
      <c r="F1833" s="1">
        <f t="shared" si="110"/>
        <v>-115.51852274530353</v>
      </c>
      <c r="G1833" s="1">
        <f t="shared" si="108"/>
        <v>6.7755259679135213E-51</v>
      </c>
      <c r="H1833" s="1">
        <f>G1833/$G$21</f>
        <v>4.7512330244111375E-52</v>
      </c>
      <c r="I1833">
        <f>IF($E$11&lt;=D1833, IF(D1833&lt;=$A$15,D1833-$E$11,$F$11),0)</f>
        <v>300</v>
      </c>
      <c r="J1833">
        <f>IF(D1833&lt;=$A$15,0,D1833-$A$15)</f>
        <v>1501</v>
      </c>
      <c r="K1833" s="5">
        <f>IF(D1833&lt;$E$11,H1833,0)</f>
        <v>0</v>
      </c>
      <c r="L1833">
        <f>IF(D1833&lt;$A$15,$C$11,$C$11*(1-$G$11))</f>
        <v>200</v>
      </c>
      <c r="M1833">
        <f>IF(D1833&lt;$A$15,0,1)</f>
        <v>1</v>
      </c>
    </row>
    <row r="1834" spans="4:13" x14ac:dyDescent="0.2">
      <c r="D1834">
        <f t="shared" si="109"/>
        <v>1811</v>
      </c>
      <c r="E1834" s="1">
        <f t="shared" si="107"/>
        <v>150.73058436755522</v>
      </c>
      <c r="F1834" s="1">
        <f t="shared" si="110"/>
        <v>-115.59548378643964</v>
      </c>
      <c r="G1834" s="1">
        <f t="shared" si="108"/>
        <v>6.273635155475562E-51</v>
      </c>
      <c r="H1834" s="1">
        <f>G1834/$G$21</f>
        <v>4.3992898374177756E-52</v>
      </c>
      <c r="I1834">
        <f>IF($E$11&lt;=D1834, IF(D1834&lt;=$A$15,D1834-$E$11,$F$11),0)</f>
        <v>300</v>
      </c>
      <c r="J1834">
        <f>IF(D1834&lt;=$A$15,0,D1834-$A$15)</f>
        <v>1502</v>
      </c>
      <c r="K1834" s="5">
        <f>IF(D1834&lt;$E$11,H1834,0)</f>
        <v>0</v>
      </c>
      <c r="L1834">
        <f>IF(D1834&lt;$A$15,$C$11,$C$11*(1-$G$11))</f>
        <v>200</v>
      </c>
      <c r="M1834">
        <f>IF(D1834&lt;$A$15,0,1)</f>
        <v>1</v>
      </c>
    </row>
    <row r="1835" spans="4:13" x14ac:dyDescent="0.2">
      <c r="D1835">
        <f t="shared" si="109"/>
        <v>1812</v>
      </c>
      <c r="E1835" s="1">
        <f t="shared" si="107"/>
        <v>150.65362332641911</v>
      </c>
      <c r="F1835" s="1">
        <f t="shared" si="110"/>
        <v>-115.67244482757576</v>
      </c>
      <c r="G1835" s="1">
        <f t="shared" si="108"/>
        <v>5.8089214402552234E-51</v>
      </c>
      <c r="H1835" s="1">
        <f>G1835/$G$21</f>
        <v>4.0734165161276215E-52</v>
      </c>
      <c r="I1835">
        <f>IF($E$11&lt;=D1835, IF(D1835&lt;=$A$15,D1835-$E$11,$F$11),0)</f>
        <v>300</v>
      </c>
      <c r="J1835">
        <f>IF(D1835&lt;=$A$15,0,D1835-$A$15)</f>
        <v>1503</v>
      </c>
      <c r="K1835" s="5">
        <f>IF(D1835&lt;$E$11,H1835,0)</f>
        <v>0</v>
      </c>
      <c r="L1835">
        <f>IF(D1835&lt;$A$15,$C$11,$C$11*(1-$G$11))</f>
        <v>200</v>
      </c>
      <c r="M1835">
        <f>IF(D1835&lt;$A$15,0,1)</f>
        <v>1</v>
      </c>
    </row>
    <row r="1836" spans="4:13" x14ac:dyDescent="0.2">
      <c r="D1836">
        <f t="shared" si="109"/>
        <v>1813</v>
      </c>
      <c r="E1836" s="1">
        <f t="shared" si="107"/>
        <v>150.57666228528299</v>
      </c>
      <c r="F1836" s="1">
        <f t="shared" si="110"/>
        <v>-115.74940586871188</v>
      </c>
      <c r="G1836" s="1">
        <f t="shared" si="108"/>
        <v>5.37863096319935E-51</v>
      </c>
      <c r="H1836" s="1">
        <f>G1836/$G$21</f>
        <v>3.771681959377476E-52</v>
      </c>
      <c r="I1836">
        <f>IF($E$11&lt;=D1836, IF(D1836&lt;=$A$15,D1836-$E$11,$F$11),0)</f>
        <v>300</v>
      </c>
      <c r="J1836">
        <f>IF(D1836&lt;=$A$15,0,D1836-$A$15)</f>
        <v>1504</v>
      </c>
      <c r="K1836" s="5">
        <f>IF(D1836&lt;$E$11,H1836,0)</f>
        <v>0</v>
      </c>
      <c r="L1836">
        <f>IF(D1836&lt;$A$15,$C$11,$C$11*(1-$G$11))</f>
        <v>200</v>
      </c>
      <c r="M1836">
        <f>IF(D1836&lt;$A$15,0,1)</f>
        <v>1</v>
      </c>
    </row>
    <row r="1837" spans="4:13" x14ac:dyDescent="0.2">
      <c r="D1837">
        <f t="shared" si="109"/>
        <v>1814</v>
      </c>
      <c r="E1837" s="1">
        <f t="shared" si="107"/>
        <v>150.49970124414688</v>
      </c>
      <c r="F1837" s="1">
        <f t="shared" si="110"/>
        <v>-115.82636690984799</v>
      </c>
      <c r="G1837" s="1">
        <f t="shared" si="108"/>
        <v>4.9802138548142755E-51</v>
      </c>
      <c r="H1837" s="1">
        <f>G1837/$G$21</f>
        <v>3.4922981105347437E-52</v>
      </c>
      <c r="I1837">
        <f>IF($E$11&lt;=D1837, IF(D1837&lt;=$A$15,D1837-$E$11,$F$11),0)</f>
        <v>300</v>
      </c>
      <c r="J1837">
        <f>IF(D1837&lt;=$A$15,0,D1837-$A$15)</f>
        <v>1505</v>
      </c>
      <c r="K1837" s="5">
        <f>IF(D1837&lt;$E$11,H1837,0)</f>
        <v>0</v>
      </c>
      <c r="L1837">
        <f>IF(D1837&lt;$A$15,$C$11,$C$11*(1-$G$11))</f>
        <v>200</v>
      </c>
      <c r="M1837">
        <f>IF(D1837&lt;$A$15,0,1)</f>
        <v>1</v>
      </c>
    </row>
    <row r="1838" spans="4:13" x14ac:dyDescent="0.2">
      <c r="D1838">
        <f t="shared" si="109"/>
        <v>1815</v>
      </c>
      <c r="E1838" s="1">
        <f t="shared" si="107"/>
        <v>150.42274020301076</v>
      </c>
      <c r="F1838" s="1">
        <f t="shared" si="110"/>
        <v>-115.90332795098411</v>
      </c>
      <c r="G1838" s="1">
        <f t="shared" si="108"/>
        <v>4.6113091248280912E-51</v>
      </c>
      <c r="H1838" s="1">
        <f>G1838/$G$21</f>
        <v>3.233609361606285E-52</v>
      </c>
      <c r="I1838">
        <f>IF($E$11&lt;=D1838, IF(D1838&lt;=$A$15,D1838-$E$11,$F$11),0)</f>
        <v>300</v>
      </c>
      <c r="J1838">
        <f>IF(D1838&lt;=$A$15,0,D1838-$A$15)</f>
        <v>1506</v>
      </c>
      <c r="K1838" s="5">
        <f>IF(D1838&lt;$E$11,H1838,0)</f>
        <v>0</v>
      </c>
      <c r="L1838">
        <f>IF(D1838&lt;$A$15,$C$11,$C$11*(1-$G$11))</f>
        <v>200</v>
      </c>
      <c r="M1838">
        <f>IF(D1838&lt;$A$15,0,1)</f>
        <v>1</v>
      </c>
    </row>
    <row r="1839" spans="4:13" x14ac:dyDescent="0.2">
      <c r="D1839">
        <f t="shared" si="109"/>
        <v>1816</v>
      </c>
      <c r="E1839" s="1">
        <f t="shared" si="107"/>
        <v>150.34577916187465</v>
      </c>
      <c r="F1839" s="1">
        <f t="shared" si="110"/>
        <v>-115.98028899212022</v>
      </c>
      <c r="G1839" s="1">
        <f t="shared" si="108"/>
        <v>4.2697306711371752E-51</v>
      </c>
      <c r="H1839" s="1">
        <f>G1839/$G$21</f>
        <v>2.9940827422280795E-52</v>
      </c>
      <c r="I1839">
        <f>IF($E$11&lt;=D1839, IF(D1839&lt;=$A$15,D1839-$E$11,$F$11),0)</f>
        <v>300</v>
      </c>
      <c r="J1839">
        <f>IF(D1839&lt;=$A$15,0,D1839-$A$15)</f>
        <v>1507</v>
      </c>
      <c r="K1839" s="5">
        <f>IF(D1839&lt;$E$11,H1839,0)</f>
        <v>0</v>
      </c>
      <c r="L1839">
        <f>IF(D1839&lt;$A$15,$C$11,$C$11*(1-$G$11))</f>
        <v>200</v>
      </c>
      <c r="M1839">
        <f>IF(D1839&lt;$A$15,0,1)</f>
        <v>1</v>
      </c>
    </row>
    <row r="1840" spans="4:13" x14ac:dyDescent="0.2">
      <c r="D1840">
        <f t="shared" si="109"/>
        <v>1817</v>
      </c>
      <c r="E1840" s="1">
        <f t="shared" si="107"/>
        <v>150.26881812073853</v>
      </c>
      <c r="F1840" s="1">
        <f t="shared" si="110"/>
        <v>-116.05725003325634</v>
      </c>
      <c r="G1840" s="1">
        <f t="shared" si="108"/>
        <v>3.9534543251270643E-51</v>
      </c>
      <c r="H1840" s="1">
        <f>G1840/$G$21</f>
        <v>2.772298835396405E-52</v>
      </c>
      <c r="I1840">
        <f>IF($E$11&lt;=D1840, IF(D1840&lt;=$A$15,D1840-$E$11,$F$11),0)</f>
        <v>300</v>
      </c>
      <c r="J1840">
        <f>IF(D1840&lt;=$A$15,0,D1840-$A$15)</f>
        <v>1508</v>
      </c>
      <c r="K1840" s="5">
        <f>IF(D1840&lt;$E$11,H1840,0)</f>
        <v>0</v>
      </c>
      <c r="L1840">
        <f>IF(D1840&lt;$A$15,$C$11,$C$11*(1-$G$11))</f>
        <v>200</v>
      </c>
      <c r="M1840">
        <f>IF(D1840&lt;$A$15,0,1)</f>
        <v>1</v>
      </c>
    </row>
    <row r="1841" spans="4:13" x14ac:dyDescent="0.2">
      <c r="D1841">
        <f t="shared" si="109"/>
        <v>1818</v>
      </c>
      <c r="E1841" s="1">
        <f t="shared" si="107"/>
        <v>150.19185707960241</v>
      </c>
      <c r="F1841" s="1">
        <f t="shared" si="110"/>
        <v>-116.13421107439245</v>
      </c>
      <c r="G1841" s="1">
        <f t="shared" si="108"/>
        <v>3.6606058565991797E-51</v>
      </c>
      <c r="H1841" s="1">
        <f>G1841/$G$21</f>
        <v>2.5669433661078149E-52</v>
      </c>
      <c r="I1841">
        <f>IF($E$11&lt;=D1841, IF(D1841&lt;=$A$15,D1841-$E$11,$F$11),0)</f>
        <v>300</v>
      </c>
      <c r="J1841">
        <f>IF(D1841&lt;=$A$15,0,D1841-$A$15)</f>
        <v>1509</v>
      </c>
      <c r="K1841" s="5">
        <f>IF(D1841&lt;$E$11,H1841,0)</f>
        <v>0</v>
      </c>
      <c r="L1841">
        <f>IF(D1841&lt;$A$15,$C$11,$C$11*(1-$G$11))</f>
        <v>200</v>
      </c>
      <c r="M1841">
        <f>IF(D1841&lt;$A$15,0,1)</f>
        <v>1</v>
      </c>
    </row>
    <row r="1842" spans="4:13" x14ac:dyDescent="0.2">
      <c r="D1842">
        <f t="shared" si="109"/>
        <v>1819</v>
      </c>
      <c r="E1842" s="1">
        <f t="shared" si="107"/>
        <v>150.1148960384663</v>
      </c>
      <c r="F1842" s="1">
        <f t="shared" si="110"/>
        <v>-116.21117211552857</v>
      </c>
      <c r="G1842" s="1">
        <f t="shared" si="108"/>
        <v>3.3894498672215056E-51</v>
      </c>
      <c r="H1842" s="1">
        <f>G1842/$G$21</f>
        <v>2.3767994130628215E-52</v>
      </c>
      <c r="I1842">
        <f>IF($E$11&lt;=D1842, IF(D1842&lt;=$A$15,D1842-$E$11,$F$11),0)</f>
        <v>300</v>
      </c>
      <c r="J1842">
        <f>IF(D1842&lt;=$A$15,0,D1842-$A$15)</f>
        <v>1510</v>
      </c>
      <c r="K1842" s="5">
        <f>IF(D1842&lt;$E$11,H1842,0)</f>
        <v>0</v>
      </c>
      <c r="L1842">
        <f>IF(D1842&lt;$A$15,$C$11,$C$11*(1-$G$11))</f>
        <v>200</v>
      </c>
      <c r="M1842">
        <f>IF(D1842&lt;$A$15,0,1)</f>
        <v>1</v>
      </c>
    </row>
    <row r="1843" spans="4:13" x14ac:dyDescent="0.2">
      <c r="D1843">
        <f t="shared" si="109"/>
        <v>1820</v>
      </c>
      <c r="E1843" s="1">
        <f t="shared" si="107"/>
        <v>150.03793499733018</v>
      </c>
      <c r="F1843" s="1">
        <f t="shared" si="110"/>
        <v>-116.28813315666468</v>
      </c>
      <c r="G1843" s="1">
        <f t="shared" si="108"/>
        <v>3.1383795066866187E-51</v>
      </c>
      <c r="H1843" s="1">
        <f>G1843/$G$21</f>
        <v>2.2007401972804181E-52</v>
      </c>
      <c r="I1843">
        <f>IF($E$11&lt;=D1843, IF(D1843&lt;=$A$15,D1843-$E$11,$F$11),0)</f>
        <v>300</v>
      </c>
      <c r="J1843">
        <f>IF(D1843&lt;=$A$15,0,D1843-$A$15)</f>
        <v>1511</v>
      </c>
      <c r="K1843" s="5">
        <f>IF(D1843&lt;$E$11,H1843,0)</f>
        <v>0</v>
      </c>
      <c r="L1843">
        <f>IF(D1843&lt;$A$15,$C$11,$C$11*(1-$G$11))</f>
        <v>200</v>
      </c>
      <c r="M1843">
        <f>IF(D1843&lt;$A$15,0,1)</f>
        <v>1</v>
      </c>
    </row>
    <row r="1844" spans="4:13" x14ac:dyDescent="0.2">
      <c r="D1844">
        <f t="shared" si="109"/>
        <v>1821</v>
      </c>
      <c r="E1844" s="1">
        <f t="shared" si="107"/>
        <v>149.96097395619407</v>
      </c>
      <c r="F1844" s="1">
        <f t="shared" si="110"/>
        <v>-116.3650941978008</v>
      </c>
      <c r="G1844" s="1">
        <f t="shared" si="108"/>
        <v>2.9059069506357948E-51</v>
      </c>
      <c r="H1844" s="1">
        <f>G1844/$G$21</f>
        <v>2.0377224048893019E-52</v>
      </c>
      <c r="I1844">
        <f>IF($E$11&lt;=D1844, IF(D1844&lt;=$A$15,D1844-$E$11,$F$11),0)</f>
        <v>300</v>
      </c>
      <c r="J1844">
        <f>IF(D1844&lt;=$A$15,0,D1844-$A$15)</f>
        <v>1512</v>
      </c>
      <c r="K1844" s="5">
        <f>IF(D1844&lt;$E$11,H1844,0)</f>
        <v>0</v>
      </c>
      <c r="L1844">
        <f>IF(D1844&lt;$A$15,$C$11,$C$11*(1-$G$11))</f>
        <v>200</v>
      </c>
      <c r="M1844">
        <f>IF(D1844&lt;$A$15,0,1)</f>
        <v>1</v>
      </c>
    </row>
    <row r="1845" spans="4:13" x14ac:dyDescent="0.2">
      <c r="D1845">
        <f t="shared" si="109"/>
        <v>1822</v>
      </c>
      <c r="E1845" s="1">
        <f t="shared" si="107"/>
        <v>149.88401291505795</v>
      </c>
      <c r="F1845" s="1">
        <f t="shared" si="110"/>
        <v>-116.44205523893692</v>
      </c>
      <c r="G1845" s="1">
        <f t="shared" si="108"/>
        <v>2.6906545839220666E-51</v>
      </c>
      <c r="H1845" s="1">
        <f>G1845/$G$21</f>
        <v>1.8867800045271553E-52</v>
      </c>
      <c r="I1845">
        <f>IF($E$11&lt;=D1845, IF(D1845&lt;=$A$15,D1845-$E$11,$F$11),0)</f>
        <v>300</v>
      </c>
      <c r="J1845">
        <f>IF(D1845&lt;=$A$15,0,D1845-$A$15)</f>
        <v>1513</v>
      </c>
      <c r="K1845" s="5">
        <f>IF(D1845&lt;$E$11,H1845,0)</f>
        <v>0</v>
      </c>
      <c r="L1845">
        <f>IF(D1845&lt;$A$15,$C$11,$C$11*(1-$G$11))</f>
        <v>200</v>
      </c>
      <c r="M1845">
        <f>IF(D1845&lt;$A$15,0,1)</f>
        <v>1</v>
      </c>
    </row>
    <row r="1846" spans="4:13" x14ac:dyDescent="0.2">
      <c r="D1846">
        <f t="shared" si="109"/>
        <v>1823</v>
      </c>
      <c r="E1846" s="1">
        <f t="shared" si="107"/>
        <v>149.80705187392184</v>
      </c>
      <c r="F1846" s="1">
        <f t="shared" si="110"/>
        <v>-116.51901628007303</v>
      </c>
      <c r="G1846" s="1">
        <f t="shared" si="108"/>
        <v>2.4913468369649077E-51</v>
      </c>
      <c r="H1846" s="1">
        <f>G1846/$G$21</f>
        <v>1.7470185227103509E-52</v>
      </c>
      <c r="I1846">
        <f>IF($E$11&lt;=D1846, IF(D1846&lt;=$A$15,D1846-$E$11,$F$11),0)</f>
        <v>300</v>
      </c>
      <c r="J1846">
        <f>IF(D1846&lt;=$A$15,0,D1846-$A$15)</f>
        <v>1514</v>
      </c>
      <c r="K1846" s="5">
        <f>IF(D1846&lt;$E$11,H1846,0)</f>
        <v>0</v>
      </c>
      <c r="L1846">
        <f>IF(D1846&lt;$A$15,$C$11,$C$11*(1-$G$11))</f>
        <v>200</v>
      </c>
      <c r="M1846">
        <f>IF(D1846&lt;$A$15,0,1)</f>
        <v>1</v>
      </c>
    </row>
    <row r="1847" spans="4:13" x14ac:dyDescent="0.2">
      <c r="D1847">
        <f t="shared" si="109"/>
        <v>1824</v>
      </c>
      <c r="E1847" s="1">
        <f t="shared" si="107"/>
        <v>149.73009083278572</v>
      </c>
      <c r="F1847" s="1">
        <f t="shared" si="110"/>
        <v>-116.59597732120915</v>
      </c>
      <c r="G1847" s="1">
        <f t="shared" si="108"/>
        <v>2.3068026268193884E-51</v>
      </c>
      <c r="H1847" s="1">
        <f>G1847/$G$21</f>
        <v>1.6176097432503455E-52</v>
      </c>
      <c r="I1847">
        <f>IF($E$11&lt;=D1847, IF(D1847&lt;=$A$15,D1847-$E$11,$F$11),0)</f>
        <v>300</v>
      </c>
      <c r="J1847">
        <f>IF(D1847&lt;=$A$15,0,D1847-$A$15)</f>
        <v>1515</v>
      </c>
      <c r="K1847" s="5">
        <f>IF(D1847&lt;$E$11,H1847,0)</f>
        <v>0</v>
      </c>
      <c r="L1847">
        <f>IF(D1847&lt;$A$15,$C$11,$C$11*(1-$G$11))</f>
        <v>200</v>
      </c>
      <c r="M1847">
        <f>IF(D1847&lt;$A$15,0,1)</f>
        <v>1</v>
      </c>
    </row>
    <row r="1848" spans="4:13" x14ac:dyDescent="0.2">
      <c r="D1848">
        <f t="shared" si="109"/>
        <v>1825</v>
      </c>
      <c r="E1848" s="1">
        <f t="shared" si="107"/>
        <v>149.6531297916496</v>
      </c>
      <c r="F1848" s="1">
        <f t="shared" si="110"/>
        <v>-116.67293836234526</v>
      </c>
      <c r="G1848" s="1">
        <f t="shared" si="108"/>
        <v>2.1359283581661274E-51</v>
      </c>
      <c r="H1848" s="1">
        <f>G1848/$G$21</f>
        <v>1.4977867993058943E-52</v>
      </c>
      <c r="I1848">
        <f>IF($E$11&lt;=D1848, IF(D1848&lt;=$A$15,D1848-$E$11,$F$11),0)</f>
        <v>300</v>
      </c>
      <c r="J1848">
        <f>IF(D1848&lt;=$A$15,0,D1848-$A$15)</f>
        <v>1516</v>
      </c>
      <c r="K1848" s="5">
        <f>IF(D1848&lt;$E$11,H1848,0)</f>
        <v>0</v>
      </c>
      <c r="L1848">
        <f>IF(D1848&lt;$A$15,$C$11,$C$11*(1-$G$11))</f>
        <v>200</v>
      </c>
      <c r="M1848">
        <f>IF(D1848&lt;$A$15,0,1)</f>
        <v>1</v>
      </c>
    </row>
    <row r="1849" spans="4:13" x14ac:dyDescent="0.2">
      <c r="D1849">
        <f t="shared" si="109"/>
        <v>1826</v>
      </c>
      <c r="E1849" s="1">
        <f t="shared" si="107"/>
        <v>149.57616875051349</v>
      </c>
      <c r="F1849" s="1">
        <f t="shared" si="110"/>
        <v>-116.74989940348138</v>
      </c>
      <c r="G1849" s="1">
        <f t="shared" si="108"/>
        <v>1.9777114427464391E-51</v>
      </c>
      <c r="H1849" s="1">
        <f>G1849/$G$21</f>
        <v>1.3868396289869568E-52</v>
      </c>
      <c r="I1849">
        <f>IF($E$11&lt;=D1849, IF(D1849&lt;=$A$15,D1849-$E$11,$F$11),0)</f>
        <v>300</v>
      </c>
      <c r="J1849">
        <f>IF(D1849&lt;=$A$15,0,D1849-$A$15)</f>
        <v>1517</v>
      </c>
      <c r="K1849" s="5">
        <f>IF(D1849&lt;$E$11,H1849,0)</f>
        <v>0</v>
      </c>
      <c r="L1849">
        <f>IF(D1849&lt;$A$15,$C$11,$C$11*(1-$G$11))</f>
        <v>200</v>
      </c>
      <c r="M1849">
        <f>IF(D1849&lt;$A$15,0,1)</f>
        <v>1</v>
      </c>
    </row>
    <row r="1850" spans="4:13" x14ac:dyDescent="0.2">
      <c r="D1850">
        <f t="shared" si="109"/>
        <v>1827</v>
      </c>
      <c r="E1850" s="1">
        <f t="shared" si="107"/>
        <v>149.49920770937737</v>
      </c>
      <c r="F1850" s="1">
        <f t="shared" si="110"/>
        <v>-116.82686044461749</v>
      </c>
      <c r="G1850" s="1">
        <f t="shared" si="108"/>
        <v>1.8312142988393188E-51</v>
      </c>
      <c r="H1850" s="1">
        <f>G1850/$G$21</f>
        <v>1.2841107675805319E-52</v>
      </c>
      <c r="I1850">
        <f>IF($E$11&lt;=D1850, IF(D1850&lt;=$A$15,D1850-$E$11,$F$11),0)</f>
        <v>300</v>
      </c>
      <c r="J1850">
        <f>IF(D1850&lt;=$A$15,0,D1850-$A$15)</f>
        <v>1518</v>
      </c>
      <c r="K1850" s="5">
        <f>IF(D1850&lt;$E$11,H1850,0)</f>
        <v>0</v>
      </c>
      <c r="L1850">
        <f>IF(D1850&lt;$A$15,$C$11,$C$11*(1-$G$11))</f>
        <v>200</v>
      </c>
      <c r="M1850">
        <f>IF(D1850&lt;$A$15,0,1)</f>
        <v>1</v>
      </c>
    </row>
    <row r="1851" spans="4:13" x14ac:dyDescent="0.2">
      <c r="D1851">
        <f t="shared" si="109"/>
        <v>1828</v>
      </c>
      <c r="E1851" s="1">
        <f t="shared" si="107"/>
        <v>149.42224666824126</v>
      </c>
      <c r="F1851" s="1">
        <f t="shared" si="110"/>
        <v>-116.90382148575361</v>
      </c>
      <c r="G1851" s="1">
        <f t="shared" si="108"/>
        <v>1.6955687952216127E-51</v>
      </c>
      <c r="H1851" s="1">
        <f>G1851/$G$21</f>
        <v>1.1889914514634704E-52</v>
      </c>
      <c r="I1851">
        <f>IF($E$11&lt;=D1851, IF(D1851&lt;=$A$15,D1851-$E$11,$F$11),0)</f>
        <v>300</v>
      </c>
      <c r="J1851">
        <f>IF(D1851&lt;=$A$15,0,D1851-$A$15)</f>
        <v>1519</v>
      </c>
      <c r="K1851" s="5">
        <f>IF(D1851&lt;$E$11,H1851,0)</f>
        <v>0</v>
      </c>
      <c r="L1851">
        <f>IF(D1851&lt;$A$15,$C$11,$C$11*(1-$G$11))</f>
        <v>200</v>
      </c>
      <c r="M1851">
        <f>IF(D1851&lt;$A$15,0,1)</f>
        <v>1</v>
      </c>
    </row>
    <row r="1852" spans="4:13" x14ac:dyDescent="0.2">
      <c r="D1852">
        <f t="shared" si="109"/>
        <v>1829</v>
      </c>
      <c r="E1852" s="1">
        <f t="shared" si="107"/>
        <v>149.34528562710514</v>
      </c>
      <c r="F1852" s="1">
        <f t="shared" si="110"/>
        <v>-116.98078252688973</v>
      </c>
      <c r="G1852" s="1">
        <f t="shared" si="108"/>
        <v>1.5699711066866984E-51</v>
      </c>
      <c r="H1852" s="1">
        <f>G1852/$G$21</f>
        <v>1.1009180106143384E-52</v>
      </c>
      <c r="I1852">
        <f>IF($E$11&lt;=D1852, IF(D1852&lt;=$A$15,D1852-$E$11,$F$11),0)</f>
        <v>300</v>
      </c>
      <c r="J1852">
        <f>IF(D1852&lt;=$A$15,0,D1852-$A$15)</f>
        <v>1520</v>
      </c>
      <c r="K1852" s="5">
        <f>IF(D1852&lt;$E$11,H1852,0)</f>
        <v>0</v>
      </c>
      <c r="L1852">
        <f>IF(D1852&lt;$A$15,$C$11,$C$11*(1-$G$11))</f>
        <v>200</v>
      </c>
      <c r="M1852">
        <f>IF(D1852&lt;$A$15,0,1)</f>
        <v>1</v>
      </c>
    </row>
    <row r="1853" spans="4:13" x14ac:dyDescent="0.2">
      <c r="D1853">
        <f t="shared" si="109"/>
        <v>1830</v>
      </c>
      <c r="E1853" s="1">
        <f t="shared" si="107"/>
        <v>149.26832458596903</v>
      </c>
      <c r="F1853" s="1">
        <f t="shared" si="110"/>
        <v>-117.05774356802584</v>
      </c>
      <c r="G1853" s="1">
        <f t="shared" si="108"/>
        <v>1.4536769506358502E-51</v>
      </c>
      <c r="H1853" s="1">
        <f>G1853/$G$21</f>
        <v>1.0193685283466224E-52</v>
      </c>
      <c r="I1853">
        <f>IF($E$11&lt;=D1853, IF(D1853&lt;=$A$15,D1853-$E$11,$F$11),0)</f>
        <v>300</v>
      </c>
      <c r="J1853">
        <f>IF(D1853&lt;=$A$15,0,D1853-$A$15)</f>
        <v>1521</v>
      </c>
      <c r="K1853" s="5">
        <f>IF(D1853&lt;$E$11,H1853,0)</f>
        <v>0</v>
      </c>
      <c r="L1853">
        <f>IF(D1853&lt;$A$15,$C$11,$C$11*(1-$G$11))</f>
        <v>200</v>
      </c>
      <c r="M1853">
        <f>IF(D1853&lt;$A$15,0,1)</f>
        <v>1</v>
      </c>
    </row>
    <row r="1854" spans="4:13" x14ac:dyDescent="0.2">
      <c r="D1854">
        <f t="shared" si="109"/>
        <v>1831</v>
      </c>
      <c r="E1854" s="1">
        <f t="shared" si="107"/>
        <v>149.19136354483291</v>
      </c>
      <c r="F1854" s="1">
        <f t="shared" si="110"/>
        <v>-117.13470460916196</v>
      </c>
      <c r="G1854" s="1">
        <f t="shared" si="108"/>
        <v>1.3459971765146931E-51</v>
      </c>
      <c r="H1854" s="1">
        <f>G1854/$G$21</f>
        <v>9.4385974846910672E-53</v>
      </c>
      <c r="I1854">
        <f>IF($E$11&lt;=D1854, IF(D1854&lt;=$A$15,D1854-$E$11,$F$11),0)</f>
        <v>300</v>
      </c>
      <c r="J1854">
        <f>IF(D1854&lt;=$A$15,0,D1854-$A$15)</f>
        <v>1522</v>
      </c>
      <c r="K1854" s="5">
        <f>IF(D1854&lt;$E$11,H1854,0)</f>
        <v>0</v>
      </c>
      <c r="L1854">
        <f>IF(D1854&lt;$A$15,$C$11,$C$11*(1-$G$11))</f>
        <v>200</v>
      </c>
      <c r="M1854">
        <f>IF(D1854&lt;$A$15,0,1)</f>
        <v>1</v>
      </c>
    </row>
    <row r="1855" spans="4:13" x14ac:dyDescent="0.2">
      <c r="D1855">
        <f t="shared" si="109"/>
        <v>1832</v>
      </c>
      <c r="E1855" s="1">
        <f t="shared" si="107"/>
        <v>149.11440250369679</v>
      </c>
      <c r="F1855" s="1">
        <f t="shared" si="110"/>
        <v>-117.21166565029807</v>
      </c>
      <c r="G1855" s="1">
        <f t="shared" si="108"/>
        <v>1.2462936819580649E-51</v>
      </c>
      <c r="H1855" s="1">
        <f>G1855/$G$21</f>
        <v>8.7394421154548029E-53</v>
      </c>
      <c r="I1855">
        <f>IF($E$11&lt;=D1855, IF(D1855&lt;=$A$15,D1855-$E$11,$F$11),0)</f>
        <v>300</v>
      </c>
      <c r="J1855">
        <f>IF(D1855&lt;=$A$15,0,D1855-$A$15)</f>
        <v>1523</v>
      </c>
      <c r="K1855" s="5">
        <f>IF(D1855&lt;$E$11,H1855,0)</f>
        <v>0</v>
      </c>
      <c r="L1855">
        <f>IF(D1855&lt;$A$15,$C$11,$C$11*(1-$G$11))</f>
        <v>200</v>
      </c>
      <c r="M1855">
        <f>IF(D1855&lt;$A$15,0,1)</f>
        <v>1</v>
      </c>
    </row>
    <row r="1856" spans="4:13" x14ac:dyDescent="0.2">
      <c r="D1856">
        <f t="shared" si="109"/>
        <v>1833</v>
      </c>
      <c r="E1856" s="1">
        <f t="shared" si="107"/>
        <v>149.03744146256068</v>
      </c>
      <c r="F1856" s="1">
        <f t="shared" si="110"/>
        <v>-117.28862669143419</v>
      </c>
      <c r="G1856" s="1">
        <f t="shared" si="108"/>
        <v>1.1539756314426673E-51</v>
      </c>
      <c r="H1856" s="1">
        <f>G1856/$G$21</f>
        <v>8.0920760328286228E-53</v>
      </c>
      <c r="I1856">
        <f>IF($E$11&lt;=D1856, IF(D1856&lt;=$A$15,D1856-$E$11,$F$11),0)</f>
        <v>300</v>
      </c>
      <c r="J1856">
        <f>IF(D1856&lt;=$A$15,0,D1856-$A$15)</f>
        <v>1524</v>
      </c>
      <c r="K1856" s="5">
        <f>IF(D1856&lt;$E$11,H1856,0)</f>
        <v>0</v>
      </c>
      <c r="L1856">
        <f>IF(D1856&lt;$A$15,$C$11,$C$11*(1-$G$11))</f>
        <v>200</v>
      </c>
      <c r="M1856">
        <f>IF(D1856&lt;$A$15,0,1)</f>
        <v>1</v>
      </c>
    </row>
    <row r="1857" spans="4:13" x14ac:dyDescent="0.2">
      <c r="D1857">
        <f t="shared" si="109"/>
        <v>1834</v>
      </c>
      <c r="E1857" s="1">
        <f t="shared" si="107"/>
        <v>148.96048042142456</v>
      </c>
      <c r="F1857" s="1">
        <f t="shared" si="110"/>
        <v>-117.3655877325703</v>
      </c>
      <c r="G1857" s="1">
        <f t="shared" si="108"/>
        <v>1.0684959550395203E-51</v>
      </c>
      <c r="H1857" s="1">
        <f>G1857/$G$21</f>
        <v>7.4926629933599316E-53</v>
      </c>
      <c r="I1857">
        <f>IF($E$11&lt;=D1857, IF(D1857&lt;=$A$15,D1857-$E$11,$F$11),0)</f>
        <v>300</v>
      </c>
      <c r="J1857">
        <f>IF(D1857&lt;=$A$15,0,D1857-$A$15)</f>
        <v>1525</v>
      </c>
      <c r="K1857" s="5">
        <f>IF(D1857&lt;$E$11,H1857,0)</f>
        <v>0</v>
      </c>
      <c r="L1857">
        <f>IF(D1857&lt;$A$15,$C$11,$C$11*(1-$G$11))</f>
        <v>200</v>
      </c>
      <c r="M1857">
        <f>IF(D1857&lt;$A$15,0,1)</f>
        <v>1</v>
      </c>
    </row>
    <row r="1858" spans="4:13" x14ac:dyDescent="0.2">
      <c r="D1858">
        <f t="shared" si="109"/>
        <v>1835</v>
      </c>
      <c r="E1858" s="1">
        <f t="shared" si="107"/>
        <v>148.88351938028845</v>
      </c>
      <c r="F1858" s="1">
        <f t="shared" si="110"/>
        <v>-117.44254877370642</v>
      </c>
      <c r="G1858" s="1">
        <f t="shared" si="108"/>
        <v>9.8934810651808686E-52</v>
      </c>
      <c r="H1858" s="1">
        <f>G1858/$G$21</f>
        <v>6.937650919777802E-53</v>
      </c>
      <c r="I1858">
        <f>IF($E$11&lt;=D1858, IF(D1858&lt;=$A$15,D1858-$E$11,$F$11),0)</f>
        <v>300</v>
      </c>
      <c r="J1858">
        <f>IF(D1858&lt;=$A$15,0,D1858-$A$15)</f>
        <v>1526</v>
      </c>
      <c r="K1858" s="5">
        <f>IF(D1858&lt;$E$11,H1858,0)</f>
        <v>0</v>
      </c>
      <c r="L1858">
        <f>IF(D1858&lt;$A$15,$C$11,$C$11*(1-$G$11))</f>
        <v>200</v>
      </c>
      <c r="M1858">
        <f>IF(D1858&lt;$A$15,0,1)</f>
        <v>1</v>
      </c>
    </row>
    <row r="1859" spans="4:13" x14ac:dyDescent="0.2">
      <c r="D1859">
        <f t="shared" si="109"/>
        <v>1836</v>
      </c>
      <c r="E1859" s="1">
        <f t="shared" si="107"/>
        <v>148.80655833915233</v>
      </c>
      <c r="F1859" s="1">
        <f t="shared" si="110"/>
        <v>-117.51950981484254</v>
      </c>
      <c r="G1859" s="1">
        <f t="shared" si="108"/>
        <v>9.160630615908328E-52</v>
      </c>
      <c r="H1859" s="1">
        <f>G1859/$G$21</f>
        <v>6.4237508516461943E-53</v>
      </c>
      <c r="I1859">
        <f>IF($E$11&lt;=D1859, IF(D1859&lt;=$A$15,D1859-$E$11,$F$11),0)</f>
        <v>300</v>
      </c>
      <c r="J1859">
        <f>IF(D1859&lt;=$A$15,0,D1859-$A$15)</f>
        <v>1527</v>
      </c>
      <c r="K1859" s="5">
        <f>IF(D1859&lt;$E$11,H1859,0)</f>
        <v>0</v>
      </c>
      <c r="L1859">
        <f>IF(D1859&lt;$A$15,$C$11,$C$11*(1-$G$11))</f>
        <v>200</v>
      </c>
      <c r="M1859">
        <f>IF(D1859&lt;$A$15,0,1)</f>
        <v>1</v>
      </c>
    </row>
    <row r="1860" spans="4:13" x14ac:dyDescent="0.2">
      <c r="D1860">
        <f t="shared" si="109"/>
        <v>1837</v>
      </c>
      <c r="E1860" s="1">
        <f t="shared" ref="E1860:F1923" si="111">IF($G$11=1,IF(D1860&lt;=$A$15, E1859+LN($C$11)-LN(60/$D$11)-LN(MIN(D1860,$E$11)), E1859-LN(60/$D$11)-LN(MIN(D1860,$E$11))), IF(D1860&lt;=$A$15, E1859+LN($C$11)-LN(60/$D$11)-LN(MIN(D1860,$E$11)), E1859+LN($C$11)+LN(1-$G$11)-LN(60/$D$11)-LN(MIN(D1860,$E$11))))</f>
        <v>148.72959729801622</v>
      </c>
      <c r="F1860" s="1">
        <f t="shared" si="110"/>
        <v>-117.59647085597865</v>
      </c>
      <c r="G1860" s="1">
        <f t="shared" si="108"/>
        <v>8.4820653851004098E-52</v>
      </c>
      <c r="H1860" s="1">
        <f>G1860/$G$21</f>
        <v>5.9479174552280321E-53</v>
      </c>
      <c r="I1860">
        <f>IF($E$11&lt;=D1860, IF(D1860&lt;=$A$15,D1860-$E$11,$F$11),0)</f>
        <v>300</v>
      </c>
      <c r="J1860">
        <f>IF(D1860&lt;=$A$15,0,D1860-$A$15)</f>
        <v>1528</v>
      </c>
      <c r="K1860" s="5">
        <f>IF(D1860&lt;$E$11,H1860,0)</f>
        <v>0</v>
      </c>
      <c r="L1860">
        <f>IF(D1860&lt;$A$15,$C$11,$C$11*(1-$G$11))</f>
        <v>200</v>
      </c>
      <c r="M1860">
        <f>IF(D1860&lt;$A$15,0,1)</f>
        <v>1</v>
      </c>
    </row>
    <row r="1861" spans="4:13" x14ac:dyDescent="0.2">
      <c r="D1861">
        <f t="shared" si="109"/>
        <v>1838</v>
      </c>
      <c r="E1861" s="1">
        <f t="shared" si="111"/>
        <v>148.6526362568801</v>
      </c>
      <c r="F1861" s="1">
        <f t="shared" si="110"/>
        <v>-117.67343189711477</v>
      </c>
      <c r="G1861" s="1">
        <f t="shared" si="108"/>
        <v>7.8537642454634427E-52</v>
      </c>
      <c r="H1861" s="1">
        <f>G1861/$G$21</f>
        <v>5.5073309770630629E-53</v>
      </c>
      <c r="I1861">
        <f>IF($E$11&lt;=D1861, IF(D1861&lt;=$A$15,D1861-$E$11,$F$11),0)</f>
        <v>300</v>
      </c>
      <c r="J1861">
        <f>IF(D1861&lt;=$A$15,0,D1861-$A$15)</f>
        <v>1529</v>
      </c>
      <c r="K1861" s="5">
        <f>IF(D1861&lt;$E$11,H1861,0)</f>
        <v>0</v>
      </c>
      <c r="L1861">
        <f>IF(D1861&lt;$A$15,$C$11,$C$11*(1-$G$11))</f>
        <v>200</v>
      </c>
      <c r="M1861">
        <f>IF(D1861&lt;$A$15,0,1)</f>
        <v>1</v>
      </c>
    </row>
    <row r="1862" spans="4:13" x14ac:dyDescent="0.2">
      <c r="D1862">
        <f t="shared" si="109"/>
        <v>1839</v>
      </c>
      <c r="E1862" s="1">
        <f t="shared" si="111"/>
        <v>148.57567521574398</v>
      </c>
      <c r="F1862" s="1">
        <f t="shared" si="110"/>
        <v>-117.75039293825088</v>
      </c>
      <c r="G1862" s="1">
        <f t="shared" si="108"/>
        <v>7.2720039309847611E-52</v>
      </c>
      <c r="H1862" s="1">
        <f>G1862/$G$21</f>
        <v>5.0993805343177158E-53</v>
      </c>
      <c r="I1862">
        <f>IF($E$11&lt;=D1862, IF(D1862&lt;=$A$15,D1862-$E$11,$F$11),0)</f>
        <v>300</v>
      </c>
      <c r="J1862">
        <f>IF(D1862&lt;=$A$15,0,D1862-$A$15)</f>
        <v>1530</v>
      </c>
      <c r="K1862" s="5">
        <f>IF(D1862&lt;$E$11,H1862,0)</f>
        <v>0</v>
      </c>
      <c r="L1862">
        <f>IF(D1862&lt;$A$15,$C$11,$C$11*(1-$G$11))</f>
        <v>200</v>
      </c>
      <c r="M1862">
        <f>IF(D1862&lt;$A$15,0,1)</f>
        <v>1</v>
      </c>
    </row>
    <row r="1863" spans="4:13" x14ac:dyDescent="0.2">
      <c r="D1863">
        <f t="shared" si="109"/>
        <v>1840</v>
      </c>
      <c r="E1863" s="1">
        <f t="shared" si="111"/>
        <v>148.49871417460787</v>
      </c>
      <c r="F1863" s="1">
        <f t="shared" si="110"/>
        <v>-117.827353979387</v>
      </c>
      <c r="G1863" s="1">
        <f t="shared" si="108"/>
        <v>6.7333369731341231E-52</v>
      </c>
      <c r="H1863" s="1">
        <f>G1863/$G$21</f>
        <v>4.7216486428868334E-53</v>
      </c>
      <c r="I1863">
        <f>IF($E$11&lt;=D1863, IF(D1863&lt;=$A$15,D1863-$E$11,$F$11),0)</f>
        <v>300</v>
      </c>
      <c r="J1863">
        <f>IF(D1863&lt;=$A$15,0,D1863-$A$15)</f>
        <v>1531</v>
      </c>
      <c r="K1863" s="5">
        <f>IF(D1863&lt;$E$11,H1863,0)</f>
        <v>0</v>
      </c>
      <c r="L1863">
        <f>IF(D1863&lt;$A$15,$C$11,$C$11*(1-$G$11))</f>
        <v>200</v>
      </c>
      <c r="M1863">
        <f>IF(D1863&lt;$A$15,0,1)</f>
        <v>1</v>
      </c>
    </row>
    <row r="1864" spans="4:13" x14ac:dyDescent="0.2">
      <c r="D1864">
        <f t="shared" si="109"/>
        <v>1841</v>
      </c>
      <c r="E1864" s="1">
        <f t="shared" si="111"/>
        <v>148.42175313347175</v>
      </c>
      <c r="F1864" s="1">
        <f t="shared" si="110"/>
        <v>-117.90431502052311</v>
      </c>
      <c r="G1864" s="1">
        <f t="shared" si="108"/>
        <v>6.2345712714205625E-52</v>
      </c>
      <c r="H1864" s="1">
        <f>G1864/$G$21</f>
        <v>4.3718968915619375E-53</v>
      </c>
      <c r="I1864">
        <f>IF($E$11&lt;=D1864, IF(D1864&lt;=$A$15,D1864-$E$11,$F$11),0)</f>
        <v>300</v>
      </c>
      <c r="J1864">
        <f>IF(D1864&lt;=$A$15,0,D1864-$A$15)</f>
        <v>1532</v>
      </c>
      <c r="K1864" s="5">
        <f>IF(D1864&lt;$E$11,H1864,0)</f>
        <v>0</v>
      </c>
      <c r="L1864">
        <f>IF(D1864&lt;$A$15,$C$11,$C$11*(1-$G$11))</f>
        <v>200</v>
      </c>
      <c r="M1864">
        <f>IF(D1864&lt;$A$15,0,1)</f>
        <v>1</v>
      </c>
    </row>
    <row r="1865" spans="4:13" x14ac:dyDescent="0.2">
      <c r="D1865">
        <f t="shared" si="109"/>
        <v>1842</v>
      </c>
      <c r="E1865" s="1">
        <f t="shared" si="111"/>
        <v>148.34479209233564</v>
      </c>
      <c r="F1865" s="1">
        <f t="shared" si="110"/>
        <v>-117.98127606165923</v>
      </c>
      <c r="G1865" s="1">
        <f t="shared" si="108"/>
        <v>5.7727511772413349E-52</v>
      </c>
      <c r="H1865" s="1">
        <f>G1865/$G$21</f>
        <v>4.0480526773722156E-53</v>
      </c>
      <c r="I1865">
        <f>IF($E$11&lt;=D1865, IF(D1865&lt;=$A$15,D1865-$E$11,$F$11),0)</f>
        <v>300</v>
      </c>
      <c r="J1865">
        <f>IF(D1865&lt;=$A$15,0,D1865-$A$15)</f>
        <v>1533</v>
      </c>
      <c r="K1865" s="5">
        <f>IF(D1865&lt;$E$11,H1865,0)</f>
        <v>0</v>
      </c>
      <c r="L1865">
        <f>IF(D1865&lt;$A$15,$C$11,$C$11*(1-$G$11))</f>
        <v>200</v>
      </c>
      <c r="M1865">
        <f>IF(D1865&lt;$A$15,0,1)</f>
        <v>1</v>
      </c>
    </row>
    <row r="1866" spans="4:13" x14ac:dyDescent="0.2">
      <c r="D1866">
        <f t="shared" si="109"/>
        <v>1843</v>
      </c>
      <c r="E1866" s="1">
        <f t="shared" si="111"/>
        <v>148.26783105119952</v>
      </c>
      <c r="F1866" s="1">
        <f t="shared" si="110"/>
        <v>-118.05823710279535</v>
      </c>
      <c r="G1866" s="1">
        <f t="shared" si="108"/>
        <v>5.3451399789272294E-52</v>
      </c>
      <c r="H1866" s="1">
        <f>G1866/$G$21</f>
        <v>3.7481969234928396E-53</v>
      </c>
      <c r="I1866">
        <f>IF($E$11&lt;=D1866, IF(D1866&lt;=$A$15,D1866-$E$11,$F$11),0)</f>
        <v>300</v>
      </c>
      <c r="J1866">
        <f>IF(D1866&lt;=$A$15,0,D1866-$A$15)</f>
        <v>1534</v>
      </c>
      <c r="K1866" s="5">
        <f>IF(D1866&lt;$E$11,H1866,0)</f>
        <v>0</v>
      </c>
      <c r="L1866">
        <f>IF(D1866&lt;$A$15,$C$11,$C$11*(1-$G$11))</f>
        <v>200</v>
      </c>
      <c r="M1866">
        <f>IF(D1866&lt;$A$15,0,1)</f>
        <v>1</v>
      </c>
    </row>
    <row r="1867" spans="4:13" x14ac:dyDescent="0.2">
      <c r="D1867">
        <f t="shared" si="109"/>
        <v>1844</v>
      </c>
      <c r="E1867" s="1">
        <f t="shared" si="111"/>
        <v>148.19087001006341</v>
      </c>
      <c r="F1867" s="1">
        <f t="shared" si="110"/>
        <v>-118.13519814393146</v>
      </c>
      <c r="G1867" s="1">
        <f t="shared" si="108"/>
        <v>4.9492036841919415E-52</v>
      </c>
      <c r="H1867" s="1">
        <f>G1867/$G$21</f>
        <v>3.4705527069378581E-53</v>
      </c>
      <c r="I1867">
        <f>IF($E$11&lt;=D1867, IF(D1867&lt;=$A$15,D1867-$E$11,$F$11),0)</f>
        <v>300</v>
      </c>
      <c r="J1867">
        <f>IF(D1867&lt;=$A$15,0,D1867-$A$15)</f>
        <v>1535</v>
      </c>
      <c r="K1867" s="5">
        <f>IF(D1867&lt;$E$11,H1867,0)</f>
        <v>0</v>
      </c>
      <c r="L1867">
        <f>IF(D1867&lt;$A$15,$C$11,$C$11*(1-$G$11))</f>
        <v>200</v>
      </c>
      <c r="M1867">
        <f>IF(D1867&lt;$A$15,0,1)</f>
        <v>1</v>
      </c>
    </row>
    <row r="1868" spans="4:13" x14ac:dyDescent="0.2">
      <c r="D1868">
        <f t="shared" si="109"/>
        <v>1845</v>
      </c>
      <c r="E1868" s="1">
        <f t="shared" si="111"/>
        <v>148.11390896892729</v>
      </c>
      <c r="F1868" s="1">
        <f t="shared" si="110"/>
        <v>-118.21215918506758</v>
      </c>
      <c r="G1868" s="1">
        <f t="shared" si="108"/>
        <v>4.5825960038814857E-52</v>
      </c>
      <c r="H1868" s="1">
        <f>G1868/$G$21</f>
        <v>3.213474728646206E-53</v>
      </c>
      <c r="I1868">
        <f>IF($E$11&lt;=D1868, IF(D1868&lt;=$A$15,D1868-$E$11,$F$11),0)</f>
        <v>300</v>
      </c>
      <c r="J1868">
        <f>IF(D1868&lt;=$A$15,0,D1868-$A$15)</f>
        <v>1536</v>
      </c>
      <c r="K1868" s="5">
        <f>IF(D1868&lt;$E$11,H1868,0)</f>
        <v>0</v>
      </c>
      <c r="L1868">
        <f>IF(D1868&lt;$A$15,$C$11,$C$11*(1-$G$11))</f>
        <v>200</v>
      </c>
      <c r="M1868">
        <f>IF(D1868&lt;$A$15,0,1)</f>
        <v>1</v>
      </c>
    </row>
    <row r="1869" spans="4:13" x14ac:dyDescent="0.2">
      <c r="D1869">
        <f t="shared" si="109"/>
        <v>1846</v>
      </c>
      <c r="E1869" s="1">
        <f t="shared" si="111"/>
        <v>148.03694792779118</v>
      </c>
      <c r="F1869" s="1">
        <f t="shared" si="110"/>
        <v>-118.28912022620369</v>
      </c>
      <c r="G1869" s="1">
        <f t="shared" si="108"/>
        <v>4.2431444480384659E-52</v>
      </c>
      <c r="H1869" s="1">
        <f>G1869/$G$21</f>
        <v>2.975439563561339E-53</v>
      </c>
      <c r="I1869">
        <f>IF($E$11&lt;=D1869, IF(D1869&lt;=$A$15,D1869-$E$11,$F$11),0)</f>
        <v>300</v>
      </c>
      <c r="J1869">
        <f>IF(D1869&lt;=$A$15,0,D1869-$A$15)</f>
        <v>1537</v>
      </c>
      <c r="K1869" s="5">
        <f>IF(D1869&lt;$E$11,H1869,0)</f>
        <v>0</v>
      </c>
      <c r="L1869">
        <f>IF(D1869&lt;$A$15,$C$11,$C$11*(1-$G$11))</f>
        <v>200</v>
      </c>
      <c r="M1869">
        <f>IF(D1869&lt;$A$15,0,1)</f>
        <v>1</v>
      </c>
    </row>
    <row r="1870" spans="4:13" x14ac:dyDescent="0.2">
      <c r="D1870">
        <f t="shared" si="109"/>
        <v>1847</v>
      </c>
      <c r="E1870" s="1">
        <f t="shared" si="111"/>
        <v>147.95998688665506</v>
      </c>
      <c r="F1870" s="1">
        <f t="shared" si="110"/>
        <v>-118.36608126733981</v>
      </c>
      <c r="G1870" s="1">
        <f t="shared" si="108"/>
        <v>3.9288374518875186E-52</v>
      </c>
      <c r="H1870" s="1">
        <f>G1870/$G$21</f>
        <v>2.755036632927201E-53</v>
      </c>
      <c r="I1870">
        <f>IF($E$11&lt;=D1870, IF(D1870&lt;=$A$15,D1870-$E$11,$F$11),0)</f>
        <v>300</v>
      </c>
      <c r="J1870">
        <f>IF(D1870&lt;=$A$15,0,D1870-$A$15)</f>
        <v>1538</v>
      </c>
      <c r="K1870" s="5">
        <f>IF(D1870&lt;$E$11,H1870,0)</f>
        <v>0</v>
      </c>
      <c r="L1870">
        <f>IF(D1870&lt;$A$15,$C$11,$C$11*(1-$G$11))</f>
        <v>200</v>
      </c>
      <c r="M1870">
        <f>IF(D1870&lt;$A$15,0,1)</f>
        <v>1</v>
      </c>
    </row>
    <row r="1871" spans="4:13" x14ac:dyDescent="0.2">
      <c r="D1871">
        <f t="shared" si="109"/>
        <v>1848</v>
      </c>
      <c r="E1871" s="1">
        <f t="shared" si="111"/>
        <v>147.88302584551894</v>
      </c>
      <c r="F1871" s="1">
        <f t="shared" si="110"/>
        <v>-118.44304230847592</v>
      </c>
      <c r="G1871" s="1">
        <f t="shared" si="108"/>
        <v>3.6378124554514521E-52</v>
      </c>
      <c r="H1871" s="1">
        <f>G1871/$G$21</f>
        <v>2.5509598453029962E-53</v>
      </c>
      <c r="I1871">
        <f>IF($E$11&lt;=D1871, IF(D1871&lt;=$A$15,D1871-$E$11,$F$11),0)</f>
        <v>300</v>
      </c>
      <c r="J1871">
        <f>IF(D1871&lt;=$A$15,0,D1871-$A$15)</f>
        <v>1539</v>
      </c>
      <c r="K1871" s="5">
        <f>IF(D1871&lt;$E$11,H1871,0)</f>
        <v>0</v>
      </c>
      <c r="L1871">
        <f>IF(D1871&lt;$A$15,$C$11,$C$11*(1-$G$11))</f>
        <v>200</v>
      </c>
      <c r="M1871">
        <f>IF(D1871&lt;$A$15,0,1)</f>
        <v>1</v>
      </c>
    </row>
    <row r="1872" spans="4:13" x14ac:dyDescent="0.2">
      <c r="D1872">
        <f t="shared" si="109"/>
        <v>1849</v>
      </c>
      <c r="E1872" s="1">
        <f t="shared" si="111"/>
        <v>147.80606480438283</v>
      </c>
      <c r="F1872" s="1">
        <f t="shared" si="110"/>
        <v>-118.52000334961204</v>
      </c>
      <c r="G1872" s="1">
        <f t="shared" si="108"/>
        <v>3.3683448661587945E-52</v>
      </c>
      <c r="H1872" s="1">
        <f>G1872/$G$21</f>
        <v>2.3619998567620632E-53</v>
      </c>
      <c r="I1872">
        <f>IF($E$11&lt;=D1872, IF(D1872&lt;=$A$15,D1872-$E$11,$F$11),0)</f>
        <v>300</v>
      </c>
      <c r="J1872">
        <f>IF(D1872&lt;=$A$15,0,D1872-$A$15)</f>
        <v>1540</v>
      </c>
      <c r="K1872" s="5">
        <f>IF(D1872&lt;$E$11,H1872,0)</f>
        <v>0</v>
      </c>
      <c r="L1872">
        <f>IF(D1872&lt;$A$15,$C$11,$C$11*(1-$G$11))</f>
        <v>200</v>
      </c>
      <c r="M1872">
        <f>IF(D1872&lt;$A$15,0,1)</f>
        <v>1</v>
      </c>
    </row>
    <row r="1873" spans="4:13" x14ac:dyDescent="0.2">
      <c r="D1873">
        <f t="shared" si="109"/>
        <v>1850</v>
      </c>
      <c r="E1873" s="1">
        <f t="shared" si="111"/>
        <v>147.72910376324671</v>
      </c>
      <c r="F1873" s="1">
        <f t="shared" si="110"/>
        <v>-118.59696439074816</v>
      </c>
      <c r="G1873" s="1">
        <f t="shared" si="108"/>
        <v>3.1188378390359599E-52</v>
      </c>
      <c r="H1873" s="1">
        <f>G1873/$G$21</f>
        <v>2.1870369044093455E-53</v>
      </c>
      <c r="I1873">
        <f>IF($E$11&lt;=D1873, IF(D1873&lt;=$A$15,D1873-$E$11,$F$11),0)</f>
        <v>300</v>
      </c>
      <c r="J1873">
        <f>IF(D1873&lt;=$A$15,0,D1873-$A$15)</f>
        <v>1541</v>
      </c>
      <c r="K1873" s="5">
        <f>IF(D1873&lt;$E$11,H1873,0)</f>
        <v>0</v>
      </c>
      <c r="L1873">
        <f>IF(D1873&lt;$A$15,$C$11,$C$11*(1-$G$11))</f>
        <v>200</v>
      </c>
      <c r="M1873">
        <f>IF(D1873&lt;$A$15,0,1)</f>
        <v>1</v>
      </c>
    </row>
    <row r="1874" spans="4:13" x14ac:dyDescent="0.2">
      <c r="D1874">
        <f t="shared" si="109"/>
        <v>1851</v>
      </c>
      <c r="E1874" s="1">
        <f t="shared" si="111"/>
        <v>147.6521427221106</v>
      </c>
      <c r="F1874" s="1">
        <f t="shared" si="110"/>
        <v>-118.67392543188427</v>
      </c>
      <c r="G1874" s="1">
        <f t="shared" si="108"/>
        <v>2.8878128139222216E-52</v>
      </c>
      <c r="H1874" s="1">
        <f>G1874/$G$21</f>
        <v>2.0250341707494194E-53</v>
      </c>
      <c r="I1874">
        <f>IF($E$11&lt;=D1874, IF(D1874&lt;=$A$15,D1874-$E$11,$F$11),0)</f>
        <v>300</v>
      </c>
      <c r="J1874">
        <f>IF(D1874&lt;=$A$15,0,D1874-$A$15)</f>
        <v>1542</v>
      </c>
      <c r="K1874" s="5">
        <f>IF(D1874&lt;$E$11,H1874,0)</f>
        <v>0</v>
      </c>
      <c r="L1874">
        <f>IF(D1874&lt;$A$15,$C$11,$C$11*(1-$G$11))</f>
        <v>200</v>
      </c>
      <c r="M1874">
        <f>IF(D1874&lt;$A$15,0,1)</f>
        <v>1</v>
      </c>
    </row>
    <row r="1875" spans="4:13" x14ac:dyDescent="0.2">
      <c r="D1875">
        <f t="shared" si="109"/>
        <v>1852</v>
      </c>
      <c r="E1875" s="1">
        <f t="shared" si="111"/>
        <v>147.57518168097448</v>
      </c>
      <c r="F1875" s="1">
        <f t="shared" si="110"/>
        <v>-118.75088647302039</v>
      </c>
      <c r="G1875" s="1">
        <f t="shared" si="108"/>
        <v>2.6739007536317206E-52</v>
      </c>
      <c r="H1875" s="1">
        <f>G1875/$G$21</f>
        <v>1.8750316395828196E-53</v>
      </c>
      <c r="I1875">
        <f>IF($E$11&lt;=D1875, IF(D1875&lt;=$A$15,D1875-$E$11,$F$11),0)</f>
        <v>300</v>
      </c>
      <c r="J1875">
        <f>IF(D1875&lt;=$A$15,0,D1875-$A$15)</f>
        <v>1543</v>
      </c>
      <c r="K1875" s="5">
        <f>IF(D1875&lt;$E$11,H1875,0)</f>
        <v>0</v>
      </c>
      <c r="L1875">
        <f>IF(D1875&lt;$A$15,$C$11,$C$11*(1-$G$11))</f>
        <v>200</v>
      </c>
      <c r="M1875">
        <f>IF(D1875&lt;$A$15,0,1)</f>
        <v>1</v>
      </c>
    </row>
    <row r="1876" spans="4:13" x14ac:dyDescent="0.2">
      <c r="D1876">
        <f t="shared" si="109"/>
        <v>1853</v>
      </c>
      <c r="E1876" s="1">
        <f t="shared" si="111"/>
        <v>147.49822063983837</v>
      </c>
      <c r="F1876" s="1">
        <f t="shared" si="110"/>
        <v>-118.8278475141565</v>
      </c>
      <c r="G1876" s="1">
        <f t="shared" si="108"/>
        <v>2.4758340311405135E-52</v>
      </c>
      <c r="H1876" s="1">
        <f>G1876/$G$21</f>
        <v>1.7361404070211513E-53</v>
      </c>
      <c r="I1876">
        <f>IF($E$11&lt;=D1876, IF(D1876&lt;=$A$15,D1876-$E$11,$F$11),0)</f>
        <v>300</v>
      </c>
      <c r="J1876">
        <f>IF(D1876&lt;=$A$15,0,D1876-$A$15)</f>
        <v>1544</v>
      </c>
      <c r="K1876" s="5">
        <f>IF(D1876&lt;$E$11,H1876,0)</f>
        <v>0</v>
      </c>
      <c r="L1876">
        <f>IF(D1876&lt;$A$15,$C$11,$C$11*(1-$G$11))</f>
        <v>200</v>
      </c>
      <c r="M1876">
        <f>IF(D1876&lt;$A$15,0,1)</f>
        <v>1</v>
      </c>
    </row>
    <row r="1877" spans="4:13" x14ac:dyDescent="0.2">
      <c r="D1877">
        <f t="shared" si="109"/>
        <v>1854</v>
      </c>
      <c r="E1877" s="1">
        <f t="shared" si="111"/>
        <v>147.42125959870225</v>
      </c>
      <c r="F1877" s="1">
        <f t="shared" si="110"/>
        <v>-118.90480855529262</v>
      </c>
      <c r="G1877" s="1">
        <f t="shared" si="108"/>
        <v>2.2924389177227265E-52</v>
      </c>
      <c r="H1877" s="1">
        <f>G1877/$G$21</f>
        <v>1.6075374139084936E-53</v>
      </c>
      <c r="I1877">
        <f>IF($E$11&lt;=D1877, IF(D1877&lt;=$A$15,D1877-$E$11,$F$11),0)</f>
        <v>300</v>
      </c>
      <c r="J1877">
        <f>IF(D1877&lt;=$A$15,0,D1877-$A$15)</f>
        <v>1545</v>
      </c>
      <c r="K1877" s="5">
        <f>IF(D1877&lt;$E$11,H1877,0)</f>
        <v>0</v>
      </c>
      <c r="L1877">
        <f>IF(D1877&lt;$A$15,$C$11,$C$11*(1-$G$11))</f>
        <v>200</v>
      </c>
      <c r="M1877">
        <f>IF(D1877&lt;$A$15,0,1)</f>
        <v>1</v>
      </c>
    </row>
    <row r="1878" spans="4:13" x14ac:dyDescent="0.2">
      <c r="D1878">
        <f t="shared" si="109"/>
        <v>1855</v>
      </c>
      <c r="E1878" s="1">
        <f t="shared" si="111"/>
        <v>147.34429855756613</v>
      </c>
      <c r="F1878" s="1">
        <f t="shared" si="110"/>
        <v>-118.98176959642873</v>
      </c>
      <c r="G1878" s="1">
        <f t="shared" si="108"/>
        <v>2.1226286275210701E-52</v>
      </c>
      <c r="H1878" s="1">
        <f>G1878/$G$21</f>
        <v>1.4884605684338093E-53</v>
      </c>
      <c r="I1878">
        <f>IF($E$11&lt;=D1878, IF(D1878&lt;=$A$15,D1878-$E$11,$F$11),0)</f>
        <v>300</v>
      </c>
      <c r="J1878">
        <f>IF(D1878&lt;=$A$15,0,D1878-$A$15)</f>
        <v>1546</v>
      </c>
      <c r="K1878" s="5">
        <f>IF(D1878&lt;$E$11,H1878,0)</f>
        <v>0</v>
      </c>
      <c r="L1878">
        <f>IF(D1878&lt;$A$15,$C$11,$C$11*(1-$G$11))</f>
        <v>200</v>
      </c>
      <c r="M1878">
        <f>IF(D1878&lt;$A$15,0,1)</f>
        <v>1</v>
      </c>
    </row>
    <row r="1879" spans="4:13" x14ac:dyDescent="0.2">
      <c r="D1879">
        <f t="shared" si="109"/>
        <v>1856</v>
      </c>
      <c r="E1879" s="1">
        <f t="shared" si="111"/>
        <v>147.26733751643002</v>
      </c>
      <c r="F1879" s="1">
        <f t="shared" si="110"/>
        <v>-119.05873063756485</v>
      </c>
      <c r="G1879" s="1">
        <f t="shared" si="108"/>
        <v>1.9653968773343487E-52</v>
      </c>
      <c r="H1879" s="1">
        <f>G1879/$G$21</f>
        <v>1.3782042300313221E-53</v>
      </c>
      <c r="I1879">
        <f>IF($E$11&lt;=D1879, IF(D1879&lt;=$A$15,D1879-$E$11,$F$11),0)</f>
        <v>300</v>
      </c>
      <c r="J1879">
        <f>IF(D1879&lt;=$A$15,0,D1879-$A$15)</f>
        <v>1547</v>
      </c>
      <c r="K1879" s="5">
        <f>IF(D1879&lt;$E$11,H1879,0)</f>
        <v>0</v>
      </c>
      <c r="L1879">
        <f>IF(D1879&lt;$A$15,$C$11,$C$11*(1-$G$11))</f>
        <v>200</v>
      </c>
      <c r="M1879">
        <f>IF(D1879&lt;$A$15,0,1)</f>
        <v>1</v>
      </c>
    </row>
    <row r="1880" spans="4:13" x14ac:dyDescent="0.2">
      <c r="D1880">
        <f t="shared" si="109"/>
        <v>1857</v>
      </c>
      <c r="E1880" s="1">
        <f t="shared" si="111"/>
        <v>147.1903764752939</v>
      </c>
      <c r="F1880" s="1">
        <f t="shared" si="110"/>
        <v>-119.13569167870097</v>
      </c>
      <c r="G1880" s="1">
        <f t="shared" ref="G1880:G1943" si="112">EXP(F1880)</f>
        <v>1.8198119234577533E-52</v>
      </c>
      <c r="H1880" s="1">
        <f>G1880/$G$21</f>
        <v>1.276115027806796E-53</v>
      </c>
      <c r="I1880">
        <f>IF($E$11&lt;=D1880, IF(D1880&lt;=$A$15,D1880-$E$11,$F$11),0)</f>
        <v>300</v>
      </c>
      <c r="J1880">
        <f>IF(D1880&lt;=$A$15,0,D1880-$A$15)</f>
        <v>1548</v>
      </c>
      <c r="K1880" s="5">
        <f>IF(D1880&lt;$E$11,H1880,0)</f>
        <v>0</v>
      </c>
      <c r="L1880">
        <f>IF(D1880&lt;$A$15,$C$11,$C$11*(1-$G$11))</f>
        <v>200</v>
      </c>
      <c r="M1880">
        <f>IF(D1880&lt;$A$15,0,1)</f>
        <v>1</v>
      </c>
    </row>
    <row r="1881" spans="4:13" x14ac:dyDescent="0.2">
      <c r="D1881">
        <f t="shared" ref="D1881:D1944" si="113">1+D1880</f>
        <v>1858</v>
      </c>
      <c r="E1881" s="1">
        <f t="shared" si="111"/>
        <v>147.11341543415779</v>
      </c>
      <c r="F1881" s="1">
        <f t="shared" ref="F1881:F1944" si="114">E1881-$E$21</f>
        <v>-119.21265271983708</v>
      </c>
      <c r="G1881" s="1">
        <f t="shared" si="112"/>
        <v>1.6850110402386817E-52</v>
      </c>
      <c r="H1881" s="1">
        <f>G1881/$G$21</f>
        <v>1.1815879887100112E-53</v>
      </c>
      <c r="I1881">
        <f>IF($E$11&lt;=D1881, IF(D1881&lt;=$A$15,D1881-$E$11,$F$11),0)</f>
        <v>300</v>
      </c>
      <c r="J1881">
        <f>IF(D1881&lt;=$A$15,0,D1881-$A$15)</f>
        <v>1549</v>
      </c>
      <c r="K1881" s="5">
        <f>IF(D1881&lt;$E$11,H1881,0)</f>
        <v>0</v>
      </c>
      <c r="L1881">
        <f>IF(D1881&lt;$A$15,$C$11,$C$11*(1-$G$11))</f>
        <v>200</v>
      </c>
      <c r="M1881">
        <f>IF(D1881&lt;$A$15,0,1)</f>
        <v>1</v>
      </c>
    </row>
    <row r="1882" spans="4:13" x14ac:dyDescent="0.2">
      <c r="D1882">
        <f t="shared" si="113"/>
        <v>1859</v>
      </c>
      <c r="E1882" s="1">
        <f t="shared" si="111"/>
        <v>147.03645439302167</v>
      </c>
      <c r="F1882" s="1">
        <f t="shared" si="114"/>
        <v>-119.2896137609732</v>
      </c>
      <c r="G1882" s="1">
        <f t="shared" si="112"/>
        <v>1.5601954076284289E-52</v>
      </c>
      <c r="H1882" s="1">
        <f>G1882/$G$21</f>
        <v>1.0940629525092834E-53</v>
      </c>
      <c r="I1882">
        <f>IF($E$11&lt;=D1882, IF(D1882&lt;=$A$15,D1882-$E$11,$F$11),0)</f>
        <v>300</v>
      </c>
      <c r="J1882">
        <f>IF(D1882&lt;=$A$15,0,D1882-$A$15)</f>
        <v>1550</v>
      </c>
      <c r="K1882" s="5">
        <f>IF(D1882&lt;$E$11,H1882,0)</f>
        <v>0</v>
      </c>
      <c r="L1882">
        <f>IF(D1882&lt;$A$15,$C$11,$C$11*(1-$G$11))</f>
        <v>200</v>
      </c>
      <c r="M1882">
        <f>IF(D1882&lt;$A$15,0,1)</f>
        <v>1</v>
      </c>
    </row>
    <row r="1883" spans="4:13" x14ac:dyDescent="0.2">
      <c r="D1883">
        <f t="shared" si="113"/>
        <v>1860</v>
      </c>
      <c r="E1883" s="1">
        <f t="shared" si="111"/>
        <v>146.95949335188556</v>
      </c>
      <c r="F1883" s="1">
        <f t="shared" si="114"/>
        <v>-119.36657480210931</v>
      </c>
      <c r="G1883" s="1">
        <f t="shared" si="112"/>
        <v>1.4446253774337488E-52</v>
      </c>
      <c r="H1883" s="1">
        <f>G1883/$G$21</f>
        <v>1.0130212523234235E-53</v>
      </c>
      <c r="I1883">
        <f>IF($E$11&lt;=D1883, IF(D1883&lt;=$A$15,D1883-$E$11,$F$11),0)</f>
        <v>300</v>
      </c>
      <c r="J1883">
        <f>IF(D1883&lt;=$A$15,0,D1883-$A$15)</f>
        <v>1551</v>
      </c>
      <c r="K1883" s="5">
        <f>IF(D1883&lt;$E$11,H1883,0)</f>
        <v>0</v>
      </c>
      <c r="L1883">
        <f>IF(D1883&lt;$A$15,$C$11,$C$11*(1-$G$11))</f>
        <v>200</v>
      </c>
      <c r="M1883">
        <f>IF(D1883&lt;$A$15,0,1)</f>
        <v>1</v>
      </c>
    </row>
    <row r="1884" spans="4:13" x14ac:dyDescent="0.2">
      <c r="D1884">
        <f t="shared" si="113"/>
        <v>1861</v>
      </c>
      <c r="E1884" s="1">
        <f t="shared" si="111"/>
        <v>146.88253231074944</v>
      </c>
      <c r="F1884" s="1">
        <f t="shared" si="114"/>
        <v>-119.44353584324543</v>
      </c>
      <c r="G1884" s="1">
        <f t="shared" si="112"/>
        <v>1.3376160902164509E-52</v>
      </c>
      <c r="H1884" s="1">
        <f>G1884/$G$21</f>
        <v>9.3798264104021873E-54</v>
      </c>
      <c r="I1884">
        <f>IF($E$11&lt;=D1884, IF(D1884&lt;=$A$15,D1884-$E$11,$F$11),0)</f>
        <v>300</v>
      </c>
      <c r="J1884">
        <f>IF(D1884&lt;=$A$15,0,D1884-$A$15)</f>
        <v>1552</v>
      </c>
      <c r="K1884" s="5">
        <f>IF(D1884&lt;$E$11,H1884,0)</f>
        <v>0</v>
      </c>
      <c r="L1884">
        <f>IF(D1884&lt;$A$15,$C$11,$C$11*(1-$G$11))</f>
        <v>200</v>
      </c>
      <c r="M1884">
        <f>IF(D1884&lt;$A$15,0,1)</f>
        <v>1</v>
      </c>
    </row>
    <row r="1885" spans="4:13" x14ac:dyDescent="0.2">
      <c r="D1885">
        <f t="shared" si="113"/>
        <v>1862</v>
      </c>
      <c r="E1885" s="1">
        <f t="shared" si="111"/>
        <v>146.80557126961332</v>
      </c>
      <c r="F1885" s="1">
        <f t="shared" si="114"/>
        <v>-119.52049688438154</v>
      </c>
      <c r="G1885" s="1">
        <f t="shared" si="112"/>
        <v>1.2385334168670998E-52</v>
      </c>
      <c r="H1885" s="1">
        <f>G1885/$G$21</f>
        <v>8.6850244540762087E-54</v>
      </c>
      <c r="I1885">
        <f>IF($E$11&lt;=D1885, IF(D1885&lt;=$A$15,D1885-$E$11,$F$11),0)</f>
        <v>300</v>
      </c>
      <c r="J1885">
        <f>IF(D1885&lt;=$A$15,0,D1885-$A$15)</f>
        <v>1553</v>
      </c>
      <c r="K1885" s="5">
        <f>IF(D1885&lt;$E$11,H1885,0)</f>
        <v>0</v>
      </c>
      <c r="L1885">
        <f>IF(D1885&lt;$A$15,$C$11,$C$11*(1-$G$11))</f>
        <v>200</v>
      </c>
      <c r="M1885">
        <f>IF(D1885&lt;$A$15,0,1)</f>
        <v>1</v>
      </c>
    </row>
    <row r="1886" spans="4:13" x14ac:dyDescent="0.2">
      <c r="D1886">
        <f t="shared" si="113"/>
        <v>1863</v>
      </c>
      <c r="E1886" s="1">
        <f t="shared" si="111"/>
        <v>146.72861022847721</v>
      </c>
      <c r="F1886" s="1">
        <f t="shared" si="114"/>
        <v>-119.59745792551766</v>
      </c>
      <c r="G1886" s="1">
        <f t="shared" si="112"/>
        <v>1.1467902008028847E-52</v>
      </c>
      <c r="H1886" s="1">
        <f>G1886/$G$21</f>
        <v>8.0416893093299253E-54</v>
      </c>
      <c r="I1886">
        <f>IF($E$11&lt;=D1886, IF(D1886&lt;=$A$15,D1886-$E$11,$F$11),0)</f>
        <v>300</v>
      </c>
      <c r="J1886">
        <f>IF(D1886&lt;=$A$15,0,D1886-$A$15)</f>
        <v>1554</v>
      </c>
      <c r="K1886" s="5">
        <f>IF(D1886&lt;$E$11,H1886,0)</f>
        <v>0</v>
      </c>
      <c r="L1886">
        <f>IF(D1886&lt;$A$15,$C$11,$C$11*(1-$G$11))</f>
        <v>200</v>
      </c>
      <c r="M1886">
        <f>IF(D1886&lt;$A$15,0,1)</f>
        <v>1</v>
      </c>
    </row>
    <row r="1887" spans="4:13" x14ac:dyDescent="0.2">
      <c r="D1887">
        <f t="shared" si="113"/>
        <v>1864</v>
      </c>
      <c r="E1887" s="1">
        <f t="shared" si="111"/>
        <v>146.65164918734109</v>
      </c>
      <c r="F1887" s="1">
        <f t="shared" si="114"/>
        <v>-119.67441896665377</v>
      </c>
      <c r="G1887" s="1">
        <f t="shared" si="112"/>
        <v>1.0618427785212029E-52</v>
      </c>
      <c r="H1887" s="1">
        <f>G1887/$G$21</f>
        <v>7.4460086197500251E-54</v>
      </c>
      <c r="I1887">
        <f>IF($E$11&lt;=D1887, IF(D1887&lt;=$A$15,D1887-$E$11,$F$11),0)</f>
        <v>300</v>
      </c>
      <c r="J1887">
        <f>IF(D1887&lt;=$A$15,0,D1887-$A$15)</f>
        <v>1555</v>
      </c>
      <c r="K1887" s="5">
        <f>IF(D1887&lt;$E$11,H1887,0)</f>
        <v>0</v>
      </c>
      <c r="L1887">
        <f>IF(D1887&lt;$A$15,$C$11,$C$11*(1-$G$11))</f>
        <v>200</v>
      </c>
      <c r="M1887">
        <f>IF(D1887&lt;$A$15,0,1)</f>
        <v>1</v>
      </c>
    </row>
    <row r="1888" spans="4:13" x14ac:dyDescent="0.2">
      <c r="D1888">
        <f t="shared" si="113"/>
        <v>1865</v>
      </c>
      <c r="E1888" s="1">
        <f t="shared" si="111"/>
        <v>146.57468814620498</v>
      </c>
      <c r="F1888" s="1">
        <f t="shared" si="114"/>
        <v>-119.75138000778989</v>
      </c>
      <c r="G1888" s="1">
        <f t="shared" si="112"/>
        <v>9.8318775789001518E-53</v>
      </c>
      <c r="H1888" s="1">
        <f>G1888/$G$21</f>
        <v>6.894452425694555E-54</v>
      </c>
      <c r="I1888">
        <f>IF($E$11&lt;=D1888, IF(D1888&lt;=$A$15,D1888-$E$11,$F$11),0)</f>
        <v>300</v>
      </c>
      <c r="J1888">
        <f>IF(D1888&lt;=$A$15,0,D1888-$A$15)</f>
        <v>1556</v>
      </c>
      <c r="K1888" s="5">
        <f>IF(D1888&lt;$E$11,H1888,0)</f>
        <v>0</v>
      </c>
      <c r="L1888">
        <f>IF(D1888&lt;$A$15,$C$11,$C$11*(1-$G$11))</f>
        <v>200</v>
      </c>
      <c r="M1888">
        <f>IF(D1888&lt;$A$15,0,1)</f>
        <v>1</v>
      </c>
    </row>
    <row r="1889" spans="4:13" x14ac:dyDescent="0.2">
      <c r="D1889">
        <f t="shared" si="113"/>
        <v>1866</v>
      </c>
      <c r="E1889" s="1">
        <f t="shared" si="111"/>
        <v>146.49772710506886</v>
      </c>
      <c r="F1889" s="1">
        <f t="shared" si="114"/>
        <v>-119.82834104892601</v>
      </c>
      <c r="G1889" s="1">
        <f t="shared" si="112"/>
        <v>9.1035903508335893E-53</v>
      </c>
      <c r="H1889" s="1">
        <f>G1889/$G$21</f>
        <v>6.3837522460135577E-54</v>
      </c>
      <c r="I1889">
        <f>IF($E$11&lt;=D1889, IF(D1889&lt;=$A$15,D1889-$E$11,$F$11),0)</f>
        <v>300</v>
      </c>
      <c r="J1889">
        <f>IF(D1889&lt;=$A$15,0,D1889-$A$15)</f>
        <v>1557</v>
      </c>
      <c r="K1889" s="5">
        <f>IF(D1889&lt;$E$11,H1889,0)</f>
        <v>0</v>
      </c>
      <c r="L1889">
        <f>IF(D1889&lt;$A$15,$C$11,$C$11*(1-$G$11))</f>
        <v>200</v>
      </c>
      <c r="M1889">
        <f>IF(D1889&lt;$A$15,0,1)</f>
        <v>1</v>
      </c>
    </row>
    <row r="1890" spans="4:13" x14ac:dyDescent="0.2">
      <c r="D1890">
        <f t="shared" si="113"/>
        <v>1867</v>
      </c>
      <c r="E1890" s="1">
        <f t="shared" si="111"/>
        <v>146.42076606393275</v>
      </c>
      <c r="F1890" s="1">
        <f t="shared" si="114"/>
        <v>-119.90530209006212</v>
      </c>
      <c r="G1890" s="1">
        <f t="shared" si="112"/>
        <v>8.4292503248460217E-53</v>
      </c>
      <c r="H1890" s="1">
        <f>G1890/$G$21</f>
        <v>5.9108817092718868E-54</v>
      </c>
      <c r="I1890">
        <f>IF($E$11&lt;=D1890, IF(D1890&lt;=$A$15,D1890-$E$11,$F$11),0)</f>
        <v>300</v>
      </c>
      <c r="J1890">
        <f>IF(D1890&lt;=$A$15,0,D1890-$A$15)</f>
        <v>1558</v>
      </c>
      <c r="K1890" s="5">
        <f>IF(D1890&lt;$E$11,H1890,0)</f>
        <v>0</v>
      </c>
      <c r="L1890">
        <f>IF(D1890&lt;$A$15,$C$11,$C$11*(1-$G$11))</f>
        <v>200</v>
      </c>
      <c r="M1890">
        <f>IF(D1890&lt;$A$15,0,1)</f>
        <v>1</v>
      </c>
    </row>
    <row r="1891" spans="4:13" x14ac:dyDescent="0.2">
      <c r="D1891">
        <f t="shared" si="113"/>
        <v>1868</v>
      </c>
      <c r="E1891" s="1">
        <f t="shared" si="111"/>
        <v>146.34380502279663</v>
      </c>
      <c r="F1891" s="1">
        <f t="shared" si="114"/>
        <v>-119.98226313119824</v>
      </c>
      <c r="G1891" s="1">
        <f t="shared" si="112"/>
        <v>7.8048614118945635E-53</v>
      </c>
      <c r="H1891" s="1">
        <f>G1891/$G$21</f>
        <v>5.4730386196962605E-54</v>
      </c>
      <c r="I1891">
        <f>IF($E$11&lt;=D1891, IF(D1891&lt;=$A$15,D1891-$E$11,$F$11),0)</f>
        <v>300</v>
      </c>
      <c r="J1891">
        <f>IF(D1891&lt;=$A$15,0,D1891-$A$15)</f>
        <v>1559</v>
      </c>
      <c r="K1891" s="5">
        <f>IF(D1891&lt;$E$11,H1891,0)</f>
        <v>0</v>
      </c>
      <c r="L1891">
        <f>IF(D1891&lt;$A$15,$C$11,$C$11*(1-$G$11))</f>
        <v>200</v>
      </c>
      <c r="M1891">
        <f>IF(D1891&lt;$A$15,0,1)</f>
        <v>1</v>
      </c>
    </row>
    <row r="1892" spans="4:13" x14ac:dyDescent="0.2">
      <c r="D1892">
        <f t="shared" si="113"/>
        <v>1869</v>
      </c>
      <c r="E1892" s="1">
        <f t="shared" si="111"/>
        <v>146.26684398166051</v>
      </c>
      <c r="F1892" s="1">
        <f t="shared" si="114"/>
        <v>-120.05922417233435</v>
      </c>
      <c r="G1892" s="1">
        <f t="shared" si="112"/>
        <v>7.2267235295320945E-53</v>
      </c>
      <c r="H1892" s="1">
        <f>G1892/$G$21</f>
        <v>5.067628351570676E-54</v>
      </c>
      <c r="I1892">
        <f>IF($E$11&lt;=D1892, IF(D1892&lt;=$A$15,D1892-$E$11,$F$11),0)</f>
        <v>300</v>
      </c>
      <c r="J1892">
        <f>IF(D1892&lt;=$A$15,0,D1892-$A$15)</f>
        <v>1560</v>
      </c>
      <c r="K1892" s="5">
        <f>IF(D1892&lt;$E$11,H1892,0)</f>
        <v>0</v>
      </c>
      <c r="L1892">
        <f>IF(D1892&lt;$A$15,$C$11,$C$11*(1-$G$11))</f>
        <v>200</v>
      </c>
      <c r="M1892">
        <f>IF(D1892&lt;$A$15,0,1)</f>
        <v>1</v>
      </c>
    </row>
    <row r="1893" spans="4:13" x14ac:dyDescent="0.2">
      <c r="D1893">
        <f t="shared" si="113"/>
        <v>1870</v>
      </c>
      <c r="E1893" s="1">
        <f t="shared" si="111"/>
        <v>146.1898829405244</v>
      </c>
      <c r="F1893" s="1">
        <f t="shared" si="114"/>
        <v>-120.13618521347047</v>
      </c>
      <c r="G1893" s="1">
        <f t="shared" si="112"/>
        <v>6.6914106754927648E-53</v>
      </c>
      <c r="H1893" s="1">
        <f>G1893/$G$21</f>
        <v>4.6922484736766109E-54</v>
      </c>
      <c r="I1893">
        <f>IF($E$11&lt;=D1893, IF(D1893&lt;=$A$15,D1893-$E$11,$F$11),0)</f>
        <v>300</v>
      </c>
      <c r="J1893">
        <f>IF(D1893&lt;=$A$15,0,D1893-$A$15)</f>
        <v>1561</v>
      </c>
      <c r="K1893" s="5">
        <f>IF(D1893&lt;$E$11,H1893,0)</f>
        <v>0</v>
      </c>
      <c r="L1893">
        <f>IF(D1893&lt;$A$15,$C$11,$C$11*(1-$G$11))</f>
        <v>200</v>
      </c>
      <c r="M1893">
        <f>IF(D1893&lt;$A$15,0,1)</f>
        <v>1</v>
      </c>
    </row>
    <row r="1894" spans="4:13" x14ac:dyDescent="0.2">
      <c r="D1894">
        <f t="shared" si="113"/>
        <v>1871</v>
      </c>
      <c r="E1894" s="1">
        <f t="shared" si="111"/>
        <v>146.11292189938828</v>
      </c>
      <c r="F1894" s="1">
        <f t="shared" si="114"/>
        <v>-120.21314625460658</v>
      </c>
      <c r="G1894" s="1">
        <f t="shared" si="112"/>
        <v>6.195750625456342E-53</v>
      </c>
      <c r="H1894" s="1">
        <f>G1894/$G$21</f>
        <v>4.3446745126635834E-54</v>
      </c>
      <c r="I1894">
        <f>IF($E$11&lt;=D1894, IF(D1894&lt;=$A$15,D1894-$E$11,$F$11),0)</f>
        <v>300</v>
      </c>
      <c r="J1894">
        <f>IF(D1894&lt;=$A$15,0,D1894-$A$15)</f>
        <v>1562</v>
      </c>
      <c r="K1894" s="5">
        <f>IF(D1894&lt;$E$11,H1894,0)</f>
        <v>0</v>
      </c>
      <c r="L1894">
        <f>IF(D1894&lt;$A$15,$C$11,$C$11*(1-$G$11))</f>
        <v>200</v>
      </c>
      <c r="M1894">
        <f>IF(D1894&lt;$A$15,0,1)</f>
        <v>1</v>
      </c>
    </row>
    <row r="1895" spans="4:13" x14ac:dyDescent="0.2">
      <c r="D1895">
        <f t="shared" si="113"/>
        <v>1872</v>
      </c>
      <c r="E1895" s="1">
        <f t="shared" si="111"/>
        <v>146.03596085825217</v>
      </c>
      <c r="F1895" s="1">
        <f t="shared" si="114"/>
        <v>-120.2901072957427</v>
      </c>
      <c r="G1895" s="1">
        <f t="shared" si="112"/>
        <v>5.7368061346818709E-53</v>
      </c>
      <c r="H1895" s="1">
        <f>G1895/$G$21</f>
        <v>4.0228467709848505E-54</v>
      </c>
      <c r="I1895">
        <f>IF($E$11&lt;=D1895, IF(D1895&lt;=$A$15,D1895-$E$11,$F$11),0)</f>
        <v>300</v>
      </c>
      <c r="J1895">
        <f>IF(D1895&lt;=$A$15,0,D1895-$A$15)</f>
        <v>1563</v>
      </c>
      <c r="K1895" s="5">
        <f>IF(D1895&lt;$E$11,H1895,0)</f>
        <v>0</v>
      </c>
      <c r="L1895">
        <f>IF(D1895&lt;$A$15,$C$11,$C$11*(1-$G$11))</f>
        <v>200</v>
      </c>
      <c r="M1895">
        <f>IF(D1895&lt;$A$15,0,1)</f>
        <v>1</v>
      </c>
    </row>
    <row r="1896" spans="4:13" x14ac:dyDescent="0.2">
      <c r="D1896">
        <f t="shared" si="113"/>
        <v>1873</v>
      </c>
      <c r="E1896" s="1">
        <f t="shared" si="111"/>
        <v>145.95899981711605</v>
      </c>
      <c r="F1896" s="1">
        <f t="shared" si="114"/>
        <v>-120.36706833687882</v>
      </c>
      <c r="G1896" s="1">
        <f t="shared" si="112"/>
        <v>5.3118575321129102E-53</v>
      </c>
      <c r="H1896" s="1">
        <f>G1896/$G$21</f>
        <v>3.7248581212823161E-54</v>
      </c>
      <c r="I1896">
        <f>IF($E$11&lt;=D1896, IF(D1896&lt;=$A$15,D1896-$E$11,$F$11),0)</f>
        <v>300</v>
      </c>
      <c r="J1896">
        <f>IF(D1896&lt;=$A$15,0,D1896-$A$15)</f>
        <v>1564</v>
      </c>
      <c r="K1896" s="5">
        <f>IF(D1896&lt;$E$11,H1896,0)</f>
        <v>0</v>
      </c>
      <c r="L1896">
        <f>IF(D1896&lt;$A$15,$C$11,$C$11*(1-$G$11))</f>
        <v>200</v>
      </c>
      <c r="M1896">
        <f>IF(D1896&lt;$A$15,0,1)</f>
        <v>1</v>
      </c>
    </row>
    <row r="1897" spans="4:13" x14ac:dyDescent="0.2">
      <c r="D1897">
        <f t="shared" si="113"/>
        <v>1874</v>
      </c>
      <c r="E1897" s="1">
        <f t="shared" si="111"/>
        <v>145.88203877597994</v>
      </c>
      <c r="F1897" s="1">
        <f t="shared" si="114"/>
        <v>-120.44402937801493</v>
      </c>
      <c r="G1897" s="1">
        <f t="shared" si="112"/>
        <v>4.9183866038083127E-53</v>
      </c>
      <c r="H1897" s="1">
        <f>G1897/$G$21</f>
        <v>3.448942704891077E-54</v>
      </c>
      <c r="I1897">
        <f>IF($E$11&lt;=D1897, IF(D1897&lt;=$A$15,D1897-$E$11,$F$11),0)</f>
        <v>300</v>
      </c>
      <c r="J1897">
        <f>IF(D1897&lt;=$A$15,0,D1897-$A$15)</f>
        <v>1565</v>
      </c>
      <c r="K1897" s="5">
        <f>IF(D1897&lt;$E$11,H1897,0)</f>
        <v>0</v>
      </c>
      <c r="L1897">
        <f>IF(D1897&lt;$A$15,$C$11,$C$11*(1-$G$11))</f>
        <v>200</v>
      </c>
      <c r="M1897">
        <f>IF(D1897&lt;$A$15,0,1)</f>
        <v>1</v>
      </c>
    </row>
    <row r="1898" spans="4:13" x14ac:dyDescent="0.2">
      <c r="D1898">
        <f t="shared" si="113"/>
        <v>1875</v>
      </c>
      <c r="E1898" s="1">
        <f t="shared" si="111"/>
        <v>145.80507773484382</v>
      </c>
      <c r="F1898" s="1">
        <f t="shared" si="114"/>
        <v>-120.52099041915105</v>
      </c>
      <c r="G1898" s="1">
        <f t="shared" si="112"/>
        <v>4.5540616701929399E-53</v>
      </c>
      <c r="H1898" s="1">
        <f>G1898/$G$21</f>
        <v>3.1934654674917788E-54</v>
      </c>
      <c r="I1898">
        <f>IF($E$11&lt;=D1898, IF(D1898&lt;=$A$15,D1898-$E$11,$F$11),0)</f>
        <v>300</v>
      </c>
      <c r="J1898">
        <f>IF(D1898&lt;=$A$15,0,D1898-$A$15)</f>
        <v>1566</v>
      </c>
      <c r="K1898" s="5">
        <f>IF(D1898&lt;$E$11,H1898,0)</f>
        <v>0</v>
      </c>
      <c r="L1898">
        <f>IF(D1898&lt;$A$15,$C$11,$C$11*(1-$G$11))</f>
        <v>200</v>
      </c>
      <c r="M1898">
        <f>IF(D1898&lt;$A$15,0,1)</f>
        <v>1</v>
      </c>
    </row>
    <row r="1899" spans="4:13" x14ac:dyDescent="0.2">
      <c r="D1899">
        <f t="shared" si="113"/>
        <v>1876</v>
      </c>
      <c r="E1899" s="1">
        <f t="shared" si="111"/>
        <v>145.7281166937077</v>
      </c>
      <c r="F1899" s="1">
        <f t="shared" si="114"/>
        <v>-120.59795146028716</v>
      </c>
      <c r="G1899" s="1">
        <f t="shared" si="112"/>
        <v>4.2167237686972199E-53</v>
      </c>
      <c r="H1899" s="1">
        <f>G1899/$G$21</f>
        <v>2.9569124698998325E-54</v>
      </c>
      <c r="I1899">
        <f>IF($E$11&lt;=D1899, IF(D1899&lt;=$A$15,D1899-$E$11,$F$11),0)</f>
        <v>300</v>
      </c>
      <c r="J1899">
        <f>IF(D1899&lt;=$A$15,0,D1899-$A$15)</f>
        <v>1567</v>
      </c>
      <c r="K1899" s="5">
        <f>IF(D1899&lt;$E$11,H1899,0)</f>
        <v>0</v>
      </c>
      <c r="L1899">
        <f>IF(D1899&lt;$A$15,$C$11,$C$11*(1-$G$11))</f>
        <v>200</v>
      </c>
      <c r="M1899">
        <f>IF(D1899&lt;$A$15,0,1)</f>
        <v>1</v>
      </c>
    </row>
    <row r="1900" spans="4:13" x14ac:dyDescent="0.2">
      <c r="D1900">
        <f t="shared" si="113"/>
        <v>1877</v>
      </c>
      <c r="E1900" s="1">
        <f t="shared" si="111"/>
        <v>145.65115565257159</v>
      </c>
      <c r="F1900" s="1">
        <f t="shared" si="114"/>
        <v>-120.67491250142328</v>
      </c>
      <c r="G1900" s="1">
        <f t="shared" si="112"/>
        <v>3.9043738599048824E-53</v>
      </c>
      <c r="H1900" s="1">
        <f>G1900/$G$21</f>
        <v>2.7378819165739531E-54</v>
      </c>
      <c r="I1900">
        <f>IF($E$11&lt;=D1900, IF(D1900&lt;=$A$15,D1900-$E$11,$F$11),0)</f>
        <v>300</v>
      </c>
      <c r="J1900">
        <f>IF(D1900&lt;=$A$15,0,D1900-$A$15)</f>
        <v>1568</v>
      </c>
      <c r="K1900" s="5">
        <f>IF(D1900&lt;$E$11,H1900,0)</f>
        <v>0</v>
      </c>
      <c r="L1900">
        <f>IF(D1900&lt;$A$15,$C$11,$C$11*(1-$G$11))</f>
        <v>200</v>
      </c>
      <c r="M1900">
        <f>IF(D1900&lt;$A$15,0,1)</f>
        <v>1</v>
      </c>
    </row>
    <row r="1901" spans="4:13" x14ac:dyDescent="0.2">
      <c r="D1901">
        <f t="shared" si="113"/>
        <v>1878</v>
      </c>
      <c r="E1901" s="1">
        <f t="shared" si="111"/>
        <v>145.57419461143547</v>
      </c>
      <c r="F1901" s="1">
        <f t="shared" si="114"/>
        <v>-120.75187354255939</v>
      </c>
      <c r="G1901" s="1">
        <f t="shared" si="112"/>
        <v>3.6151609813934554E-53</v>
      </c>
      <c r="H1901" s="1">
        <f>G1901/$G$21</f>
        <v>2.5350758486796186E-54</v>
      </c>
      <c r="I1901">
        <f>IF($E$11&lt;=D1901, IF(D1901&lt;=$A$15,D1901-$E$11,$F$11),0)</f>
        <v>300</v>
      </c>
      <c r="J1901">
        <f>IF(D1901&lt;=$A$15,0,D1901-$A$15)</f>
        <v>1569</v>
      </c>
      <c r="K1901" s="5">
        <f>IF(D1901&lt;$E$11,H1901,0)</f>
        <v>0</v>
      </c>
      <c r="L1901">
        <f>IF(D1901&lt;$A$15,$C$11,$C$11*(1-$G$11))</f>
        <v>200</v>
      </c>
      <c r="M1901">
        <f>IF(D1901&lt;$A$15,0,1)</f>
        <v>1</v>
      </c>
    </row>
    <row r="1902" spans="4:13" x14ac:dyDescent="0.2">
      <c r="D1902">
        <f t="shared" si="113"/>
        <v>1879</v>
      </c>
      <c r="E1902" s="1">
        <f t="shared" si="111"/>
        <v>145.49723357029936</v>
      </c>
      <c r="F1902" s="1">
        <f t="shared" si="114"/>
        <v>-120.82883458369551</v>
      </c>
      <c r="G1902" s="1">
        <f t="shared" si="112"/>
        <v>3.3473712790680565E-53</v>
      </c>
      <c r="H1902" s="1">
        <f>G1902/$G$21</f>
        <v>2.3472924524811578E-54</v>
      </c>
      <c r="I1902">
        <f>IF($E$11&lt;=D1902, IF(D1902&lt;=$A$15,D1902-$E$11,$F$11),0)</f>
        <v>300</v>
      </c>
      <c r="J1902">
        <f>IF(D1902&lt;=$A$15,0,D1902-$A$15)</f>
        <v>1570</v>
      </c>
      <c r="K1902" s="5">
        <f>IF(D1902&lt;$E$11,H1902,0)</f>
        <v>0</v>
      </c>
      <c r="L1902">
        <f>IF(D1902&lt;$A$15,$C$11,$C$11*(1-$G$11))</f>
        <v>200</v>
      </c>
      <c r="M1902">
        <f>IF(D1902&lt;$A$15,0,1)</f>
        <v>1</v>
      </c>
    </row>
    <row r="1903" spans="4:13" x14ac:dyDescent="0.2">
      <c r="D1903">
        <f t="shared" si="113"/>
        <v>1880</v>
      </c>
      <c r="E1903" s="1">
        <f t="shared" si="111"/>
        <v>145.42027252916324</v>
      </c>
      <c r="F1903" s="1">
        <f t="shared" si="114"/>
        <v>-120.90579562483163</v>
      </c>
      <c r="G1903" s="1">
        <f t="shared" si="112"/>
        <v>3.0994178509889805E-53</v>
      </c>
      <c r="H1903" s="1">
        <f>G1903/$G$21</f>
        <v>2.1734189374825813E-54</v>
      </c>
      <c r="I1903">
        <f>IF($E$11&lt;=D1903, IF(D1903&lt;=$A$15,D1903-$E$11,$F$11),0)</f>
        <v>300</v>
      </c>
      <c r="J1903">
        <f>IF(D1903&lt;=$A$15,0,D1903-$A$15)</f>
        <v>1571</v>
      </c>
      <c r="K1903" s="5">
        <f>IF(D1903&lt;$E$11,H1903,0)</f>
        <v>0</v>
      </c>
      <c r="L1903">
        <f>IF(D1903&lt;$A$15,$C$11,$C$11*(1-$G$11))</f>
        <v>200</v>
      </c>
      <c r="M1903">
        <f>IF(D1903&lt;$A$15,0,1)</f>
        <v>1</v>
      </c>
    </row>
    <row r="1904" spans="4:13" x14ac:dyDescent="0.2">
      <c r="D1904">
        <f t="shared" si="113"/>
        <v>1881</v>
      </c>
      <c r="E1904" s="1">
        <f t="shared" si="111"/>
        <v>145.34331148802713</v>
      </c>
      <c r="F1904" s="1">
        <f t="shared" si="114"/>
        <v>-120.98275666596774</v>
      </c>
      <c r="G1904" s="1">
        <f t="shared" si="112"/>
        <v>2.8698313435083515E-53</v>
      </c>
      <c r="H1904" s="1">
        <f>G1904/$G$21</f>
        <v>2.0124249421135266E-54</v>
      </c>
      <c r="I1904">
        <f>IF($E$11&lt;=D1904, IF(D1904&lt;=$A$15,D1904-$E$11,$F$11),0)</f>
        <v>300</v>
      </c>
      <c r="J1904">
        <f>IF(D1904&lt;=$A$15,0,D1904-$A$15)</f>
        <v>1572</v>
      </c>
      <c r="K1904" s="5">
        <f>IF(D1904&lt;$E$11,H1904,0)</f>
        <v>0</v>
      </c>
      <c r="L1904">
        <f>IF(D1904&lt;$A$15,$C$11,$C$11*(1-$G$11))</f>
        <v>200</v>
      </c>
      <c r="M1904">
        <f>IF(D1904&lt;$A$15,0,1)</f>
        <v>1</v>
      </c>
    </row>
    <row r="1905" spans="4:13" x14ac:dyDescent="0.2">
      <c r="D1905">
        <f t="shared" si="113"/>
        <v>1882</v>
      </c>
      <c r="E1905" s="1">
        <f t="shared" si="111"/>
        <v>145.26635044689101</v>
      </c>
      <c r="F1905" s="1">
        <f t="shared" si="114"/>
        <v>-121.05971770710386</v>
      </c>
      <c r="G1905" s="1">
        <f t="shared" si="112"/>
        <v>2.6572512439892478E-53</v>
      </c>
      <c r="H1905" s="1">
        <f>G1905/$G$21</f>
        <v>1.8633564278829183E-54</v>
      </c>
      <c r="I1905">
        <f>IF($E$11&lt;=D1905, IF(D1905&lt;=$A$15,D1905-$E$11,$F$11),0)</f>
        <v>300</v>
      </c>
      <c r="J1905">
        <f>IF(D1905&lt;=$A$15,0,D1905-$A$15)</f>
        <v>1573</v>
      </c>
      <c r="K1905" s="5">
        <f>IF(D1905&lt;$E$11,H1905,0)</f>
        <v>0</v>
      </c>
      <c r="L1905">
        <f>IF(D1905&lt;$A$15,$C$11,$C$11*(1-$G$11))</f>
        <v>200</v>
      </c>
      <c r="M1905">
        <f>IF(D1905&lt;$A$15,0,1)</f>
        <v>1</v>
      </c>
    </row>
    <row r="1906" spans="4:13" x14ac:dyDescent="0.2">
      <c r="D1906">
        <f t="shared" si="113"/>
        <v>1883</v>
      </c>
      <c r="E1906" s="1">
        <f t="shared" si="111"/>
        <v>145.18938940575489</v>
      </c>
      <c r="F1906" s="1">
        <f t="shared" si="114"/>
        <v>-121.13667874823997</v>
      </c>
      <c r="G1906" s="1">
        <f t="shared" si="112"/>
        <v>2.4604178185085938E-53</v>
      </c>
      <c r="H1906" s="1">
        <f>G1906/$G$21</f>
        <v>1.7253300258175389E-54</v>
      </c>
      <c r="I1906">
        <f>IF($E$11&lt;=D1906, IF(D1906&lt;=$A$15,D1906-$E$11,$F$11),0)</f>
        <v>300</v>
      </c>
      <c r="J1906">
        <f>IF(D1906&lt;=$A$15,0,D1906-$A$15)</f>
        <v>1574</v>
      </c>
      <c r="K1906" s="5">
        <f>IF(D1906&lt;$E$11,H1906,0)</f>
        <v>0</v>
      </c>
      <c r="L1906">
        <f>IF(D1906&lt;$A$15,$C$11,$C$11*(1-$G$11))</f>
        <v>200</v>
      </c>
      <c r="M1906">
        <f>IF(D1906&lt;$A$15,0,1)</f>
        <v>1</v>
      </c>
    </row>
    <row r="1907" spans="4:13" x14ac:dyDescent="0.2">
      <c r="D1907">
        <f t="shared" si="113"/>
        <v>1884</v>
      </c>
      <c r="E1907" s="1">
        <f t="shared" si="111"/>
        <v>145.11242836461878</v>
      </c>
      <c r="F1907" s="1">
        <f t="shared" si="114"/>
        <v>-121.21363978937609</v>
      </c>
      <c r="G1907" s="1">
        <f t="shared" si="112"/>
        <v>2.2781646467672454E-53</v>
      </c>
      <c r="H1907" s="1">
        <f>G1907/$G$21</f>
        <v>1.5975278016829265E-54</v>
      </c>
      <c r="I1907">
        <f>IF($E$11&lt;=D1907, IF(D1907&lt;=$A$15,D1907-$E$11,$F$11),0)</f>
        <v>300</v>
      </c>
      <c r="J1907">
        <f>IF(D1907&lt;=$A$15,0,D1907-$A$15)</f>
        <v>1575</v>
      </c>
      <c r="K1907" s="5">
        <f>IF(D1907&lt;$E$11,H1907,0)</f>
        <v>0</v>
      </c>
      <c r="L1907">
        <f>IF(D1907&lt;$A$15,$C$11,$C$11*(1-$G$11))</f>
        <v>200</v>
      </c>
      <c r="M1907">
        <f>IF(D1907&lt;$A$15,0,1)</f>
        <v>1</v>
      </c>
    </row>
    <row r="1908" spans="4:13" x14ac:dyDescent="0.2">
      <c r="D1908">
        <f t="shared" si="113"/>
        <v>1885</v>
      </c>
      <c r="E1908" s="1">
        <f t="shared" si="111"/>
        <v>145.03546732348266</v>
      </c>
      <c r="F1908" s="1">
        <f t="shared" si="114"/>
        <v>-121.2906008305122</v>
      </c>
      <c r="G1908" s="1">
        <f t="shared" si="112"/>
        <v>2.1094117099696983E-53</v>
      </c>
      <c r="H1908" s="1">
        <f>G1908/$G$21</f>
        <v>1.4791924089656914E-54</v>
      </c>
      <c r="I1908">
        <f>IF($E$11&lt;=D1908, IF(D1908&lt;=$A$15,D1908-$E$11,$F$11),0)</f>
        <v>300</v>
      </c>
      <c r="J1908">
        <f>IF(D1908&lt;=$A$15,0,D1908-$A$15)</f>
        <v>1576</v>
      </c>
      <c r="K1908" s="5">
        <f>IF(D1908&lt;$E$11,H1908,0)</f>
        <v>0</v>
      </c>
      <c r="L1908">
        <f>IF(D1908&lt;$A$15,$C$11,$C$11*(1-$G$11))</f>
        <v>200</v>
      </c>
      <c r="M1908">
        <f>IF(D1908&lt;$A$15,0,1)</f>
        <v>1</v>
      </c>
    </row>
    <row r="1909" spans="4:13" x14ac:dyDescent="0.2">
      <c r="D1909">
        <f t="shared" si="113"/>
        <v>1886</v>
      </c>
      <c r="E1909" s="1">
        <f t="shared" si="111"/>
        <v>144.95850628234655</v>
      </c>
      <c r="F1909" s="1">
        <f t="shared" si="114"/>
        <v>-121.36756187164832</v>
      </c>
      <c r="G1909" s="1">
        <f t="shared" si="112"/>
        <v>1.9531589907127083E-53</v>
      </c>
      <c r="H1909" s="1">
        <f>G1909/$G$21</f>
        <v>1.3696226008941761E-54</v>
      </c>
      <c r="I1909">
        <f>IF($E$11&lt;=D1909, IF(D1909&lt;=$A$15,D1909-$E$11,$F$11),0)</f>
        <v>300</v>
      </c>
      <c r="J1909">
        <f>IF(D1909&lt;=$A$15,0,D1909-$A$15)</f>
        <v>1577</v>
      </c>
      <c r="K1909" s="5">
        <f>IF(D1909&lt;$E$11,H1909,0)</f>
        <v>0</v>
      </c>
      <c r="L1909">
        <f>IF(D1909&lt;$A$15,$C$11,$C$11*(1-$G$11))</f>
        <v>200</v>
      </c>
      <c r="M1909">
        <f>IF(D1909&lt;$A$15,0,1)</f>
        <v>1</v>
      </c>
    </row>
    <row r="1910" spans="4:13" x14ac:dyDescent="0.2">
      <c r="D1910">
        <f t="shared" si="113"/>
        <v>1887</v>
      </c>
      <c r="E1910" s="1">
        <f t="shared" si="111"/>
        <v>144.88154524121043</v>
      </c>
      <c r="F1910" s="1">
        <f t="shared" si="114"/>
        <v>-121.44452291278444</v>
      </c>
      <c r="G1910" s="1">
        <f t="shared" si="112"/>
        <v>1.8084805469562343E-53</v>
      </c>
      <c r="H1910" s="1">
        <f>G1910/$G$21</f>
        <v>1.2681690749020308E-54</v>
      </c>
      <c r="I1910">
        <f>IF($E$11&lt;=D1910, IF(D1910&lt;=$A$15,D1910-$E$11,$F$11),0)</f>
        <v>300</v>
      </c>
      <c r="J1910">
        <f>IF(D1910&lt;=$A$15,0,D1910-$A$15)</f>
        <v>1578</v>
      </c>
      <c r="K1910" s="5">
        <f>IF(D1910&lt;$E$11,H1910,0)</f>
        <v>0</v>
      </c>
      <c r="L1910">
        <f>IF(D1910&lt;$A$15,$C$11,$C$11*(1-$G$11))</f>
        <v>200</v>
      </c>
      <c r="M1910">
        <f>IF(D1910&lt;$A$15,0,1)</f>
        <v>1</v>
      </c>
    </row>
    <row r="1911" spans="4:13" x14ac:dyDescent="0.2">
      <c r="D1911">
        <f t="shared" si="113"/>
        <v>1888</v>
      </c>
      <c r="E1911" s="1">
        <f t="shared" si="111"/>
        <v>144.80458420007432</v>
      </c>
      <c r="F1911" s="1">
        <f t="shared" si="114"/>
        <v>-121.52148395392055</v>
      </c>
      <c r="G1911" s="1">
        <f t="shared" si="112"/>
        <v>1.6745190249594975E-53</v>
      </c>
      <c r="H1911" s="1">
        <f>G1911/$G$21</f>
        <v>1.1742306249093027E-54</v>
      </c>
      <c r="I1911">
        <f>IF($E$11&lt;=D1911, IF(D1911&lt;=$A$15,D1911-$E$11,$F$11),0)</f>
        <v>300</v>
      </c>
      <c r="J1911">
        <f>IF(D1911&lt;=$A$15,0,D1911-$A$15)</f>
        <v>1579</v>
      </c>
      <c r="K1911" s="5">
        <f>IF(D1911&lt;$E$11,H1911,0)</f>
        <v>0</v>
      </c>
      <c r="L1911">
        <f>IF(D1911&lt;$A$15,$C$11,$C$11*(1-$G$11))</f>
        <v>200</v>
      </c>
      <c r="M1911">
        <f>IF(D1911&lt;$A$15,0,1)</f>
        <v>1</v>
      </c>
    </row>
    <row r="1912" spans="4:13" x14ac:dyDescent="0.2">
      <c r="D1912">
        <f t="shared" si="113"/>
        <v>1889</v>
      </c>
      <c r="E1912" s="1">
        <f t="shared" si="111"/>
        <v>144.7276231589382</v>
      </c>
      <c r="F1912" s="1">
        <f t="shared" si="114"/>
        <v>-121.59844499505667</v>
      </c>
      <c r="G1912" s="1">
        <f t="shared" si="112"/>
        <v>1.5504805786662208E-53</v>
      </c>
      <c r="H1912" s="1">
        <f>G1912/$G$21</f>
        <v>1.0872505786197384E-54</v>
      </c>
      <c r="I1912">
        <f>IF($E$11&lt;=D1912, IF(D1912&lt;=$A$15,D1912-$E$11,$F$11),0)</f>
        <v>300</v>
      </c>
      <c r="J1912">
        <f>IF(D1912&lt;=$A$15,0,D1912-$A$15)</f>
        <v>1580</v>
      </c>
      <c r="K1912" s="5">
        <f>IF(D1912&lt;$E$11,H1912,0)</f>
        <v>0</v>
      </c>
      <c r="L1912">
        <f>IF(D1912&lt;$A$15,$C$11,$C$11*(1-$G$11))</f>
        <v>200</v>
      </c>
      <c r="M1912">
        <f>IF(D1912&lt;$A$15,0,1)</f>
        <v>1</v>
      </c>
    </row>
    <row r="1913" spans="4:13" x14ac:dyDescent="0.2">
      <c r="D1913">
        <f t="shared" si="113"/>
        <v>1890</v>
      </c>
      <c r="E1913" s="1">
        <f t="shared" si="111"/>
        <v>144.65066211780209</v>
      </c>
      <c r="F1913" s="1">
        <f t="shared" si="114"/>
        <v>-121.67540603619278</v>
      </c>
      <c r="G1913" s="1">
        <f t="shared" si="112"/>
        <v>1.4356301654317041E-53</v>
      </c>
      <c r="H1913" s="1">
        <f>G1913/$G$21</f>
        <v>1.0067134987219928E-54</v>
      </c>
      <c r="I1913">
        <f>IF($E$11&lt;=D1913, IF(D1913&lt;=$A$15,D1913-$E$11,$F$11),0)</f>
        <v>300</v>
      </c>
      <c r="J1913">
        <f>IF(D1913&lt;=$A$15,0,D1913-$A$15)</f>
        <v>1581</v>
      </c>
      <c r="K1913" s="5">
        <f>IF(D1913&lt;$E$11,H1913,0)</f>
        <v>0</v>
      </c>
      <c r="L1913">
        <f>IF(D1913&lt;$A$15,$C$11,$C$11*(1-$G$11))</f>
        <v>200</v>
      </c>
      <c r="M1913">
        <f>IF(D1913&lt;$A$15,0,1)</f>
        <v>1</v>
      </c>
    </row>
    <row r="1914" spans="4:13" x14ac:dyDescent="0.2">
      <c r="D1914">
        <f t="shared" si="113"/>
        <v>1891</v>
      </c>
      <c r="E1914" s="1">
        <f t="shared" si="111"/>
        <v>144.57370107666597</v>
      </c>
      <c r="F1914" s="1">
        <f t="shared" si="114"/>
        <v>-121.7523670773289</v>
      </c>
      <c r="G1914" s="1">
        <f t="shared" si="112"/>
        <v>1.3292871902145578E-53</v>
      </c>
      <c r="H1914" s="1">
        <f>G1914/$G$21</f>
        <v>9.3214212844630152E-55</v>
      </c>
      <c r="I1914">
        <f>IF($E$11&lt;=D1914, IF(D1914&lt;=$A$15,D1914-$E$11,$F$11),0)</f>
        <v>300</v>
      </c>
      <c r="J1914">
        <f>IF(D1914&lt;=$A$15,0,D1914-$A$15)</f>
        <v>1582</v>
      </c>
      <c r="K1914" s="5">
        <f>IF(D1914&lt;$E$11,H1914,0)</f>
        <v>0</v>
      </c>
      <c r="L1914">
        <f>IF(D1914&lt;$A$15,$C$11,$C$11*(1-$G$11))</f>
        <v>200</v>
      </c>
      <c r="M1914">
        <f>IF(D1914&lt;$A$15,0,1)</f>
        <v>1</v>
      </c>
    </row>
    <row r="1915" spans="4:13" x14ac:dyDescent="0.2">
      <c r="D1915">
        <f t="shared" si="113"/>
        <v>1892</v>
      </c>
      <c r="E1915" s="1">
        <f t="shared" si="111"/>
        <v>144.49674003552985</v>
      </c>
      <c r="F1915" s="1">
        <f t="shared" si="114"/>
        <v>-121.82932811846501</v>
      </c>
      <c r="G1915" s="1">
        <f t="shared" si="112"/>
        <v>1.2308214724209024E-53</v>
      </c>
      <c r="H1915" s="1">
        <f>G1915/$G$21</f>
        <v>8.6309456337621593E-55</v>
      </c>
      <c r="I1915">
        <f>IF($E$11&lt;=D1915, IF(D1915&lt;=$A$15,D1915-$E$11,$F$11),0)</f>
        <v>300</v>
      </c>
      <c r="J1915">
        <f>IF(D1915&lt;=$A$15,0,D1915-$A$15)</f>
        <v>1583</v>
      </c>
      <c r="K1915" s="5">
        <f>IF(D1915&lt;$E$11,H1915,0)</f>
        <v>0</v>
      </c>
      <c r="L1915">
        <f>IF(D1915&lt;$A$15,$C$11,$C$11*(1-$G$11))</f>
        <v>200</v>
      </c>
      <c r="M1915">
        <f>IF(D1915&lt;$A$15,0,1)</f>
        <v>1</v>
      </c>
    </row>
    <row r="1916" spans="4:13" x14ac:dyDescent="0.2">
      <c r="D1916">
        <f t="shared" si="113"/>
        <v>1893</v>
      </c>
      <c r="E1916" s="1">
        <f t="shared" si="111"/>
        <v>144.41977899439374</v>
      </c>
      <c r="F1916" s="1">
        <f t="shared" si="114"/>
        <v>-121.90628915960113</v>
      </c>
      <c r="G1916" s="1">
        <f t="shared" si="112"/>
        <v>1.1396495115008499E-53</v>
      </c>
      <c r="H1916" s="1">
        <f>G1916/$G$21</f>
        <v>7.9916163275576569E-55</v>
      </c>
      <c r="I1916">
        <f>IF($E$11&lt;=D1916, IF(D1916&lt;=$A$15,D1916-$E$11,$F$11),0)</f>
        <v>300</v>
      </c>
      <c r="J1916">
        <f>IF(D1916&lt;=$A$15,0,D1916-$A$15)</f>
        <v>1584</v>
      </c>
      <c r="K1916" s="5">
        <f>IF(D1916&lt;$E$11,H1916,0)</f>
        <v>0</v>
      </c>
      <c r="L1916">
        <f>IF(D1916&lt;$A$15,$C$11,$C$11*(1-$G$11))</f>
        <v>200</v>
      </c>
      <c r="M1916">
        <f>IF(D1916&lt;$A$15,0,1)</f>
        <v>1</v>
      </c>
    </row>
    <row r="1917" spans="4:13" x14ac:dyDescent="0.2">
      <c r="D1917">
        <f t="shared" si="113"/>
        <v>1894</v>
      </c>
      <c r="E1917" s="1">
        <f t="shared" si="111"/>
        <v>144.34281795325762</v>
      </c>
      <c r="F1917" s="1">
        <f t="shared" si="114"/>
        <v>-121.98325020073725</v>
      </c>
      <c r="G1917" s="1">
        <f t="shared" si="112"/>
        <v>1.0552310291674669E-53</v>
      </c>
      <c r="H1917" s="1">
        <f>G1917/$G$21</f>
        <v>7.399644747738663E-55</v>
      </c>
      <c r="I1917">
        <f>IF($E$11&lt;=D1917, IF(D1917&lt;=$A$15,D1917-$E$11,$F$11),0)</f>
        <v>300</v>
      </c>
      <c r="J1917">
        <f>IF(D1917&lt;=$A$15,0,D1917-$A$15)</f>
        <v>1585</v>
      </c>
      <c r="K1917" s="5">
        <f>IF(D1917&lt;$E$11,H1917,0)</f>
        <v>0</v>
      </c>
      <c r="L1917">
        <f>IF(D1917&lt;$A$15,$C$11,$C$11*(1-$G$11))</f>
        <v>200</v>
      </c>
      <c r="M1917">
        <f>IF(D1917&lt;$A$15,0,1)</f>
        <v>1</v>
      </c>
    </row>
    <row r="1918" spans="4:13" x14ac:dyDescent="0.2">
      <c r="D1918">
        <f t="shared" si="113"/>
        <v>1895</v>
      </c>
      <c r="E1918" s="1">
        <f t="shared" si="111"/>
        <v>144.26585691212151</v>
      </c>
      <c r="F1918" s="1">
        <f t="shared" si="114"/>
        <v>-122.06021124187336</v>
      </c>
      <c r="G1918" s="1">
        <f t="shared" si="112"/>
        <v>9.7706576774766692E-54</v>
      </c>
      <c r="H1918" s="1">
        <f>G1918/$G$21</f>
        <v>6.8515229145729234E-55</v>
      </c>
      <c r="I1918">
        <f>IF($E$11&lt;=D1918, IF(D1918&lt;=$A$15,D1918-$E$11,$F$11),0)</f>
        <v>300</v>
      </c>
      <c r="J1918">
        <f>IF(D1918&lt;=$A$15,0,D1918-$A$15)</f>
        <v>1586</v>
      </c>
      <c r="K1918" s="5">
        <f>IF(D1918&lt;$E$11,H1918,0)</f>
        <v>0</v>
      </c>
      <c r="L1918">
        <f>IF(D1918&lt;$A$15,$C$11,$C$11*(1-$G$11))</f>
        <v>200</v>
      </c>
      <c r="M1918">
        <f>IF(D1918&lt;$A$15,0,1)</f>
        <v>1</v>
      </c>
    </row>
    <row r="1919" spans="4:13" x14ac:dyDescent="0.2">
      <c r="D1919">
        <f t="shared" si="113"/>
        <v>1896</v>
      </c>
      <c r="E1919" s="1">
        <f t="shared" si="111"/>
        <v>144.18889587098539</v>
      </c>
      <c r="F1919" s="1">
        <f t="shared" si="114"/>
        <v>-122.13717228300948</v>
      </c>
      <c r="G1919" s="1">
        <f t="shared" si="112"/>
        <v>9.0469052569229562E-54</v>
      </c>
      <c r="H1919" s="1">
        <f>G1919/$G$21</f>
        <v>6.344002698678713E-55</v>
      </c>
      <c r="I1919">
        <f>IF($E$11&lt;=D1919, IF(D1919&lt;=$A$15,D1919-$E$11,$F$11),0)</f>
        <v>300</v>
      </c>
      <c r="J1919">
        <f>IF(D1919&lt;=$A$15,0,D1919-$A$15)</f>
        <v>1587</v>
      </c>
      <c r="K1919" s="5">
        <f>IF(D1919&lt;$E$11,H1919,0)</f>
        <v>0</v>
      </c>
      <c r="L1919">
        <f>IF(D1919&lt;$A$15,$C$11,$C$11*(1-$G$11))</f>
        <v>200</v>
      </c>
      <c r="M1919">
        <f>IF(D1919&lt;$A$15,0,1)</f>
        <v>1</v>
      </c>
    </row>
    <row r="1920" spans="4:13" x14ac:dyDescent="0.2">
      <c r="D1920">
        <f t="shared" si="113"/>
        <v>1897</v>
      </c>
      <c r="E1920" s="1">
        <f t="shared" si="111"/>
        <v>144.11193482984928</v>
      </c>
      <c r="F1920" s="1">
        <f t="shared" si="114"/>
        <v>-122.21413332414559</v>
      </c>
      <c r="G1920" s="1">
        <f t="shared" si="112"/>
        <v>8.3767641267806213E-54</v>
      </c>
      <c r="H1920" s="1">
        <f>G1920/$G$21</f>
        <v>5.874076572850735E-55</v>
      </c>
      <c r="I1920">
        <f>IF($E$11&lt;=D1920, IF(D1920&lt;=$A$15,D1920-$E$11,$F$11),0)</f>
        <v>300</v>
      </c>
      <c r="J1920">
        <f>IF(D1920&lt;=$A$15,0,D1920-$A$15)</f>
        <v>1588</v>
      </c>
      <c r="K1920" s="5">
        <f>IF(D1920&lt;$E$11,H1920,0)</f>
        <v>0</v>
      </c>
      <c r="L1920">
        <f>IF(D1920&lt;$A$15,$C$11,$C$11*(1-$G$11))</f>
        <v>200</v>
      </c>
      <c r="M1920">
        <f>IF(D1920&lt;$A$15,0,1)</f>
        <v>1</v>
      </c>
    </row>
    <row r="1921" spans="4:13" x14ac:dyDescent="0.2">
      <c r="D1921">
        <f t="shared" si="113"/>
        <v>1898</v>
      </c>
      <c r="E1921" s="1">
        <f t="shared" si="111"/>
        <v>144.03497378871316</v>
      </c>
      <c r="F1921" s="1">
        <f t="shared" si="114"/>
        <v>-122.29109436528171</v>
      </c>
      <c r="G1921" s="1">
        <f t="shared" si="112"/>
        <v>7.7562630803525255E-54</v>
      </c>
      <c r="H1921" s="1">
        <f>G1921/$G$21</f>
        <v>5.438959789676675E-55</v>
      </c>
      <c r="I1921">
        <f>IF($E$11&lt;=D1921, IF(D1921&lt;=$A$15,D1921-$E$11,$F$11),0)</f>
        <v>300</v>
      </c>
      <c r="J1921">
        <f>IF(D1921&lt;=$A$15,0,D1921-$A$15)</f>
        <v>1589</v>
      </c>
      <c r="K1921" s="5">
        <f>IF(D1921&lt;$E$11,H1921,0)</f>
        <v>0</v>
      </c>
      <c r="L1921">
        <f>IF(D1921&lt;$A$15,$C$11,$C$11*(1-$G$11))</f>
        <v>200</v>
      </c>
      <c r="M1921">
        <f>IF(D1921&lt;$A$15,0,1)</f>
        <v>1</v>
      </c>
    </row>
    <row r="1922" spans="4:13" x14ac:dyDescent="0.2">
      <c r="D1922">
        <f t="shared" si="113"/>
        <v>1899</v>
      </c>
      <c r="E1922" s="1">
        <f t="shared" si="111"/>
        <v>143.95801274757704</v>
      </c>
      <c r="F1922" s="1">
        <f t="shared" si="114"/>
        <v>-122.36805540641782</v>
      </c>
      <c r="G1922" s="1">
        <f t="shared" si="112"/>
        <v>7.1817250744005764E-54</v>
      </c>
      <c r="H1922" s="1">
        <f>G1922/$G$21</f>
        <v>5.036073879330318E-55</v>
      </c>
      <c r="I1922">
        <f>IF($E$11&lt;=D1922, IF(D1922&lt;=$A$15,D1922-$E$11,$F$11),0)</f>
        <v>300</v>
      </c>
      <c r="J1922">
        <f>IF(D1922&lt;=$A$15,0,D1922-$A$15)</f>
        <v>1590</v>
      </c>
      <c r="K1922" s="5">
        <f>IF(D1922&lt;$E$11,H1922,0)</f>
        <v>0</v>
      </c>
      <c r="L1922">
        <f>IF(D1922&lt;$A$15,$C$11,$C$11*(1-$G$11))</f>
        <v>200</v>
      </c>
      <c r="M1922">
        <f>IF(D1922&lt;$A$15,0,1)</f>
        <v>1</v>
      </c>
    </row>
    <row r="1923" spans="4:13" x14ac:dyDescent="0.2">
      <c r="D1923">
        <f t="shared" si="113"/>
        <v>1900</v>
      </c>
      <c r="E1923" s="1">
        <f t="shared" si="111"/>
        <v>143.88105170644093</v>
      </c>
      <c r="F1923" s="1">
        <f t="shared" si="114"/>
        <v>-122.44501644755394</v>
      </c>
      <c r="G1923" s="1">
        <f t="shared" si="112"/>
        <v>6.6497454392598774E-54</v>
      </c>
      <c r="H1923" s="1">
        <f>G1923/$G$21</f>
        <v>4.6630313697503534E-55</v>
      </c>
      <c r="I1923">
        <f>IF($E$11&lt;=D1923, IF(D1923&lt;=$A$15,D1923-$E$11,$F$11),0)</f>
        <v>300</v>
      </c>
      <c r="J1923">
        <f>IF(D1923&lt;=$A$15,0,D1923-$A$15)</f>
        <v>1591</v>
      </c>
      <c r="K1923" s="5">
        <f>IF(D1923&lt;$E$11,H1923,0)</f>
        <v>0</v>
      </c>
      <c r="L1923">
        <f>IF(D1923&lt;$A$15,$C$11,$C$11*(1-$G$11))</f>
        <v>200</v>
      </c>
      <c r="M1923">
        <f>IF(D1923&lt;$A$15,0,1)</f>
        <v>1</v>
      </c>
    </row>
    <row r="1924" spans="4:13" x14ac:dyDescent="0.2">
      <c r="D1924">
        <f t="shared" si="113"/>
        <v>1901</v>
      </c>
      <c r="E1924" s="1">
        <f t="shared" ref="E1924:F1987" si="115">IF($G$11=1,IF(D1924&lt;=$A$15, E1923+LN($C$11)-LN(60/$D$11)-LN(MIN(D1924,$E$11)), E1923-LN(60/$D$11)-LN(MIN(D1924,$E$11))), IF(D1924&lt;=$A$15, E1923+LN($C$11)-LN(60/$D$11)-LN(MIN(D1924,$E$11)), E1923+LN($C$11)+LN(1-$G$11)-LN(60/$D$11)-LN(MIN(D1924,$E$11))))</f>
        <v>143.80409066530481</v>
      </c>
      <c r="F1924" s="1">
        <f t="shared" si="114"/>
        <v>-122.52197748869006</v>
      </c>
      <c r="G1924" s="1">
        <f t="shared" si="112"/>
        <v>6.1571717030184828E-54</v>
      </c>
      <c r="H1924" s="1">
        <f>G1924/$G$21</f>
        <v>4.3176216386577893E-55</v>
      </c>
      <c r="I1924">
        <f>IF($E$11&lt;=D1924, IF(D1924&lt;=$A$15,D1924-$E$11,$F$11),0)</f>
        <v>300</v>
      </c>
      <c r="J1924">
        <f>IF(D1924&lt;=$A$15,0,D1924-$A$15)</f>
        <v>1592</v>
      </c>
      <c r="K1924" s="5">
        <f>IF(D1924&lt;$E$11,H1924,0)</f>
        <v>0</v>
      </c>
      <c r="L1924">
        <f>IF(D1924&lt;$A$15,$C$11,$C$11*(1-$G$11))</f>
        <v>200</v>
      </c>
      <c r="M1924">
        <f>IF(D1924&lt;$A$15,0,1)</f>
        <v>1</v>
      </c>
    </row>
    <row r="1925" spans="4:13" x14ac:dyDescent="0.2">
      <c r="D1925">
        <f t="shared" si="113"/>
        <v>1902</v>
      </c>
      <c r="E1925" s="1">
        <f t="shared" si="115"/>
        <v>143.7271296241687</v>
      </c>
      <c r="F1925" s="1">
        <f t="shared" si="114"/>
        <v>-122.59893852982617</v>
      </c>
      <c r="G1925" s="1">
        <f t="shared" si="112"/>
        <v>5.7010849102023711E-54</v>
      </c>
      <c r="H1925" s="1">
        <f>G1925/$G$21</f>
        <v>3.9977978135720776E-55</v>
      </c>
      <c r="I1925">
        <f>IF($E$11&lt;=D1925, IF(D1925&lt;=$A$15,D1925-$E$11,$F$11),0)</f>
        <v>300</v>
      </c>
      <c r="J1925">
        <f>IF(D1925&lt;=$A$15,0,D1925-$A$15)</f>
        <v>1593</v>
      </c>
      <c r="K1925" s="5">
        <f>IF(D1925&lt;$E$11,H1925,0)</f>
        <v>0</v>
      </c>
      <c r="L1925">
        <f>IF(D1925&lt;$A$15,$C$11,$C$11*(1-$G$11))</f>
        <v>200</v>
      </c>
      <c r="M1925">
        <f>IF(D1925&lt;$A$15,0,1)</f>
        <v>1</v>
      </c>
    </row>
    <row r="1926" spans="4:13" x14ac:dyDescent="0.2">
      <c r="D1926">
        <f t="shared" si="113"/>
        <v>1903</v>
      </c>
      <c r="E1926" s="1">
        <f t="shared" si="115"/>
        <v>143.65016858303258</v>
      </c>
      <c r="F1926" s="1">
        <f t="shared" si="114"/>
        <v>-122.67589957096229</v>
      </c>
      <c r="G1926" s="1">
        <f t="shared" si="112"/>
        <v>5.2787823242615219E-54</v>
      </c>
      <c r="H1926" s="1">
        <f>G1926/$G$21</f>
        <v>3.7016646421964155E-55</v>
      </c>
      <c r="I1926">
        <f>IF($E$11&lt;=D1926, IF(D1926&lt;=$A$15,D1926-$E$11,$F$11),0)</f>
        <v>300</v>
      </c>
      <c r="J1926">
        <f>IF(D1926&lt;=$A$15,0,D1926-$A$15)</f>
        <v>1594</v>
      </c>
      <c r="K1926" s="5">
        <f>IF(D1926&lt;$E$11,H1926,0)</f>
        <v>0</v>
      </c>
      <c r="L1926">
        <f>IF(D1926&lt;$A$15,$C$11,$C$11*(1-$G$11))</f>
        <v>200</v>
      </c>
      <c r="M1926">
        <f>IF(D1926&lt;$A$15,0,1)</f>
        <v>1</v>
      </c>
    </row>
    <row r="1927" spans="4:13" x14ac:dyDescent="0.2">
      <c r="D1927">
        <f t="shared" si="113"/>
        <v>1904</v>
      </c>
      <c r="E1927" s="1">
        <f t="shared" si="115"/>
        <v>143.57320754189647</v>
      </c>
      <c r="F1927" s="1">
        <f t="shared" si="114"/>
        <v>-122.7528606120984</v>
      </c>
      <c r="G1927" s="1">
        <f t="shared" si="112"/>
        <v>4.8877614113533226E-54</v>
      </c>
      <c r="H1927" s="1">
        <f>G1927/$G$21</f>
        <v>3.4274672612930201E-55</v>
      </c>
      <c r="I1927">
        <f>IF($E$11&lt;=D1927, IF(D1927&lt;=$A$15,D1927-$E$11,$F$11),0)</f>
        <v>300</v>
      </c>
      <c r="J1927">
        <f>IF(D1927&lt;=$A$15,0,D1927-$A$15)</f>
        <v>1595</v>
      </c>
      <c r="K1927" s="5">
        <f>IF(D1927&lt;$E$11,H1927,0)</f>
        <v>0</v>
      </c>
      <c r="L1927">
        <f>IF(D1927&lt;$A$15,$C$11,$C$11*(1-$G$11))</f>
        <v>200</v>
      </c>
      <c r="M1927">
        <f>IF(D1927&lt;$A$15,0,1)</f>
        <v>1</v>
      </c>
    </row>
    <row r="1928" spans="4:13" x14ac:dyDescent="0.2">
      <c r="D1928">
        <f t="shared" si="113"/>
        <v>1905</v>
      </c>
      <c r="E1928" s="1">
        <f t="shared" si="115"/>
        <v>143.49624650076035</v>
      </c>
      <c r="F1928" s="1">
        <f t="shared" si="114"/>
        <v>-122.82982165323452</v>
      </c>
      <c r="G1928" s="1">
        <f t="shared" si="112"/>
        <v>4.5257050105123926E-54</v>
      </c>
      <c r="H1928" s="1">
        <f>G1928/$G$21</f>
        <v>3.1735807974935771E-55</v>
      </c>
      <c r="I1928">
        <f>IF($E$11&lt;=D1928, IF(D1928&lt;=$A$15,D1928-$E$11,$F$11),0)</f>
        <v>300</v>
      </c>
      <c r="J1928">
        <f>IF(D1928&lt;=$A$15,0,D1928-$A$15)</f>
        <v>1596</v>
      </c>
      <c r="K1928" s="5">
        <f>IF(D1928&lt;$E$11,H1928,0)</f>
        <v>0</v>
      </c>
      <c r="L1928">
        <f>IF(D1928&lt;$A$15,$C$11,$C$11*(1-$G$11))</f>
        <v>200</v>
      </c>
      <c r="M1928">
        <f>IF(D1928&lt;$A$15,0,1)</f>
        <v>1</v>
      </c>
    </row>
    <row r="1929" spans="4:13" x14ac:dyDescent="0.2">
      <c r="D1929">
        <f t="shared" si="113"/>
        <v>1906</v>
      </c>
      <c r="E1929" s="1">
        <f t="shared" si="115"/>
        <v>143.41928545962423</v>
      </c>
      <c r="F1929" s="1">
        <f t="shared" si="114"/>
        <v>-122.90678269437063</v>
      </c>
      <c r="G1929" s="1">
        <f t="shared" si="112"/>
        <v>4.1904676023263426E-54</v>
      </c>
      <c r="H1929" s="1">
        <f>G1929/$G$21</f>
        <v>2.9385007384200161E-55</v>
      </c>
      <c r="I1929">
        <f>IF($E$11&lt;=D1929, IF(D1929&lt;=$A$15,D1929-$E$11,$F$11),0)</f>
        <v>300</v>
      </c>
      <c r="J1929">
        <f>IF(D1929&lt;=$A$15,0,D1929-$A$15)</f>
        <v>1597</v>
      </c>
      <c r="K1929" s="5">
        <f>IF(D1929&lt;$E$11,H1929,0)</f>
        <v>0</v>
      </c>
      <c r="L1929">
        <f>IF(D1929&lt;$A$15,$C$11,$C$11*(1-$G$11))</f>
        <v>200</v>
      </c>
      <c r="M1929">
        <f>IF(D1929&lt;$A$15,0,1)</f>
        <v>1</v>
      </c>
    </row>
    <row r="1930" spans="4:13" x14ac:dyDescent="0.2">
      <c r="D1930">
        <f t="shared" si="113"/>
        <v>1907</v>
      </c>
      <c r="E1930" s="1">
        <f t="shared" si="115"/>
        <v>143.34232441848812</v>
      </c>
      <c r="F1930" s="1">
        <f t="shared" si="114"/>
        <v>-122.98374373550675</v>
      </c>
      <c r="G1930" s="1">
        <f t="shared" si="112"/>
        <v>3.8800625947466628E-54</v>
      </c>
      <c r="H1930" s="1">
        <f>G1930/$G$21</f>
        <v>2.7208340170556052E-55</v>
      </c>
      <c r="I1930">
        <f>IF($E$11&lt;=D1930, IF(D1930&lt;=$A$15,D1930-$E$11,$F$11),0)</f>
        <v>300</v>
      </c>
      <c r="J1930">
        <f>IF(D1930&lt;=$A$15,0,D1930-$A$15)</f>
        <v>1598</v>
      </c>
      <c r="K1930" s="5">
        <f>IF(D1930&lt;$E$11,H1930,0)</f>
        <v>0</v>
      </c>
      <c r="L1930">
        <f>IF(D1930&lt;$A$15,$C$11,$C$11*(1-$G$11))</f>
        <v>200</v>
      </c>
      <c r="M1930">
        <f>IF(D1930&lt;$A$15,0,1)</f>
        <v>1</v>
      </c>
    </row>
    <row r="1931" spans="4:13" x14ac:dyDescent="0.2">
      <c r="D1931">
        <f t="shared" si="113"/>
        <v>1908</v>
      </c>
      <c r="E1931" s="1">
        <f t="shared" si="115"/>
        <v>143.265363377352</v>
      </c>
      <c r="F1931" s="1">
        <f t="shared" si="114"/>
        <v>-123.06070477664286</v>
      </c>
      <c r="G1931" s="1">
        <f t="shared" si="112"/>
        <v>3.5926505506913998E-54</v>
      </c>
      <c r="H1931" s="1">
        <f>G1931/$G$21</f>
        <v>2.5192907565329995E-55</v>
      </c>
      <c r="I1931">
        <f>IF($E$11&lt;=D1931, IF(D1931&lt;=$A$15,D1931-$E$11,$F$11),0)</f>
        <v>300</v>
      </c>
      <c r="J1931">
        <f>IF(D1931&lt;=$A$15,0,D1931-$A$15)</f>
        <v>1599</v>
      </c>
      <c r="K1931" s="5">
        <f>IF(D1931&lt;$E$11,H1931,0)</f>
        <v>0</v>
      </c>
      <c r="L1931">
        <f>IF(D1931&lt;$A$15,$C$11,$C$11*(1-$G$11))</f>
        <v>200</v>
      </c>
      <c r="M1931">
        <f>IF(D1931&lt;$A$15,0,1)</f>
        <v>1</v>
      </c>
    </row>
    <row r="1932" spans="4:13" x14ac:dyDescent="0.2">
      <c r="D1932">
        <f t="shared" si="113"/>
        <v>1909</v>
      </c>
      <c r="E1932" s="1">
        <f t="shared" si="115"/>
        <v>143.18840233621589</v>
      </c>
      <c r="F1932" s="1">
        <f t="shared" si="114"/>
        <v>-123.13766581777898</v>
      </c>
      <c r="G1932" s="1">
        <f t="shared" si="112"/>
        <v>3.3265282876772642E-54</v>
      </c>
      <c r="H1932" s="1">
        <f>G1932/$G$21</f>
        <v>2.3326766264194734E-55</v>
      </c>
      <c r="I1932">
        <f>IF($E$11&lt;=D1932, IF(D1932&lt;=$A$15,D1932-$E$11,$F$11),0)</f>
        <v>300</v>
      </c>
      <c r="J1932">
        <f>IF(D1932&lt;=$A$15,0,D1932-$A$15)</f>
        <v>1600</v>
      </c>
      <c r="K1932" s="5">
        <f>IF(D1932&lt;$E$11,H1932,0)</f>
        <v>0</v>
      </c>
      <c r="L1932">
        <f>IF(D1932&lt;$A$15,$C$11,$C$11*(1-$G$11))</f>
        <v>200</v>
      </c>
      <c r="M1932">
        <f>IF(D1932&lt;$A$15,0,1)</f>
        <v>1</v>
      </c>
    </row>
    <row r="1933" spans="4:13" x14ac:dyDescent="0.2">
      <c r="D1933">
        <f t="shared" si="113"/>
        <v>1910</v>
      </c>
      <c r="E1933" s="1">
        <f t="shared" si="115"/>
        <v>143.11144129507977</v>
      </c>
      <c r="F1933" s="1">
        <f t="shared" si="114"/>
        <v>-123.2146268589151</v>
      </c>
      <c r="G1933" s="1">
        <f t="shared" si="112"/>
        <v>3.0801187848863946E-54</v>
      </c>
      <c r="H1933" s="1">
        <f>G1933/$G$21</f>
        <v>2.1598857652032435E-55</v>
      </c>
      <c r="I1933">
        <f>IF($E$11&lt;=D1933, IF(D1933&lt;=$A$15,D1933-$E$11,$F$11),0)</f>
        <v>300</v>
      </c>
      <c r="J1933">
        <f>IF(D1933&lt;=$A$15,0,D1933-$A$15)</f>
        <v>1601</v>
      </c>
      <c r="K1933" s="5">
        <f>IF(D1933&lt;$E$11,H1933,0)</f>
        <v>0</v>
      </c>
      <c r="L1933">
        <f>IF(D1933&lt;$A$15,$C$11,$C$11*(1-$G$11))</f>
        <v>200</v>
      </c>
      <c r="M1933">
        <f>IF(D1933&lt;$A$15,0,1)</f>
        <v>1</v>
      </c>
    </row>
    <row r="1934" spans="4:13" x14ac:dyDescent="0.2">
      <c r="D1934">
        <f t="shared" si="113"/>
        <v>1911</v>
      </c>
      <c r="E1934" s="1">
        <f t="shared" si="115"/>
        <v>143.03448025394366</v>
      </c>
      <c r="F1934" s="1">
        <f t="shared" si="114"/>
        <v>-123.29158790005121</v>
      </c>
      <c r="G1934" s="1">
        <f t="shared" si="112"/>
        <v>2.8519618378578085E-54</v>
      </c>
      <c r="H1934" s="1">
        <f>G1934/$G$21</f>
        <v>1.9998942270400654E-55</v>
      </c>
      <c r="I1934">
        <f>IF($E$11&lt;=D1934, IF(D1934&lt;=$A$15,D1934-$E$11,$F$11),0)</f>
        <v>300</v>
      </c>
      <c r="J1934">
        <f>IF(D1934&lt;=$A$15,0,D1934-$A$15)</f>
        <v>1602</v>
      </c>
      <c r="K1934" s="5">
        <f>IF(D1934&lt;$E$11,H1934,0)</f>
        <v>0</v>
      </c>
      <c r="L1934">
        <f>IF(D1934&lt;$A$15,$C$11,$C$11*(1-$G$11))</f>
        <v>200</v>
      </c>
      <c r="M1934">
        <f>IF(D1934&lt;$A$15,0,1)</f>
        <v>1</v>
      </c>
    </row>
    <row r="1935" spans="4:13" x14ac:dyDescent="0.2">
      <c r="D1935">
        <f t="shared" si="113"/>
        <v>1912</v>
      </c>
      <c r="E1935" s="1">
        <f t="shared" si="115"/>
        <v>142.95751921280754</v>
      </c>
      <c r="F1935" s="1">
        <f t="shared" si="114"/>
        <v>-123.36854894118733</v>
      </c>
      <c r="G1935" s="1">
        <f t="shared" si="112"/>
        <v>2.6407054054239301E-54</v>
      </c>
      <c r="H1935" s="1">
        <f>G1935/$G$21</f>
        <v>1.8517539139260096E-55</v>
      </c>
      <c r="I1935">
        <f>IF($E$11&lt;=D1935, IF(D1935&lt;=$A$15,D1935-$E$11,$F$11),0)</f>
        <v>300</v>
      </c>
      <c r="J1935">
        <f>IF(D1935&lt;=$A$15,0,D1935-$A$15)</f>
        <v>1603</v>
      </c>
      <c r="K1935" s="5">
        <f>IF(D1935&lt;$E$11,H1935,0)</f>
        <v>0</v>
      </c>
      <c r="L1935">
        <f>IF(D1935&lt;$A$15,$C$11,$C$11*(1-$G$11))</f>
        <v>200</v>
      </c>
      <c r="M1935">
        <f>IF(D1935&lt;$A$15,0,1)</f>
        <v>1</v>
      </c>
    </row>
    <row r="1936" spans="4:13" x14ac:dyDescent="0.2">
      <c r="D1936">
        <f t="shared" si="113"/>
        <v>1913</v>
      </c>
      <c r="E1936" s="1">
        <f t="shared" si="115"/>
        <v>142.88055817167142</v>
      </c>
      <c r="F1936" s="1">
        <f t="shared" si="114"/>
        <v>-123.44550998232344</v>
      </c>
      <c r="G1936" s="1">
        <f t="shared" si="112"/>
        <v>2.4450975976147812E-54</v>
      </c>
      <c r="H1936" s="1">
        <f>G1936/$G$21</f>
        <v>1.7145869573389197E-55</v>
      </c>
      <c r="I1936">
        <f>IF($E$11&lt;=D1936, IF(D1936&lt;=$A$15,D1936-$E$11,$F$11),0)</f>
        <v>300</v>
      </c>
      <c r="J1936">
        <f>IF(D1936&lt;=$A$15,0,D1936-$A$15)</f>
        <v>1604</v>
      </c>
      <c r="K1936" s="5">
        <f>IF(D1936&lt;$E$11,H1936,0)</f>
        <v>0</v>
      </c>
      <c r="L1936">
        <f>IF(D1936&lt;$A$15,$C$11,$C$11*(1-$G$11))</f>
        <v>200</v>
      </c>
      <c r="M1936">
        <f>IF(D1936&lt;$A$15,0,1)</f>
        <v>1</v>
      </c>
    </row>
    <row r="1937" spans="4:13" x14ac:dyDescent="0.2">
      <c r="D1937">
        <f t="shared" si="113"/>
        <v>1914</v>
      </c>
      <c r="E1937" s="1">
        <f t="shared" si="115"/>
        <v>142.80359713053531</v>
      </c>
      <c r="F1937" s="1">
        <f t="shared" si="114"/>
        <v>-123.52247102345956</v>
      </c>
      <c r="G1937" s="1">
        <f t="shared" si="112"/>
        <v>2.2639792570507519E-54</v>
      </c>
      <c r="H1937" s="1">
        <f>G1937/$G$21</f>
        <v>1.5875805160545754E-55</v>
      </c>
      <c r="I1937">
        <f>IF($E$11&lt;=D1937, IF(D1937&lt;=$A$15,D1937-$E$11,$F$11),0)</f>
        <v>300</v>
      </c>
      <c r="J1937">
        <f>IF(D1937&lt;=$A$15,0,D1937-$A$15)</f>
        <v>1605</v>
      </c>
      <c r="K1937" s="5">
        <f>IF(D1937&lt;$E$11,H1937,0)</f>
        <v>0</v>
      </c>
      <c r="L1937">
        <f>IF(D1937&lt;$A$15,$C$11,$C$11*(1-$G$11))</f>
        <v>200</v>
      </c>
      <c r="M1937">
        <f>IF(D1937&lt;$A$15,0,1)</f>
        <v>1</v>
      </c>
    </row>
    <row r="1938" spans="4:13" x14ac:dyDescent="0.2">
      <c r="D1938">
        <f t="shared" si="113"/>
        <v>1915</v>
      </c>
      <c r="E1938" s="1">
        <f t="shared" si="115"/>
        <v>142.72663608939919</v>
      </c>
      <c r="F1938" s="1">
        <f t="shared" si="114"/>
        <v>-123.59943206459567</v>
      </c>
      <c r="G1938" s="1">
        <f t="shared" si="112"/>
        <v>2.0962770898618338E-54</v>
      </c>
      <c r="H1938" s="1">
        <f>G1938/$G$21</f>
        <v>1.4699819593098105E-55</v>
      </c>
      <c r="I1938">
        <f>IF($E$11&lt;=D1938, IF(D1938&lt;=$A$15,D1938-$E$11,$F$11),0)</f>
        <v>300</v>
      </c>
      <c r="J1938">
        <f>IF(D1938&lt;=$A$15,0,D1938-$A$15)</f>
        <v>1606</v>
      </c>
      <c r="K1938" s="5">
        <f>IF(D1938&lt;$E$11,H1938,0)</f>
        <v>0</v>
      </c>
      <c r="L1938">
        <f>IF(D1938&lt;$A$15,$C$11,$C$11*(1-$G$11))</f>
        <v>200</v>
      </c>
      <c r="M1938">
        <f>IF(D1938&lt;$A$15,0,1)</f>
        <v>1</v>
      </c>
    </row>
    <row r="1939" spans="4:13" x14ac:dyDescent="0.2">
      <c r="D1939">
        <f t="shared" si="113"/>
        <v>1916</v>
      </c>
      <c r="E1939" s="1">
        <f t="shared" si="115"/>
        <v>142.64967504826308</v>
      </c>
      <c r="F1939" s="1">
        <f t="shared" si="114"/>
        <v>-123.67639310573179</v>
      </c>
      <c r="G1939" s="1">
        <f t="shared" si="112"/>
        <v>1.9409973054276486E-54</v>
      </c>
      <c r="H1939" s="1">
        <f>G1939/$G$21</f>
        <v>1.3610944067683604E-55</v>
      </c>
      <c r="I1939">
        <f>IF($E$11&lt;=D1939, IF(D1939&lt;=$A$15,D1939-$E$11,$F$11),0)</f>
        <v>300</v>
      </c>
      <c r="J1939">
        <f>IF(D1939&lt;=$A$15,0,D1939-$A$15)</f>
        <v>1607</v>
      </c>
      <c r="K1939" s="5">
        <f>IF(D1939&lt;$E$11,H1939,0)</f>
        <v>0</v>
      </c>
      <c r="L1939">
        <f>IF(D1939&lt;$A$15,$C$11,$C$11*(1-$G$11))</f>
        <v>200</v>
      </c>
      <c r="M1939">
        <f>IF(D1939&lt;$A$15,0,1)</f>
        <v>1</v>
      </c>
    </row>
    <row r="1940" spans="4:13" x14ac:dyDescent="0.2">
      <c r="D1940">
        <f t="shared" si="113"/>
        <v>1917</v>
      </c>
      <c r="E1940" s="1">
        <f t="shared" si="115"/>
        <v>142.57271400712696</v>
      </c>
      <c r="F1940" s="1">
        <f t="shared" si="114"/>
        <v>-123.75335414686791</v>
      </c>
      <c r="G1940" s="1">
        <f t="shared" si="112"/>
        <v>1.7972197272478453E-54</v>
      </c>
      <c r="H1940" s="1">
        <f>G1940/$G$21</f>
        <v>1.2602725988596088E-55</v>
      </c>
      <c r="I1940">
        <f>IF($E$11&lt;=D1940, IF(D1940&lt;=$A$15,D1940-$E$11,$F$11),0)</f>
        <v>300</v>
      </c>
      <c r="J1940">
        <f>IF(D1940&lt;=$A$15,0,D1940-$A$15)</f>
        <v>1608</v>
      </c>
      <c r="K1940" s="5">
        <f>IF(D1940&lt;$E$11,H1940,0)</f>
        <v>0</v>
      </c>
      <c r="L1940">
        <f>IF(D1940&lt;$A$15,$C$11,$C$11*(1-$G$11))</f>
        <v>200</v>
      </c>
      <c r="M1940">
        <f>IF(D1940&lt;$A$15,0,1)</f>
        <v>1</v>
      </c>
    </row>
    <row r="1941" spans="4:13" x14ac:dyDescent="0.2">
      <c r="D1941">
        <f t="shared" si="113"/>
        <v>1918</v>
      </c>
      <c r="E1941" s="1">
        <f t="shared" si="115"/>
        <v>142.49575296599085</v>
      </c>
      <c r="F1941" s="1">
        <f t="shared" si="114"/>
        <v>-123.83031518800402</v>
      </c>
      <c r="G1941" s="1">
        <f t="shared" si="112"/>
        <v>1.6640923400443223E-54</v>
      </c>
      <c r="H1941" s="1">
        <f>G1941/$G$21</f>
        <v>1.1669190730181711E-55</v>
      </c>
      <c r="I1941">
        <f>IF($E$11&lt;=D1941, IF(D1941&lt;=$A$15,D1941-$E$11,$F$11),0)</f>
        <v>300</v>
      </c>
      <c r="J1941">
        <f>IF(D1941&lt;=$A$15,0,D1941-$A$15)</f>
        <v>1609</v>
      </c>
      <c r="K1941" s="5">
        <f>IF(D1941&lt;$E$11,H1941,0)</f>
        <v>0</v>
      </c>
      <c r="L1941">
        <f>IF(D1941&lt;$A$15,$C$11,$C$11*(1-$G$11))</f>
        <v>200</v>
      </c>
      <c r="M1941">
        <f>IF(D1941&lt;$A$15,0,1)</f>
        <v>1</v>
      </c>
    </row>
    <row r="1942" spans="4:13" x14ac:dyDescent="0.2">
      <c r="D1942">
        <f t="shared" si="113"/>
        <v>1919</v>
      </c>
      <c r="E1942" s="1">
        <f t="shared" si="115"/>
        <v>142.41879192485473</v>
      </c>
      <c r="F1942" s="1">
        <f t="shared" si="114"/>
        <v>-123.90727622914014</v>
      </c>
      <c r="G1942" s="1">
        <f t="shared" si="112"/>
        <v>1.5408262407817995E-54</v>
      </c>
      <c r="H1942" s="1">
        <f>G1942/$G$21</f>
        <v>1.0804806231649869E-55</v>
      </c>
      <c r="I1942">
        <f>IF($E$11&lt;=D1942, IF(D1942&lt;=$A$15,D1942-$E$11,$F$11),0)</f>
        <v>300</v>
      </c>
      <c r="J1942">
        <f>IF(D1942&lt;=$A$15,0,D1942-$A$15)</f>
        <v>1610</v>
      </c>
      <c r="K1942" s="5">
        <f>IF(D1942&lt;$E$11,H1942,0)</f>
        <v>0</v>
      </c>
      <c r="L1942">
        <f>IF(D1942&lt;$A$15,$C$11,$C$11*(1-$G$11))</f>
        <v>200</v>
      </c>
      <c r="M1942">
        <f>IF(D1942&lt;$A$15,0,1)</f>
        <v>1</v>
      </c>
    </row>
    <row r="1943" spans="4:13" x14ac:dyDescent="0.2">
      <c r="D1943">
        <f t="shared" si="113"/>
        <v>1920</v>
      </c>
      <c r="E1943" s="1">
        <f t="shared" si="115"/>
        <v>142.34183088371861</v>
      </c>
      <c r="F1943" s="1">
        <f t="shared" si="114"/>
        <v>-123.98423727027625</v>
      </c>
      <c r="G1943" s="1">
        <f t="shared" si="112"/>
        <v>1.4266909636868694E-54</v>
      </c>
      <c r="H1943" s="1">
        <f>G1943/$G$21</f>
        <v>1.0004450214490747E-55</v>
      </c>
      <c r="I1943">
        <f>IF($E$11&lt;=D1943, IF(D1943&lt;=$A$15,D1943-$E$11,$F$11),0)</f>
        <v>300</v>
      </c>
      <c r="J1943">
        <f>IF(D1943&lt;=$A$15,0,D1943-$A$15)</f>
        <v>1611</v>
      </c>
      <c r="K1943" s="5">
        <f>IF(D1943&lt;$E$11,H1943,0)</f>
        <v>0</v>
      </c>
      <c r="L1943">
        <f>IF(D1943&lt;$A$15,$C$11,$C$11*(1-$G$11))</f>
        <v>200</v>
      </c>
      <c r="M1943">
        <f>IF(D1943&lt;$A$15,0,1)</f>
        <v>1</v>
      </c>
    </row>
    <row r="1944" spans="4:13" x14ac:dyDescent="0.2">
      <c r="D1944">
        <f t="shared" si="113"/>
        <v>1921</v>
      </c>
      <c r="E1944" s="1">
        <f t="shared" si="115"/>
        <v>142.2648698425825</v>
      </c>
      <c r="F1944" s="1">
        <f t="shared" si="114"/>
        <v>-124.06119831141237</v>
      </c>
      <c r="G1944" s="1">
        <f t="shared" ref="G1944:G2007" si="116">EXP(F1944)</f>
        <v>1.3210101515619327E-54</v>
      </c>
      <c r="H1944" s="1">
        <f>G1944/$G$21</f>
        <v>9.2633798282322889E-56</v>
      </c>
      <c r="I1944">
        <f>IF($E$11&lt;=D1944, IF(D1944&lt;=$A$15,D1944-$E$11,$F$11),0)</f>
        <v>300</v>
      </c>
      <c r="J1944">
        <f>IF(D1944&lt;=$A$15,0,D1944-$A$15)</f>
        <v>1612</v>
      </c>
      <c r="K1944" s="5">
        <f>IF(D1944&lt;$E$11,H1944,0)</f>
        <v>0</v>
      </c>
      <c r="L1944">
        <f>IF(D1944&lt;$A$15,$C$11,$C$11*(1-$G$11))</f>
        <v>200</v>
      </c>
      <c r="M1944">
        <f>IF(D1944&lt;$A$15,0,1)</f>
        <v>1</v>
      </c>
    </row>
    <row r="1945" spans="4:13" x14ac:dyDescent="0.2">
      <c r="D1945">
        <f t="shared" ref="D1945:D2008" si="117">1+D1944</f>
        <v>1922</v>
      </c>
      <c r="E1945" s="1">
        <f t="shared" si="115"/>
        <v>142.18790880144638</v>
      </c>
      <c r="F1945" s="1">
        <f t="shared" ref="F1945:F2008" si="118">E1945-$E$21</f>
        <v>-124.13815935254848</v>
      </c>
      <c r="G1945" s="1">
        <f t="shared" si="116"/>
        <v>1.2231575477425458E-54</v>
      </c>
      <c r="H1945" s="1">
        <f>G1945/$G$21</f>
        <v>8.5772035446596353E-56</v>
      </c>
      <c r="I1945">
        <f>IF($E$11&lt;=D1945, IF(D1945&lt;=$A$15,D1945-$E$11,$F$11),0)</f>
        <v>300</v>
      </c>
      <c r="J1945">
        <f>IF(D1945&lt;=$A$15,0,D1945-$A$15)</f>
        <v>1613</v>
      </c>
      <c r="K1945" s="5">
        <f>IF(D1945&lt;$E$11,H1945,0)</f>
        <v>0</v>
      </c>
      <c r="L1945">
        <f>IF(D1945&lt;$A$15,$C$11,$C$11*(1-$G$11))</f>
        <v>200</v>
      </c>
      <c r="M1945">
        <f>IF(D1945&lt;$A$15,0,1)</f>
        <v>1</v>
      </c>
    </row>
    <row r="1946" spans="4:13" x14ac:dyDescent="0.2">
      <c r="D1946">
        <f t="shared" si="117"/>
        <v>1923</v>
      </c>
      <c r="E1946" s="1">
        <f t="shared" si="115"/>
        <v>142.11094776031027</v>
      </c>
      <c r="F1946" s="1">
        <f t="shared" si="118"/>
        <v>-124.2151203936846</v>
      </c>
      <c r="G1946" s="1">
        <f t="shared" si="116"/>
        <v>1.132553284946816E-54</v>
      </c>
      <c r="H1946" s="1">
        <f>G1946/$G$21</f>
        <v>7.9418551339442076E-56</v>
      </c>
      <c r="I1946">
        <f>IF($E$11&lt;=D1946, IF(D1946&lt;=$A$15,D1946-$E$11,$F$11),0)</f>
        <v>300</v>
      </c>
      <c r="J1946">
        <f>IF(D1946&lt;=$A$15,0,D1946-$A$15)</f>
        <v>1614</v>
      </c>
      <c r="K1946" s="5">
        <f>IF(D1946&lt;$E$11,H1946,0)</f>
        <v>0</v>
      </c>
      <c r="L1946">
        <f>IF(D1946&lt;$A$15,$C$11,$C$11*(1-$G$11))</f>
        <v>200</v>
      </c>
      <c r="M1946">
        <f>IF(D1946&lt;$A$15,0,1)</f>
        <v>1</v>
      </c>
    </row>
    <row r="1947" spans="4:13" x14ac:dyDescent="0.2">
      <c r="D1947">
        <f t="shared" si="117"/>
        <v>1924</v>
      </c>
      <c r="E1947" s="1">
        <f t="shared" si="115"/>
        <v>142.03398671917415</v>
      </c>
      <c r="F1947" s="1">
        <f t="shared" si="118"/>
        <v>-124.29208143482072</v>
      </c>
      <c r="G1947" s="1">
        <f t="shared" si="116"/>
        <v>1.0486604490248429E-54</v>
      </c>
      <c r="H1947" s="1">
        <f>G1947/$G$21</f>
        <v>7.3535695684669522E-56</v>
      </c>
      <c r="I1947">
        <f>IF($E$11&lt;=D1947, IF(D1947&lt;=$A$15,D1947-$E$11,$F$11),0)</f>
        <v>300</v>
      </c>
      <c r="J1947">
        <f>IF(D1947&lt;=$A$15,0,D1947-$A$15)</f>
        <v>1615</v>
      </c>
      <c r="K1947" s="5">
        <f>IF(D1947&lt;$E$11,H1947,0)</f>
        <v>0</v>
      </c>
      <c r="L1947">
        <f>IF(D1947&lt;$A$15,$C$11,$C$11*(1-$G$11))</f>
        <v>200</v>
      </c>
      <c r="M1947">
        <f>IF(D1947&lt;$A$15,0,1)</f>
        <v>1</v>
      </c>
    </row>
    <row r="1948" spans="4:13" x14ac:dyDescent="0.2">
      <c r="D1948">
        <f t="shared" si="117"/>
        <v>1925</v>
      </c>
      <c r="E1948" s="1">
        <f t="shared" si="115"/>
        <v>141.95702567803804</v>
      </c>
      <c r="F1948" s="1">
        <f t="shared" si="118"/>
        <v>-124.36904247595683</v>
      </c>
      <c r="G1948" s="1">
        <f t="shared" si="116"/>
        <v>9.7098189724523714E-55</v>
      </c>
      <c r="H1948" s="1">
        <f>G1948/$G$21</f>
        <v>6.8088607115435598E-56</v>
      </c>
      <c r="I1948">
        <f>IF($E$11&lt;=D1948, IF(D1948&lt;=$A$15,D1948-$E$11,$F$11),0)</f>
        <v>300</v>
      </c>
      <c r="J1948">
        <f>IF(D1948&lt;=$A$15,0,D1948-$A$15)</f>
        <v>1616</v>
      </c>
      <c r="K1948" s="5">
        <f>IF(D1948&lt;$E$11,H1948,0)</f>
        <v>0</v>
      </c>
      <c r="L1948">
        <f>IF(D1948&lt;$A$15,$C$11,$C$11*(1-$G$11))</f>
        <v>200</v>
      </c>
      <c r="M1948">
        <f>IF(D1948&lt;$A$15,0,1)</f>
        <v>1</v>
      </c>
    </row>
    <row r="1949" spans="4:13" x14ac:dyDescent="0.2">
      <c r="D1949">
        <f t="shared" si="117"/>
        <v>1926</v>
      </c>
      <c r="E1949" s="1">
        <f t="shared" si="115"/>
        <v>141.88006463690192</v>
      </c>
      <c r="F1949" s="1">
        <f t="shared" si="118"/>
        <v>-124.44600351709295</v>
      </c>
      <c r="G1949" s="1">
        <f t="shared" si="116"/>
        <v>8.990573122641198E-55</v>
      </c>
      <c r="H1949" s="1">
        <f>G1949/$G$21</f>
        <v>6.3045006588367095E-56</v>
      </c>
      <c r="I1949">
        <f>IF($E$11&lt;=D1949, IF(D1949&lt;=$A$15,D1949-$E$11,$F$11),0)</f>
        <v>300</v>
      </c>
      <c r="J1949">
        <f>IF(D1949&lt;=$A$15,0,D1949-$A$15)</f>
        <v>1617</v>
      </c>
      <c r="K1949" s="5">
        <f>IF(D1949&lt;$E$11,H1949,0)</f>
        <v>0</v>
      </c>
      <c r="L1949">
        <f>IF(D1949&lt;$A$15,$C$11,$C$11*(1-$G$11))</f>
        <v>200</v>
      </c>
      <c r="M1949">
        <f>IF(D1949&lt;$A$15,0,1)</f>
        <v>1</v>
      </c>
    </row>
    <row r="1950" spans="4:13" x14ac:dyDescent="0.2">
      <c r="D1950">
        <f t="shared" si="117"/>
        <v>1927</v>
      </c>
      <c r="E1950" s="1">
        <f t="shared" si="115"/>
        <v>141.8031035957658</v>
      </c>
      <c r="F1950" s="1">
        <f t="shared" si="118"/>
        <v>-124.52296455822906</v>
      </c>
      <c r="G1950" s="1">
        <f t="shared" si="116"/>
        <v>8.3246047431864006E-55</v>
      </c>
      <c r="H1950" s="1">
        <f>G1950/$G$21</f>
        <v>5.8375006100340647E-56</v>
      </c>
      <c r="I1950">
        <f>IF($E$11&lt;=D1950, IF(D1950&lt;=$A$15,D1950-$E$11,$F$11),0)</f>
        <v>300</v>
      </c>
      <c r="J1950">
        <f>IF(D1950&lt;=$A$15,0,D1950-$A$15)</f>
        <v>1618</v>
      </c>
      <c r="K1950" s="5">
        <f>IF(D1950&lt;$E$11,H1950,0)</f>
        <v>0</v>
      </c>
      <c r="L1950">
        <f>IF(D1950&lt;$A$15,$C$11,$C$11*(1-$G$11))</f>
        <v>200</v>
      </c>
      <c r="M1950">
        <f>IF(D1950&lt;$A$15,0,1)</f>
        <v>1</v>
      </c>
    </row>
    <row r="1951" spans="4:13" x14ac:dyDescent="0.2">
      <c r="D1951">
        <f t="shared" si="117"/>
        <v>1928</v>
      </c>
      <c r="E1951" s="1">
        <f t="shared" si="115"/>
        <v>141.72614255462969</v>
      </c>
      <c r="F1951" s="1">
        <f t="shared" si="118"/>
        <v>-124.59992559936518</v>
      </c>
      <c r="G1951" s="1">
        <f t="shared" si="116"/>
        <v>7.7079673548023204E-55</v>
      </c>
      <c r="H1951" s="1">
        <f>G1951/$G$21</f>
        <v>5.4050931574390166E-56</v>
      </c>
      <c r="I1951">
        <f>IF($E$11&lt;=D1951, IF(D1951&lt;=$A$15,D1951-$E$11,$F$11),0)</f>
        <v>300</v>
      </c>
      <c r="J1951">
        <f>IF(D1951&lt;=$A$15,0,D1951-$A$15)</f>
        <v>1619</v>
      </c>
      <c r="K1951" s="5">
        <f>IF(D1951&lt;$E$11,H1951,0)</f>
        <v>0</v>
      </c>
      <c r="L1951">
        <f>IF(D1951&lt;$A$15,$C$11,$C$11*(1-$G$11))</f>
        <v>200</v>
      </c>
      <c r="M1951">
        <f>IF(D1951&lt;$A$15,0,1)</f>
        <v>1</v>
      </c>
    </row>
    <row r="1952" spans="4:13" x14ac:dyDescent="0.2">
      <c r="D1952">
        <f t="shared" si="117"/>
        <v>1929</v>
      </c>
      <c r="E1952" s="1">
        <f t="shared" si="115"/>
        <v>141.64918151349357</v>
      </c>
      <c r="F1952" s="1">
        <f t="shared" si="118"/>
        <v>-124.67688664050129</v>
      </c>
      <c r="G1952" s="1">
        <f t="shared" si="116"/>
        <v>7.1370068100022378E-55</v>
      </c>
      <c r="H1952" s="1">
        <f>G1952/$G$21</f>
        <v>5.0047158865176707E-56</v>
      </c>
      <c r="I1952">
        <f>IF($E$11&lt;=D1952, IF(D1952&lt;=$A$15,D1952-$E$11,$F$11),0)</f>
        <v>300</v>
      </c>
      <c r="J1952">
        <f>IF(D1952&lt;=$A$15,0,D1952-$A$15)</f>
        <v>1620</v>
      </c>
      <c r="K1952" s="5">
        <f>IF(D1952&lt;$E$11,H1952,0)</f>
        <v>0</v>
      </c>
      <c r="L1952">
        <f>IF(D1952&lt;$A$15,$C$11,$C$11*(1-$G$11))</f>
        <v>200</v>
      </c>
      <c r="M1952">
        <f>IF(D1952&lt;$A$15,0,1)</f>
        <v>1</v>
      </c>
    </row>
    <row r="1953" spans="4:13" x14ac:dyDescent="0.2">
      <c r="D1953">
        <f t="shared" si="117"/>
        <v>1930</v>
      </c>
      <c r="E1953" s="1">
        <f t="shared" si="115"/>
        <v>141.57222047235746</v>
      </c>
      <c r="F1953" s="1">
        <f t="shared" si="118"/>
        <v>-124.75384768163741</v>
      </c>
      <c r="G1953" s="1">
        <f t="shared" si="116"/>
        <v>6.6083396388910445E-55</v>
      </c>
      <c r="H1953" s="1">
        <f>G1953/$G$21</f>
        <v>4.6339961912201245E-56</v>
      </c>
      <c r="I1953">
        <f>IF($E$11&lt;=D1953, IF(D1953&lt;=$A$15,D1953-$E$11,$F$11),0)</f>
        <v>300</v>
      </c>
      <c r="J1953">
        <f>IF(D1953&lt;=$A$15,0,D1953-$A$15)</f>
        <v>1621</v>
      </c>
      <c r="K1953" s="5">
        <f>IF(D1953&lt;$E$11,H1953,0)</f>
        <v>0</v>
      </c>
      <c r="L1953">
        <f>IF(D1953&lt;$A$15,$C$11,$C$11*(1-$G$11))</f>
        <v>200</v>
      </c>
      <c r="M1953">
        <f>IF(D1953&lt;$A$15,0,1)</f>
        <v>1</v>
      </c>
    </row>
    <row r="1954" spans="4:13" x14ac:dyDescent="0.2">
      <c r="D1954">
        <f t="shared" si="117"/>
        <v>1931</v>
      </c>
      <c r="E1954" s="1">
        <f t="shared" si="115"/>
        <v>141.49525943122134</v>
      </c>
      <c r="F1954" s="1">
        <f t="shared" si="118"/>
        <v>-124.83080872277353</v>
      </c>
      <c r="G1954" s="1">
        <f t="shared" si="116"/>
        <v>6.118832998973267E-55</v>
      </c>
      <c r="H1954" s="1">
        <f>G1954/$G$21</f>
        <v>4.2907372140927624E-56</v>
      </c>
      <c r="I1954">
        <f>IF($E$11&lt;=D1954, IF(D1954&lt;=$A$15,D1954-$E$11,$F$11),0)</f>
        <v>300</v>
      </c>
      <c r="J1954">
        <f>IF(D1954&lt;=$A$15,0,D1954-$A$15)</f>
        <v>1622</v>
      </c>
      <c r="K1954" s="5">
        <f>IF(D1954&lt;$E$11,H1954,0)</f>
        <v>0</v>
      </c>
      <c r="L1954">
        <f>IF(D1954&lt;$A$15,$C$11,$C$11*(1-$G$11))</f>
        <v>200</v>
      </c>
      <c r="M1954">
        <f>IF(D1954&lt;$A$15,0,1)</f>
        <v>1</v>
      </c>
    </row>
    <row r="1955" spans="4:13" x14ac:dyDescent="0.2">
      <c r="D1955">
        <f t="shared" si="117"/>
        <v>1932</v>
      </c>
      <c r="E1955" s="1">
        <f t="shared" si="115"/>
        <v>141.41829839008523</v>
      </c>
      <c r="F1955" s="1">
        <f t="shared" si="118"/>
        <v>-124.90776976390964</v>
      </c>
      <c r="G1955" s="1">
        <f t="shared" si="116"/>
        <v>5.6655861101605041E-55</v>
      </c>
      <c r="H1955" s="1">
        <f>G1955/$G$21</f>
        <v>3.9729048278637189E-56</v>
      </c>
      <c r="I1955">
        <f>IF($E$11&lt;=D1955, IF(D1955&lt;=$A$15,D1955-$E$11,$F$11),0)</f>
        <v>300</v>
      </c>
      <c r="J1955">
        <f>IF(D1955&lt;=$A$15,0,D1955-$A$15)</f>
        <v>1623</v>
      </c>
      <c r="K1955" s="5">
        <f>IF(D1955&lt;$E$11,H1955,0)</f>
        <v>0</v>
      </c>
      <c r="L1955">
        <f>IF(D1955&lt;$A$15,$C$11,$C$11*(1-$G$11))</f>
        <v>200</v>
      </c>
      <c r="M1955">
        <f>IF(D1955&lt;$A$15,0,1)</f>
        <v>1</v>
      </c>
    </row>
    <row r="1956" spans="4:13" x14ac:dyDescent="0.2">
      <c r="D1956">
        <f t="shared" si="117"/>
        <v>1933</v>
      </c>
      <c r="E1956" s="1">
        <f t="shared" si="115"/>
        <v>141.34133734894911</v>
      </c>
      <c r="F1956" s="1">
        <f t="shared" si="118"/>
        <v>-124.98473080504576</v>
      </c>
      <c r="G1956" s="1">
        <f t="shared" si="116"/>
        <v>5.2459130649634963E-55</v>
      </c>
      <c r="H1956" s="1">
        <f>G1956/$G$21</f>
        <v>3.6786155813553421E-56</v>
      </c>
      <c r="I1956">
        <f>IF($E$11&lt;=D1956, IF(D1956&lt;=$A$15,D1956-$E$11,$F$11),0)</f>
        <v>300</v>
      </c>
      <c r="J1956">
        <f>IF(D1956&lt;=$A$15,0,D1956-$A$15)</f>
        <v>1624</v>
      </c>
      <c r="K1956" s="5">
        <f>IF(D1956&lt;$E$11,H1956,0)</f>
        <v>0</v>
      </c>
      <c r="L1956">
        <f>IF(D1956&lt;$A$15,$C$11,$C$11*(1-$G$11))</f>
        <v>200</v>
      </c>
      <c r="M1956">
        <f>IF(D1956&lt;$A$15,0,1)</f>
        <v>1</v>
      </c>
    </row>
    <row r="1957" spans="4:13" x14ac:dyDescent="0.2">
      <c r="D1957">
        <f t="shared" si="117"/>
        <v>1934</v>
      </c>
      <c r="E1957" s="1">
        <f t="shared" si="115"/>
        <v>141.264376307813</v>
      </c>
      <c r="F1957" s="1">
        <f t="shared" si="118"/>
        <v>-125.06169184618187</v>
      </c>
      <c r="G1957" s="1">
        <f t="shared" si="116"/>
        <v>4.8573269120032984E-55</v>
      </c>
      <c r="H1957" s="1">
        <f>G1957/$G$21</f>
        <v>3.4061255382920262E-56</v>
      </c>
      <c r="I1957">
        <f>IF($E$11&lt;=D1957, IF(D1957&lt;=$A$15,D1957-$E$11,$F$11),0)</f>
        <v>300</v>
      </c>
      <c r="J1957">
        <f>IF(D1957&lt;=$A$15,0,D1957-$A$15)</f>
        <v>1625</v>
      </c>
      <c r="K1957" s="5">
        <f>IF(D1957&lt;$E$11,H1957,0)</f>
        <v>0</v>
      </c>
      <c r="L1957">
        <f>IF(D1957&lt;$A$15,$C$11,$C$11*(1-$G$11))</f>
        <v>200</v>
      </c>
      <c r="M1957">
        <f>IF(D1957&lt;$A$15,0,1)</f>
        <v>1</v>
      </c>
    </row>
    <row r="1958" spans="4:13" x14ac:dyDescent="0.2">
      <c r="D1958">
        <f t="shared" si="117"/>
        <v>1935</v>
      </c>
      <c r="E1958" s="1">
        <f t="shared" si="115"/>
        <v>141.18741526667688</v>
      </c>
      <c r="F1958" s="1">
        <f t="shared" si="118"/>
        <v>-125.13865288731799</v>
      </c>
      <c r="G1958" s="1">
        <f t="shared" si="116"/>
        <v>4.4975249185216296E-55</v>
      </c>
      <c r="H1958" s="1">
        <f>G1958/$G$21</f>
        <v>3.1538199428630271E-56</v>
      </c>
      <c r="I1958">
        <f>IF($E$11&lt;=D1958, IF(D1958&lt;=$A$15,D1958-$E$11,$F$11),0)</f>
        <v>300</v>
      </c>
      <c r="J1958">
        <f>IF(D1958&lt;=$A$15,0,D1958-$A$15)</f>
        <v>1626</v>
      </c>
      <c r="K1958" s="5">
        <f>IF(D1958&lt;$E$11,H1958,0)</f>
        <v>0</v>
      </c>
      <c r="L1958">
        <f>IF(D1958&lt;$A$15,$C$11,$C$11*(1-$G$11))</f>
        <v>200</v>
      </c>
      <c r="M1958">
        <f>IF(D1958&lt;$A$15,0,1)</f>
        <v>1</v>
      </c>
    </row>
    <row r="1959" spans="4:13" x14ac:dyDescent="0.2">
      <c r="D1959">
        <f t="shared" si="117"/>
        <v>1936</v>
      </c>
      <c r="E1959" s="1">
        <f t="shared" si="115"/>
        <v>141.11045422554076</v>
      </c>
      <c r="F1959" s="1">
        <f t="shared" si="118"/>
        <v>-125.2156139284541</v>
      </c>
      <c r="G1959" s="1">
        <f t="shared" si="116"/>
        <v>4.1643749245571167E-55</v>
      </c>
      <c r="H1959" s="1">
        <f>G1959/$G$21</f>
        <v>2.9202036507991359E-56</v>
      </c>
      <c r="I1959">
        <f>IF($E$11&lt;=D1959, IF(D1959&lt;=$A$15,D1959-$E$11,$F$11),0)</f>
        <v>300</v>
      </c>
      <c r="J1959">
        <f>IF(D1959&lt;=$A$15,0,D1959-$A$15)</f>
        <v>1627</v>
      </c>
      <c r="K1959" s="5">
        <f>IF(D1959&lt;$E$11,H1959,0)</f>
        <v>0</v>
      </c>
      <c r="L1959">
        <f>IF(D1959&lt;$A$15,$C$11,$C$11*(1-$G$11))</f>
        <v>200</v>
      </c>
      <c r="M1959">
        <f>IF(D1959&lt;$A$15,0,1)</f>
        <v>1</v>
      </c>
    </row>
    <row r="1960" spans="4:13" x14ac:dyDescent="0.2">
      <c r="D1960">
        <f t="shared" si="117"/>
        <v>1937</v>
      </c>
      <c r="E1960" s="1">
        <f t="shared" si="115"/>
        <v>141.03349318440465</v>
      </c>
      <c r="F1960" s="1">
        <f t="shared" si="118"/>
        <v>-125.29257496959022</v>
      </c>
      <c r="G1960" s="1">
        <f t="shared" si="116"/>
        <v>3.8559027079233054E-55</v>
      </c>
      <c r="H1960" s="1">
        <f>G1960/$G$21</f>
        <v>2.7038922692584937E-56</v>
      </c>
      <c r="I1960">
        <f>IF($E$11&lt;=D1960, IF(D1960&lt;=$A$15,D1960-$E$11,$F$11),0)</f>
        <v>300</v>
      </c>
      <c r="J1960">
        <f>IF(D1960&lt;=$A$15,0,D1960-$A$15)</f>
        <v>1628</v>
      </c>
      <c r="K1960" s="5">
        <f>IF(D1960&lt;$E$11,H1960,0)</f>
        <v>0</v>
      </c>
      <c r="L1960">
        <f>IF(D1960&lt;$A$15,$C$11,$C$11*(1-$G$11))</f>
        <v>200</v>
      </c>
      <c r="M1960">
        <f>IF(D1960&lt;$A$15,0,1)</f>
        <v>1</v>
      </c>
    </row>
    <row r="1961" spans="4:13" x14ac:dyDescent="0.2">
      <c r="D1961">
        <f t="shared" si="117"/>
        <v>1938</v>
      </c>
      <c r="E1961" s="1">
        <f t="shared" si="115"/>
        <v>140.95653214326853</v>
      </c>
      <c r="F1961" s="1">
        <f t="shared" si="118"/>
        <v>-125.36953601072634</v>
      </c>
      <c r="G1961" s="1">
        <f t="shared" si="116"/>
        <v>3.570280285114217E-55</v>
      </c>
      <c r="H1961" s="1">
        <f>G1961/$G$21</f>
        <v>2.5036039530171557E-56</v>
      </c>
      <c r="I1961">
        <f>IF($E$11&lt;=D1961, IF(D1961&lt;=$A$15,D1961-$E$11,$F$11),0)</f>
        <v>300</v>
      </c>
      <c r="J1961">
        <f>IF(D1961&lt;=$A$15,0,D1961-$A$15)</f>
        <v>1629</v>
      </c>
      <c r="K1961" s="5">
        <f>IF(D1961&lt;$E$11,H1961,0)</f>
        <v>0</v>
      </c>
      <c r="L1961">
        <f>IF(D1961&lt;$A$15,$C$11,$C$11*(1-$G$11))</f>
        <v>200</v>
      </c>
      <c r="M1961">
        <f>IF(D1961&lt;$A$15,0,1)</f>
        <v>1</v>
      </c>
    </row>
    <row r="1962" spans="4:13" x14ac:dyDescent="0.2">
      <c r="D1962">
        <f t="shared" si="117"/>
        <v>1939</v>
      </c>
      <c r="E1962" s="1">
        <f t="shared" si="115"/>
        <v>140.87957110213242</v>
      </c>
      <c r="F1962" s="1">
        <f t="shared" si="118"/>
        <v>-125.44649705186245</v>
      </c>
      <c r="G1962" s="1">
        <f t="shared" si="116"/>
        <v>3.305815078809502E-55</v>
      </c>
      <c r="H1962" s="1">
        <f>G1962/$G$21</f>
        <v>2.3181518083492472E-56</v>
      </c>
      <c r="I1962">
        <f>IF($E$11&lt;=D1962, IF(D1962&lt;=$A$15,D1962-$E$11,$F$11),0)</f>
        <v>300</v>
      </c>
      <c r="J1962">
        <f>IF(D1962&lt;=$A$15,0,D1962-$A$15)</f>
        <v>1630</v>
      </c>
      <c r="K1962" s="5">
        <f>IF(D1962&lt;$E$11,H1962,0)</f>
        <v>0</v>
      </c>
      <c r="L1962">
        <f>IF(D1962&lt;$A$15,$C$11,$C$11*(1-$G$11))</f>
        <v>200</v>
      </c>
      <c r="M1962">
        <f>IF(D1962&lt;$A$15,0,1)</f>
        <v>1</v>
      </c>
    </row>
    <row r="1963" spans="4:13" x14ac:dyDescent="0.2">
      <c r="D1963">
        <f t="shared" si="117"/>
        <v>1940</v>
      </c>
      <c r="E1963" s="1">
        <f t="shared" si="115"/>
        <v>140.8026100609963</v>
      </c>
      <c r="F1963" s="1">
        <f t="shared" si="118"/>
        <v>-125.52345809299857</v>
      </c>
      <c r="G1963" s="1">
        <f t="shared" si="116"/>
        <v>3.0609398877866145E-55</v>
      </c>
      <c r="H1963" s="1">
        <f>G1963/$G$21</f>
        <v>2.1464368595826637E-56</v>
      </c>
      <c r="I1963">
        <f>IF($E$11&lt;=D1963, IF(D1963&lt;=$A$15,D1963-$E$11,$F$11),0)</f>
        <v>300</v>
      </c>
      <c r="J1963">
        <f>IF(D1963&lt;=$A$15,0,D1963-$A$15)</f>
        <v>1631</v>
      </c>
      <c r="K1963" s="5">
        <f>IF(D1963&lt;$E$11,H1963,0)</f>
        <v>0</v>
      </c>
      <c r="L1963">
        <f>IF(D1963&lt;$A$15,$C$11,$C$11*(1-$G$11))</f>
        <v>200</v>
      </c>
      <c r="M1963">
        <f>IF(D1963&lt;$A$15,0,1)</f>
        <v>1</v>
      </c>
    </row>
    <row r="1964" spans="4:13" x14ac:dyDescent="0.2">
      <c r="D1964">
        <f t="shared" si="117"/>
        <v>1941</v>
      </c>
      <c r="E1964" s="1">
        <f t="shared" si="115"/>
        <v>140.72564901986019</v>
      </c>
      <c r="F1964" s="1">
        <f t="shared" si="118"/>
        <v>-125.60041913413468</v>
      </c>
      <c r="G1964" s="1">
        <f t="shared" si="116"/>
        <v>2.8342035998024566E-55</v>
      </c>
      <c r="H1964" s="1">
        <f>G1964/$G$21</f>
        <v>1.9874415366506394E-56</v>
      </c>
      <c r="I1964">
        <f>IF($E$11&lt;=D1964, IF(D1964&lt;=$A$15,D1964-$E$11,$F$11),0)</f>
        <v>300</v>
      </c>
      <c r="J1964">
        <f>IF(D1964&lt;=$A$15,0,D1964-$A$15)</f>
        <v>1632</v>
      </c>
      <c r="K1964" s="5">
        <f>IF(D1964&lt;$E$11,H1964,0)</f>
        <v>0</v>
      </c>
      <c r="L1964">
        <f>IF(D1964&lt;$A$15,$C$11,$C$11*(1-$G$11))</f>
        <v>200</v>
      </c>
      <c r="M1964">
        <f>IF(D1964&lt;$A$15,0,1)</f>
        <v>1</v>
      </c>
    </row>
    <row r="1965" spans="4:13" x14ac:dyDescent="0.2">
      <c r="D1965">
        <f t="shared" si="117"/>
        <v>1942</v>
      </c>
      <c r="E1965" s="1">
        <f t="shared" si="115"/>
        <v>140.64868797872407</v>
      </c>
      <c r="F1965" s="1">
        <f t="shared" si="118"/>
        <v>-125.6773801752708</v>
      </c>
      <c r="G1965" s="1">
        <f t="shared" si="116"/>
        <v>2.624262592409715E-55</v>
      </c>
      <c r="H1965" s="1">
        <f>G1965/$G$21</f>
        <v>1.8402236450469114E-56</v>
      </c>
      <c r="I1965">
        <f>IF($E$11&lt;=D1965, IF(D1965&lt;=$A$15,D1965-$E$11,$F$11),0)</f>
        <v>300</v>
      </c>
      <c r="J1965">
        <f>IF(D1965&lt;=$A$15,0,D1965-$A$15)</f>
        <v>1633</v>
      </c>
      <c r="K1965" s="5">
        <f>IF(D1965&lt;$E$11,H1965,0)</f>
        <v>0</v>
      </c>
      <c r="L1965">
        <f>IF(D1965&lt;$A$15,$C$11,$C$11*(1-$G$11))</f>
        <v>200</v>
      </c>
      <c r="M1965">
        <f>IF(D1965&lt;$A$15,0,1)</f>
        <v>1</v>
      </c>
    </row>
    <row r="1966" spans="4:13" x14ac:dyDescent="0.2">
      <c r="D1966">
        <f t="shared" si="117"/>
        <v>1943</v>
      </c>
      <c r="E1966" s="1">
        <f t="shared" si="115"/>
        <v>140.57172693758795</v>
      </c>
      <c r="F1966" s="1">
        <f t="shared" si="118"/>
        <v>-125.75434121640691</v>
      </c>
      <c r="G1966" s="1">
        <f t="shared" si="116"/>
        <v>2.4298727707497671E-55</v>
      </c>
      <c r="H1966" s="1">
        <f>G1966/$G$21</f>
        <v>1.7039107824508656E-56</v>
      </c>
      <c r="I1966">
        <f>IF($E$11&lt;=D1966, IF(D1966&lt;=$A$15,D1966-$E$11,$F$11),0)</f>
        <v>300</v>
      </c>
      <c r="J1966">
        <f>IF(D1966&lt;=$A$15,0,D1966-$A$15)</f>
        <v>1634</v>
      </c>
      <c r="K1966" s="5">
        <f>IF(D1966&lt;$E$11,H1966,0)</f>
        <v>0</v>
      </c>
      <c r="L1966">
        <f>IF(D1966&lt;$A$15,$C$11,$C$11*(1-$G$11))</f>
        <v>200</v>
      </c>
      <c r="M1966">
        <f>IF(D1966&lt;$A$15,0,1)</f>
        <v>1</v>
      </c>
    </row>
    <row r="1967" spans="4:13" x14ac:dyDescent="0.2">
      <c r="D1967">
        <f t="shared" si="117"/>
        <v>1944</v>
      </c>
      <c r="E1967" s="1">
        <f t="shared" si="115"/>
        <v>140.49476589645184</v>
      </c>
      <c r="F1967" s="1">
        <f t="shared" si="118"/>
        <v>-125.83130225754303</v>
      </c>
      <c r="G1967" s="1">
        <f t="shared" si="116"/>
        <v>2.2498821951387015E-55</v>
      </c>
      <c r="H1967" s="1">
        <f>G1967/$G$21</f>
        <v>1.5776951689360066E-56</v>
      </c>
      <c r="I1967">
        <f>IF($E$11&lt;=D1967, IF(D1967&lt;=$A$15,D1967-$E$11,$F$11),0)</f>
        <v>300</v>
      </c>
      <c r="J1967">
        <f>IF(D1967&lt;=$A$15,0,D1967-$A$15)</f>
        <v>1635</v>
      </c>
      <c r="K1967" s="5">
        <f>IF(D1967&lt;$E$11,H1967,0)</f>
        <v>0</v>
      </c>
      <c r="L1967">
        <f>IF(D1967&lt;$A$15,$C$11,$C$11*(1-$G$11))</f>
        <v>200</v>
      </c>
      <c r="M1967">
        <f>IF(D1967&lt;$A$15,0,1)</f>
        <v>1</v>
      </c>
    </row>
    <row r="1968" spans="4:13" x14ac:dyDescent="0.2">
      <c r="D1968">
        <f t="shared" si="117"/>
        <v>1945</v>
      </c>
      <c r="E1968" s="1">
        <f t="shared" si="115"/>
        <v>140.41780485531572</v>
      </c>
      <c r="F1968" s="1">
        <f t="shared" si="118"/>
        <v>-125.90826329867915</v>
      </c>
      <c r="G1968" s="1">
        <f t="shared" si="116"/>
        <v>2.0832242547580835E-55</v>
      </c>
      <c r="H1968" s="1">
        <f>G1968/$G$21</f>
        <v>1.4608288601259506E-56</v>
      </c>
      <c r="I1968">
        <f>IF($E$11&lt;=D1968, IF(D1968&lt;=$A$15,D1968-$E$11,$F$11),0)</f>
        <v>300</v>
      </c>
      <c r="J1968">
        <f>IF(D1968&lt;=$A$15,0,D1968-$A$15)</f>
        <v>1636</v>
      </c>
      <c r="K1968" s="5">
        <f>IF(D1968&lt;$E$11,H1968,0)</f>
        <v>0</v>
      </c>
      <c r="L1968">
        <f>IF(D1968&lt;$A$15,$C$11,$C$11*(1-$G$11))</f>
        <v>200</v>
      </c>
      <c r="M1968">
        <f>IF(D1968&lt;$A$15,0,1)</f>
        <v>1</v>
      </c>
    </row>
    <row r="1969" spans="4:13" x14ac:dyDescent="0.2">
      <c r="D1969">
        <f t="shared" si="117"/>
        <v>1946</v>
      </c>
      <c r="E1969" s="1">
        <f t="shared" si="115"/>
        <v>140.34084381417961</v>
      </c>
      <c r="F1969" s="1">
        <f t="shared" si="118"/>
        <v>-125.98522433981526</v>
      </c>
      <c r="G1969" s="1">
        <f t="shared" si="116"/>
        <v>1.9289113469982496E-55</v>
      </c>
      <c r="H1969" s="1">
        <f>G1969/$G$21</f>
        <v>1.3526193149314528E-56</v>
      </c>
      <c r="I1969">
        <f>IF($E$11&lt;=D1969, IF(D1969&lt;=$A$15,D1969-$E$11,$F$11),0)</f>
        <v>300</v>
      </c>
      <c r="J1969">
        <f>IF(D1969&lt;=$A$15,0,D1969-$A$15)</f>
        <v>1637</v>
      </c>
      <c r="K1969" s="5">
        <f>IF(D1969&lt;$E$11,H1969,0)</f>
        <v>0</v>
      </c>
      <c r="L1969">
        <f>IF(D1969&lt;$A$15,$C$11,$C$11*(1-$G$11))</f>
        <v>200</v>
      </c>
      <c r="M1969">
        <f>IF(D1969&lt;$A$15,0,1)</f>
        <v>1</v>
      </c>
    </row>
    <row r="1970" spans="4:13" x14ac:dyDescent="0.2">
      <c r="D1970">
        <f t="shared" si="117"/>
        <v>1947</v>
      </c>
      <c r="E1970" s="1">
        <f t="shared" si="115"/>
        <v>140.26388277304349</v>
      </c>
      <c r="F1970" s="1">
        <f t="shared" si="118"/>
        <v>-126.06218538095138</v>
      </c>
      <c r="G1970" s="1">
        <f t="shared" si="116"/>
        <v>1.7860290249984019E-55</v>
      </c>
      <c r="H1970" s="1">
        <f>G1970/$G$21</f>
        <v>1.2524252916032127E-56</v>
      </c>
      <c r="I1970">
        <f>IF($E$11&lt;=D1970, IF(D1970&lt;=$A$15,D1970-$E$11,$F$11),0)</f>
        <v>300</v>
      </c>
      <c r="J1970">
        <f>IF(D1970&lt;=$A$15,0,D1970-$A$15)</f>
        <v>1638</v>
      </c>
      <c r="K1970" s="5">
        <f>IF(D1970&lt;$E$11,H1970,0)</f>
        <v>0</v>
      </c>
      <c r="L1970">
        <f>IF(D1970&lt;$A$15,$C$11,$C$11*(1-$G$11))</f>
        <v>200</v>
      </c>
      <c r="M1970">
        <f>IF(D1970&lt;$A$15,0,1)</f>
        <v>1</v>
      </c>
    </row>
    <row r="1971" spans="4:13" x14ac:dyDescent="0.2">
      <c r="D1971">
        <f t="shared" si="117"/>
        <v>1948</v>
      </c>
      <c r="E1971" s="1">
        <f t="shared" si="115"/>
        <v>140.18692173190738</v>
      </c>
      <c r="F1971" s="1">
        <f t="shared" si="118"/>
        <v>-126.13914642208749</v>
      </c>
      <c r="G1971" s="1">
        <f t="shared" si="116"/>
        <v>1.6537305787022451E-55</v>
      </c>
      <c r="H1971" s="1">
        <f>G1971/$G$21</f>
        <v>1.1596530477807674E-56</v>
      </c>
      <c r="I1971">
        <f>IF($E$11&lt;=D1971, IF(D1971&lt;=$A$15,D1971-$E$11,$F$11),0)</f>
        <v>300</v>
      </c>
      <c r="J1971">
        <f>IF(D1971&lt;=$A$15,0,D1971-$A$15)</f>
        <v>1639</v>
      </c>
      <c r="K1971" s="5">
        <f>IF(D1971&lt;$E$11,H1971,0)</f>
        <v>0</v>
      </c>
      <c r="L1971">
        <f>IF(D1971&lt;$A$15,$C$11,$C$11*(1-$G$11))</f>
        <v>200</v>
      </c>
      <c r="M1971">
        <f>IF(D1971&lt;$A$15,0,1)</f>
        <v>1</v>
      </c>
    </row>
    <row r="1972" spans="4:13" x14ac:dyDescent="0.2">
      <c r="D1972">
        <f t="shared" si="117"/>
        <v>1949</v>
      </c>
      <c r="E1972" s="1">
        <f t="shared" si="115"/>
        <v>140.10996069077126</v>
      </c>
      <c r="F1972" s="1">
        <f t="shared" si="118"/>
        <v>-126.21610746322361</v>
      </c>
      <c r="G1972" s="1">
        <f t="shared" si="116"/>
        <v>1.5312320173169129E-55</v>
      </c>
      <c r="H1972" s="1">
        <f>G1972/$G$21</f>
        <v>1.0737528220192425E-56</v>
      </c>
      <c r="I1972">
        <f>IF($E$11&lt;=D1972, IF(D1972&lt;=$A$15,D1972-$E$11,$F$11),0)</f>
        <v>300</v>
      </c>
      <c r="J1972">
        <f>IF(D1972&lt;=$A$15,0,D1972-$A$15)</f>
        <v>1640</v>
      </c>
      <c r="K1972" s="5">
        <f>IF(D1972&lt;$E$11,H1972,0)</f>
        <v>0</v>
      </c>
      <c r="L1972">
        <f>IF(D1972&lt;$A$15,$C$11,$C$11*(1-$G$11))</f>
        <v>200</v>
      </c>
      <c r="M1972">
        <f>IF(D1972&lt;$A$15,0,1)</f>
        <v>1</v>
      </c>
    </row>
    <row r="1973" spans="4:13" x14ac:dyDescent="0.2">
      <c r="D1973">
        <f t="shared" si="117"/>
        <v>1950</v>
      </c>
      <c r="E1973" s="1">
        <f t="shared" si="115"/>
        <v>140.03299964963514</v>
      </c>
      <c r="F1973" s="1">
        <f t="shared" si="118"/>
        <v>-126.29306850435972</v>
      </c>
      <c r="G1973" s="1">
        <f t="shared" si="116"/>
        <v>1.4178074234416038E-55</v>
      </c>
      <c r="H1973" s="1">
        <f>G1973/$G$21</f>
        <v>9.9421557594375569E-57</v>
      </c>
      <c r="I1973">
        <f>IF($E$11&lt;=D1973, IF(D1973&lt;=$A$15,D1973-$E$11,$F$11),0)</f>
        <v>300</v>
      </c>
      <c r="J1973">
        <f>IF(D1973&lt;=$A$15,0,D1973-$A$15)</f>
        <v>1641</v>
      </c>
      <c r="K1973" s="5">
        <f>IF(D1973&lt;$E$11,H1973,0)</f>
        <v>0</v>
      </c>
      <c r="L1973">
        <f>IF(D1973&lt;$A$15,$C$11,$C$11*(1-$G$11))</f>
        <v>200</v>
      </c>
      <c r="M1973">
        <f>IF(D1973&lt;$A$15,0,1)</f>
        <v>1</v>
      </c>
    </row>
    <row r="1974" spans="4:13" x14ac:dyDescent="0.2">
      <c r="D1974">
        <f t="shared" si="117"/>
        <v>1951</v>
      </c>
      <c r="E1974" s="1">
        <f t="shared" si="115"/>
        <v>139.95603860849903</v>
      </c>
      <c r="F1974" s="1">
        <f t="shared" si="118"/>
        <v>-126.37002954549584</v>
      </c>
      <c r="G1974" s="1">
        <f t="shared" si="116"/>
        <v>1.312784651334835E-55</v>
      </c>
      <c r="H1974" s="1">
        <f>G1974/$G$21</f>
        <v>9.2056997772571127E-57</v>
      </c>
      <c r="I1974">
        <f>IF($E$11&lt;=D1974, IF(D1974&lt;=$A$15,D1974-$E$11,$F$11),0)</f>
        <v>300</v>
      </c>
      <c r="J1974">
        <f>IF(D1974&lt;=$A$15,0,D1974-$A$15)</f>
        <v>1642</v>
      </c>
      <c r="K1974" s="5">
        <f>IF(D1974&lt;$E$11,H1974,0)</f>
        <v>0</v>
      </c>
      <c r="L1974">
        <f>IF(D1974&lt;$A$15,$C$11,$C$11*(1-$G$11))</f>
        <v>200</v>
      </c>
      <c r="M1974">
        <f>IF(D1974&lt;$A$15,0,1)</f>
        <v>1</v>
      </c>
    </row>
    <row r="1975" spans="4:13" x14ac:dyDescent="0.2">
      <c r="D1975">
        <f t="shared" si="117"/>
        <v>1952</v>
      </c>
      <c r="E1975" s="1">
        <f t="shared" si="115"/>
        <v>139.87907756736291</v>
      </c>
      <c r="F1975" s="1">
        <f t="shared" si="118"/>
        <v>-126.44699058663196</v>
      </c>
      <c r="G1975" s="1">
        <f t="shared" si="116"/>
        <v>1.2155413438285663E-55</v>
      </c>
      <c r="H1975" s="1">
        <f>G1975/$G$21</f>
        <v>8.523796090052991E-57</v>
      </c>
      <c r="I1975">
        <f>IF($E$11&lt;=D1975, IF(D1975&lt;=$A$15,D1975-$E$11,$F$11),0)</f>
        <v>300</v>
      </c>
      <c r="J1975">
        <f>IF(D1975&lt;=$A$15,0,D1975-$A$15)</f>
        <v>1643</v>
      </c>
      <c r="K1975" s="5">
        <f>IF(D1975&lt;$E$11,H1975,0)</f>
        <v>0</v>
      </c>
      <c r="L1975">
        <f>IF(D1975&lt;$A$15,$C$11,$C$11*(1-$G$11))</f>
        <v>200</v>
      </c>
      <c r="M1975">
        <f>IF(D1975&lt;$A$15,0,1)</f>
        <v>1</v>
      </c>
    </row>
    <row r="1976" spans="4:13" x14ac:dyDescent="0.2">
      <c r="D1976">
        <f t="shared" si="117"/>
        <v>1953</v>
      </c>
      <c r="E1976" s="1">
        <f t="shared" si="115"/>
        <v>139.8021165262268</v>
      </c>
      <c r="F1976" s="1">
        <f t="shared" si="118"/>
        <v>-126.52395162776807</v>
      </c>
      <c r="G1976" s="1">
        <f t="shared" si="116"/>
        <v>1.1255012442857237E-55</v>
      </c>
      <c r="H1976" s="1">
        <f>G1976/$G$21</f>
        <v>7.8924037870862017E-57</v>
      </c>
      <c r="I1976">
        <f>IF($E$11&lt;=D1976, IF(D1976&lt;=$A$15,D1976-$E$11,$F$11),0)</f>
        <v>300</v>
      </c>
      <c r="J1976">
        <f>IF(D1976&lt;=$A$15,0,D1976-$A$15)</f>
        <v>1644</v>
      </c>
      <c r="K1976" s="5">
        <f>IF(D1976&lt;$E$11,H1976,0)</f>
        <v>0</v>
      </c>
      <c r="L1976">
        <f>IF(D1976&lt;$A$15,$C$11,$C$11*(1-$G$11))</f>
        <v>200</v>
      </c>
      <c r="M1976">
        <f>IF(D1976&lt;$A$15,0,1)</f>
        <v>1</v>
      </c>
    </row>
    <row r="1977" spans="4:13" x14ac:dyDescent="0.2">
      <c r="D1977">
        <f t="shared" si="117"/>
        <v>1954</v>
      </c>
      <c r="E1977" s="1">
        <f t="shared" si="115"/>
        <v>139.72515548509068</v>
      </c>
      <c r="F1977" s="1">
        <f t="shared" si="118"/>
        <v>-126.60091266890419</v>
      </c>
      <c r="G1977" s="1">
        <f t="shared" si="116"/>
        <v>1.0421307817460536E-55</v>
      </c>
      <c r="H1977" s="1">
        <f>G1977/$G$21</f>
        <v>7.3077812843391677E-57</v>
      </c>
      <c r="I1977">
        <f>IF($E$11&lt;=D1977, IF(D1977&lt;=$A$15,D1977-$E$11,$F$11),0)</f>
        <v>300</v>
      </c>
      <c r="J1977">
        <f>IF(D1977&lt;=$A$15,0,D1977-$A$15)</f>
        <v>1645</v>
      </c>
      <c r="K1977" s="5">
        <f>IF(D1977&lt;$E$11,H1977,0)</f>
        <v>0</v>
      </c>
      <c r="L1977">
        <f>IF(D1977&lt;$A$15,$C$11,$C$11*(1-$G$11))</f>
        <v>200</v>
      </c>
      <c r="M1977">
        <f>IF(D1977&lt;$A$15,0,1)</f>
        <v>1</v>
      </c>
    </row>
    <row r="1978" spans="4:13" x14ac:dyDescent="0.2">
      <c r="D1978">
        <f t="shared" si="117"/>
        <v>1955</v>
      </c>
      <c r="E1978" s="1">
        <f t="shared" si="115"/>
        <v>139.64819444395457</v>
      </c>
      <c r="F1978" s="1">
        <f t="shared" si="118"/>
        <v>-126.6778737100403</v>
      </c>
      <c r="G1978" s="1">
        <f t="shared" si="116"/>
        <v>9.6493590902413601E-56</v>
      </c>
      <c r="H1978" s="1">
        <f>G1978/$G$21</f>
        <v>6.7664641521659819E-57</v>
      </c>
      <c r="I1978">
        <f>IF($E$11&lt;=D1978, IF(D1978&lt;=$A$15,D1978-$E$11,$F$11),0)</f>
        <v>300</v>
      </c>
      <c r="J1978">
        <f>IF(D1978&lt;=$A$15,0,D1978-$A$15)</f>
        <v>1646</v>
      </c>
      <c r="K1978" s="5">
        <f>IF(D1978&lt;$E$11,H1978,0)</f>
        <v>0</v>
      </c>
      <c r="L1978">
        <f>IF(D1978&lt;$A$15,$C$11,$C$11*(1-$G$11))</f>
        <v>200</v>
      </c>
      <c r="M1978">
        <f>IF(D1978&lt;$A$15,0,1)</f>
        <v>1</v>
      </c>
    </row>
    <row r="1979" spans="4:13" x14ac:dyDescent="0.2">
      <c r="D1979">
        <f t="shared" si="117"/>
        <v>1956</v>
      </c>
      <c r="E1979" s="1">
        <f t="shared" si="115"/>
        <v>139.57123340281845</v>
      </c>
      <c r="F1979" s="1">
        <f t="shared" si="118"/>
        <v>-126.75483475117642</v>
      </c>
      <c r="G1979" s="1">
        <f t="shared" si="116"/>
        <v>8.9345917502235941E-56</v>
      </c>
      <c r="H1979" s="1">
        <f>G1979/$G$21</f>
        <v>6.2652445853389514E-57</v>
      </c>
      <c r="I1979">
        <f>IF($E$11&lt;=D1979, IF(D1979&lt;=$A$15,D1979-$E$11,$F$11),0)</f>
        <v>300</v>
      </c>
      <c r="J1979">
        <f>IF(D1979&lt;=$A$15,0,D1979-$A$15)</f>
        <v>1647</v>
      </c>
      <c r="K1979" s="5">
        <f>IF(D1979&lt;$E$11,H1979,0)</f>
        <v>0</v>
      </c>
      <c r="L1979">
        <f>IF(D1979&lt;$A$15,$C$11,$C$11*(1-$G$11))</f>
        <v>200</v>
      </c>
      <c r="M1979">
        <f>IF(D1979&lt;$A$15,0,1)</f>
        <v>1</v>
      </c>
    </row>
    <row r="1980" spans="4:13" x14ac:dyDescent="0.2">
      <c r="D1980">
        <f t="shared" si="117"/>
        <v>1957</v>
      </c>
      <c r="E1980" s="1">
        <f t="shared" si="115"/>
        <v>139.49427236168233</v>
      </c>
      <c r="F1980" s="1">
        <f t="shared" si="118"/>
        <v>-126.83179579231253</v>
      </c>
      <c r="G1980" s="1">
        <f t="shared" si="116"/>
        <v>8.2727701390960243E-56</v>
      </c>
      <c r="H1980" s="1">
        <f>G1980/$G$21</f>
        <v>5.8011523938324352E-57</v>
      </c>
      <c r="I1980">
        <f>IF($E$11&lt;=D1980, IF(D1980&lt;=$A$15,D1980-$E$11,$F$11),0)</f>
        <v>300</v>
      </c>
      <c r="J1980">
        <f>IF(D1980&lt;=$A$15,0,D1980-$A$15)</f>
        <v>1648</v>
      </c>
      <c r="K1980" s="5">
        <f>IF(D1980&lt;$E$11,H1980,0)</f>
        <v>0</v>
      </c>
      <c r="L1980">
        <f>IF(D1980&lt;$A$15,$C$11,$C$11*(1-$G$11))</f>
        <v>200</v>
      </c>
      <c r="M1980">
        <f>IF(D1980&lt;$A$15,0,1)</f>
        <v>1</v>
      </c>
    </row>
    <row r="1981" spans="4:13" x14ac:dyDescent="0.2">
      <c r="D1981">
        <f t="shared" si="117"/>
        <v>1958</v>
      </c>
      <c r="E1981" s="1">
        <f t="shared" si="115"/>
        <v>139.41731132054622</v>
      </c>
      <c r="F1981" s="1">
        <f t="shared" si="118"/>
        <v>-126.90875683344865</v>
      </c>
      <c r="G1981" s="1">
        <f t="shared" si="116"/>
        <v>7.6599723510149354E-56</v>
      </c>
      <c r="H1981" s="1">
        <f>G1981/$G$21</f>
        <v>5.3714374016967681E-57</v>
      </c>
      <c r="I1981">
        <f>IF($E$11&lt;=D1981, IF(D1981&lt;=$A$15,D1981-$E$11,$F$11),0)</f>
        <v>300</v>
      </c>
      <c r="J1981">
        <f>IF(D1981&lt;=$A$15,0,D1981-$A$15)</f>
        <v>1649</v>
      </c>
      <c r="K1981" s="5">
        <f>IF(D1981&lt;$E$11,H1981,0)</f>
        <v>0</v>
      </c>
      <c r="L1981">
        <f>IF(D1981&lt;$A$15,$C$11,$C$11*(1-$G$11))</f>
        <v>200</v>
      </c>
      <c r="M1981">
        <f>IF(D1981&lt;$A$15,0,1)</f>
        <v>1</v>
      </c>
    </row>
    <row r="1982" spans="4:13" x14ac:dyDescent="0.2">
      <c r="D1982">
        <f t="shared" si="117"/>
        <v>1959</v>
      </c>
      <c r="E1982" s="1">
        <f t="shared" si="115"/>
        <v>139.3403502794101</v>
      </c>
      <c r="F1982" s="1">
        <f t="shared" si="118"/>
        <v>-126.98571787458476</v>
      </c>
      <c r="G1982" s="1">
        <f t="shared" si="116"/>
        <v>7.0925669916805853E-56</v>
      </c>
      <c r="H1982" s="1">
        <f>G1982/$G$21</f>
        <v>4.9735531497192924E-57</v>
      </c>
      <c r="I1982">
        <f>IF($E$11&lt;=D1982, IF(D1982&lt;=$A$15,D1982-$E$11,$F$11),0)</f>
        <v>300</v>
      </c>
      <c r="J1982">
        <f>IF(D1982&lt;=$A$15,0,D1982-$A$15)</f>
        <v>1650</v>
      </c>
      <c r="K1982" s="5">
        <f>IF(D1982&lt;$E$11,H1982,0)</f>
        <v>0</v>
      </c>
      <c r="L1982">
        <f>IF(D1982&lt;$A$15,$C$11,$C$11*(1-$G$11))</f>
        <v>200</v>
      </c>
      <c r="M1982">
        <f>IF(D1982&lt;$A$15,0,1)</f>
        <v>1</v>
      </c>
    </row>
    <row r="1983" spans="4:13" x14ac:dyDescent="0.2">
      <c r="D1983">
        <f t="shared" si="117"/>
        <v>1960</v>
      </c>
      <c r="E1983" s="1">
        <f t="shared" si="115"/>
        <v>139.26338923827399</v>
      </c>
      <c r="F1983" s="1">
        <f t="shared" si="118"/>
        <v>-127.06267891572088</v>
      </c>
      <c r="G1983" s="1">
        <f t="shared" si="116"/>
        <v>6.5671916589635881E-56</v>
      </c>
      <c r="H1983" s="1">
        <f>G1983/$G$21</f>
        <v>4.6051418052956998E-57</v>
      </c>
      <c r="I1983">
        <f>IF($E$11&lt;=D1983, IF(D1983&lt;=$A$15,D1983-$E$11,$F$11),0)</f>
        <v>300</v>
      </c>
      <c r="J1983">
        <f>IF(D1983&lt;=$A$15,0,D1983-$A$15)</f>
        <v>1651</v>
      </c>
      <c r="K1983" s="5">
        <f>IF(D1983&lt;$E$11,H1983,0)</f>
        <v>0</v>
      </c>
      <c r="L1983">
        <f>IF(D1983&lt;$A$15,$C$11,$C$11*(1-$G$11))</f>
        <v>200</v>
      </c>
      <c r="M1983">
        <f>IF(D1983&lt;$A$15,0,1)</f>
        <v>1</v>
      </c>
    </row>
    <row r="1984" spans="4:13" x14ac:dyDescent="0.2">
      <c r="D1984">
        <f t="shared" si="117"/>
        <v>1961</v>
      </c>
      <c r="E1984" s="1">
        <f t="shared" si="115"/>
        <v>139.18642819713787</v>
      </c>
      <c r="F1984" s="1">
        <f t="shared" si="118"/>
        <v>-127.139639956857</v>
      </c>
      <c r="G1984" s="1">
        <f t="shared" si="116"/>
        <v>6.0807330175589544E-56</v>
      </c>
      <c r="H1984" s="1">
        <f>G1984/$G$21</f>
        <v>4.2640201900886643E-57</v>
      </c>
      <c r="I1984">
        <f>IF($E$11&lt;=D1984, IF(D1984&lt;=$A$15,D1984-$E$11,$F$11),0)</f>
        <v>300</v>
      </c>
      <c r="J1984">
        <f>IF(D1984&lt;=$A$15,0,D1984-$A$15)</f>
        <v>1652</v>
      </c>
      <c r="K1984" s="5">
        <f>IF(D1984&lt;$E$11,H1984,0)</f>
        <v>0</v>
      </c>
      <c r="L1984">
        <f>IF(D1984&lt;$A$15,$C$11,$C$11*(1-$G$11))</f>
        <v>200</v>
      </c>
      <c r="M1984">
        <f>IF(D1984&lt;$A$15,0,1)</f>
        <v>1</v>
      </c>
    </row>
    <row r="1985" spans="4:13" x14ac:dyDescent="0.2">
      <c r="D1985">
        <f t="shared" si="117"/>
        <v>1962</v>
      </c>
      <c r="E1985" s="1">
        <f t="shared" si="115"/>
        <v>139.10946715600176</v>
      </c>
      <c r="F1985" s="1">
        <f t="shared" si="118"/>
        <v>-127.21660099799311</v>
      </c>
      <c r="G1985" s="1">
        <f t="shared" si="116"/>
        <v>5.6303083495916956E-56</v>
      </c>
      <c r="H1985" s="1">
        <f>G1985/$G$21</f>
        <v>3.9481668426747392E-57</v>
      </c>
      <c r="I1985">
        <f>IF($E$11&lt;=D1985, IF(D1985&lt;=$A$15,D1985-$E$11,$F$11),0)</f>
        <v>300</v>
      </c>
      <c r="J1985">
        <f>IF(D1985&lt;=$A$15,0,D1985-$A$15)</f>
        <v>1653</v>
      </c>
      <c r="K1985" s="5">
        <f>IF(D1985&lt;$E$11,H1985,0)</f>
        <v>0</v>
      </c>
      <c r="L1985">
        <f>IF(D1985&lt;$A$15,$C$11,$C$11*(1-$G$11))</f>
        <v>200</v>
      </c>
      <c r="M1985">
        <f>IF(D1985&lt;$A$15,0,1)</f>
        <v>1</v>
      </c>
    </row>
    <row r="1986" spans="4:13" x14ac:dyDescent="0.2">
      <c r="D1986">
        <f t="shared" si="117"/>
        <v>1963</v>
      </c>
      <c r="E1986" s="1">
        <f t="shared" si="115"/>
        <v>139.03250611486564</v>
      </c>
      <c r="F1986" s="1">
        <f t="shared" si="118"/>
        <v>-127.29356203912923</v>
      </c>
      <c r="G1986" s="1">
        <f t="shared" si="116"/>
        <v>5.2132484718442286E-56</v>
      </c>
      <c r="H1986" s="1">
        <f>G1986/$G$21</f>
        <v>3.6557100395136936E-57</v>
      </c>
      <c r="I1986">
        <f>IF($E$11&lt;=D1986, IF(D1986&lt;=$A$15,D1986-$E$11,$F$11),0)</f>
        <v>300</v>
      </c>
      <c r="J1986">
        <f>IF(D1986&lt;=$A$15,0,D1986-$A$15)</f>
        <v>1654</v>
      </c>
      <c r="K1986" s="5">
        <f>IF(D1986&lt;$E$11,H1986,0)</f>
        <v>0</v>
      </c>
      <c r="L1986">
        <f>IF(D1986&lt;$A$15,$C$11,$C$11*(1-$G$11))</f>
        <v>200</v>
      </c>
      <c r="M1986">
        <f>IF(D1986&lt;$A$15,0,1)</f>
        <v>1</v>
      </c>
    </row>
    <row r="1987" spans="4:13" x14ac:dyDescent="0.2">
      <c r="D1987">
        <f t="shared" si="117"/>
        <v>1964</v>
      </c>
      <c r="E1987" s="1">
        <f t="shared" si="115"/>
        <v>138.95554507372952</v>
      </c>
      <c r="F1987" s="1">
        <f t="shared" si="118"/>
        <v>-127.37052308026534</v>
      </c>
      <c r="G1987" s="1">
        <f t="shared" si="116"/>
        <v>4.8270819183743463E-56</v>
      </c>
      <c r="H1987" s="1">
        <f>G1987/$G$21</f>
        <v>3.3849167032534627E-57</v>
      </c>
      <c r="I1987">
        <f>IF($E$11&lt;=D1987, IF(D1987&lt;=$A$15,D1987-$E$11,$F$11),0)</f>
        <v>300</v>
      </c>
      <c r="J1987">
        <f>IF(D1987&lt;=$A$15,0,D1987-$A$15)</f>
        <v>1655</v>
      </c>
      <c r="K1987" s="5">
        <f>IF(D1987&lt;$E$11,H1987,0)</f>
        <v>0</v>
      </c>
      <c r="L1987">
        <f>IF(D1987&lt;$A$15,$C$11,$C$11*(1-$G$11))</f>
        <v>200</v>
      </c>
      <c r="M1987">
        <f>IF(D1987&lt;$A$15,0,1)</f>
        <v>1</v>
      </c>
    </row>
    <row r="1988" spans="4:13" x14ac:dyDescent="0.2">
      <c r="D1988">
        <f t="shared" si="117"/>
        <v>1965</v>
      </c>
      <c r="E1988" s="1">
        <f t="shared" ref="E1988:F2023" si="119">IF($G$11=1,IF(D1988&lt;=$A$15, E1987+LN($C$11)-LN(60/$D$11)-LN(MIN(D1988,$E$11)), E1987-LN(60/$D$11)-LN(MIN(D1988,$E$11))), IF(D1988&lt;=$A$15, E1987+LN($C$11)-LN(60/$D$11)-LN(MIN(D1988,$E$11)), E1987+LN($C$11)+LN(1-$G$11)-LN(60/$D$11)-LN(MIN(D1988,$E$11))))</f>
        <v>138.87858403259341</v>
      </c>
      <c r="F1988" s="1">
        <f t="shared" si="118"/>
        <v>-127.44748412140146</v>
      </c>
      <c r="G1988" s="1">
        <f t="shared" si="116"/>
        <v>4.4695202947911178E-56</v>
      </c>
      <c r="H1988" s="1">
        <f>G1988/$G$21</f>
        <v>3.1341821326421344E-57</v>
      </c>
      <c r="I1988">
        <f>IF($E$11&lt;=D1988, IF(D1988&lt;=$A$15,D1988-$E$11,$F$11),0)</f>
        <v>300</v>
      </c>
      <c r="J1988">
        <f>IF(D1988&lt;=$A$15,0,D1988-$A$15)</f>
        <v>1656</v>
      </c>
      <c r="K1988" s="5">
        <f>IF(D1988&lt;$E$11,H1988,0)</f>
        <v>0</v>
      </c>
      <c r="L1988">
        <f>IF(D1988&lt;$A$15,$C$11,$C$11*(1-$G$11))</f>
        <v>200</v>
      </c>
      <c r="M1988">
        <f>IF(D1988&lt;$A$15,0,1)</f>
        <v>1</v>
      </c>
    </row>
    <row r="1989" spans="4:13" x14ac:dyDescent="0.2">
      <c r="D1989">
        <f t="shared" si="117"/>
        <v>1966</v>
      </c>
      <c r="E1989" s="1">
        <f t="shared" si="119"/>
        <v>138.80162299145729</v>
      </c>
      <c r="F1989" s="1">
        <f t="shared" si="118"/>
        <v>-127.52444516253757</v>
      </c>
      <c r="G1989" s="1">
        <f t="shared" si="116"/>
        <v>4.1384447173992356E-56</v>
      </c>
      <c r="H1989" s="1">
        <f>G1989/$G$21</f>
        <v>2.9020204931871985E-57</v>
      </c>
      <c r="I1989">
        <f>IF($E$11&lt;=D1989, IF(D1989&lt;=$A$15,D1989-$E$11,$F$11),0)</f>
        <v>300</v>
      </c>
      <c r="J1989">
        <f>IF(D1989&lt;=$A$15,0,D1989-$A$15)</f>
        <v>1657</v>
      </c>
      <c r="K1989" s="5">
        <f>IF(D1989&lt;$E$11,H1989,0)</f>
        <v>0</v>
      </c>
      <c r="L1989">
        <f>IF(D1989&lt;$A$15,$C$11,$C$11*(1-$G$11))</f>
        <v>200</v>
      </c>
      <c r="M1989">
        <f>IF(D1989&lt;$A$15,0,1)</f>
        <v>1</v>
      </c>
    </row>
    <row r="1990" spans="4:13" x14ac:dyDescent="0.2">
      <c r="D1990">
        <f t="shared" si="117"/>
        <v>1967</v>
      </c>
      <c r="E1990" s="1">
        <f t="shared" si="119"/>
        <v>138.72466195032118</v>
      </c>
      <c r="F1990" s="1">
        <f t="shared" si="118"/>
        <v>-127.60140620367369</v>
      </c>
      <c r="G1990" s="1">
        <f t="shared" si="116"/>
        <v>3.8318932568511928E-56</v>
      </c>
      <c r="H1990" s="1">
        <f>G1990/$G$21</f>
        <v>2.687056012210403E-57</v>
      </c>
      <c r="I1990">
        <f>IF($E$11&lt;=D1990, IF(D1990&lt;=$A$15,D1990-$E$11,$F$11),0)</f>
        <v>300</v>
      </c>
      <c r="J1990">
        <f>IF(D1990&lt;=$A$15,0,D1990-$A$15)</f>
        <v>1658</v>
      </c>
      <c r="K1990" s="5">
        <f>IF(D1990&lt;$E$11,H1990,0)</f>
        <v>0</v>
      </c>
      <c r="L1990">
        <f>IF(D1990&lt;$A$15,$C$11,$C$11*(1-$G$11))</f>
        <v>200</v>
      </c>
      <c r="M1990">
        <f>IF(D1990&lt;$A$15,0,1)</f>
        <v>1</v>
      </c>
    </row>
    <row r="1991" spans="4:13" x14ac:dyDescent="0.2">
      <c r="D1991">
        <f t="shared" si="117"/>
        <v>1968</v>
      </c>
      <c r="E1991" s="1">
        <f t="shared" si="119"/>
        <v>138.64770090918506</v>
      </c>
      <c r="F1991" s="1">
        <f t="shared" si="118"/>
        <v>-127.67836724480981</v>
      </c>
      <c r="G1991" s="1">
        <f t="shared" si="116"/>
        <v>3.5480493118992975E-56</v>
      </c>
      <c r="H1991" s="1">
        <f>G1991/$G$21</f>
        <v>2.488014826120775E-57</v>
      </c>
      <c r="I1991">
        <f>IF($E$11&lt;=D1991, IF(D1991&lt;=$A$15,D1991-$E$11,$F$11),0)</f>
        <v>300</v>
      </c>
      <c r="J1991">
        <f>IF(D1991&lt;=$A$15,0,D1991-$A$15)</f>
        <v>1659</v>
      </c>
      <c r="K1991" s="5">
        <f>IF(D1991&lt;$E$11,H1991,0)</f>
        <v>0</v>
      </c>
      <c r="L1991">
        <f>IF(D1991&lt;$A$15,$C$11,$C$11*(1-$G$11))</f>
        <v>200</v>
      </c>
      <c r="M1991">
        <f>IF(D1991&lt;$A$15,0,1)</f>
        <v>1</v>
      </c>
    </row>
    <row r="1992" spans="4:13" x14ac:dyDescent="0.2">
      <c r="D1992">
        <f t="shared" si="117"/>
        <v>1969</v>
      </c>
      <c r="E1992" s="1">
        <f t="shared" si="119"/>
        <v>138.57073986804895</v>
      </c>
      <c r="F1992" s="1">
        <f t="shared" si="118"/>
        <v>-127.75532828594592</v>
      </c>
      <c r="G1992" s="1">
        <f t="shared" si="116"/>
        <v>3.2852308443512427E-56</v>
      </c>
      <c r="H1992" s="1">
        <f>G1992/$G$21</f>
        <v>2.3037174315933391E-57</v>
      </c>
      <c r="I1992">
        <f>IF($E$11&lt;=D1992, IF(D1992&lt;=$A$15,D1992-$E$11,$F$11),0)</f>
        <v>300</v>
      </c>
      <c r="J1992">
        <f>IF(D1992&lt;=$A$15,0,D1992-$A$15)</f>
        <v>1660</v>
      </c>
      <c r="K1992" s="5">
        <f>IF(D1992&lt;$E$11,H1992,0)</f>
        <v>0</v>
      </c>
      <c r="L1992">
        <f>IF(D1992&lt;$A$15,$C$11,$C$11*(1-$G$11))</f>
        <v>200</v>
      </c>
      <c r="M1992">
        <f>IF(D1992&lt;$A$15,0,1)</f>
        <v>1</v>
      </c>
    </row>
    <row r="1993" spans="4:13" x14ac:dyDescent="0.2">
      <c r="D1993">
        <f t="shared" si="117"/>
        <v>1970</v>
      </c>
      <c r="E1993" s="1">
        <f t="shared" si="119"/>
        <v>138.49377882691283</v>
      </c>
      <c r="F1993" s="1">
        <f t="shared" si="118"/>
        <v>-127.83228932708204</v>
      </c>
      <c r="G1993" s="1">
        <f t="shared" si="116"/>
        <v>3.0418804114363745E-56</v>
      </c>
      <c r="H1993" s="1">
        <f>G1993/$G$21</f>
        <v>2.1330716959197856E-57</v>
      </c>
      <c r="I1993">
        <f>IF($E$11&lt;=D1993, IF(D1993&lt;=$A$15,D1993-$E$11,$F$11),0)</f>
        <v>300</v>
      </c>
      <c r="J1993">
        <f>IF(D1993&lt;=$A$15,0,D1993-$A$15)</f>
        <v>1661</v>
      </c>
      <c r="K1993" s="5">
        <f>IF(D1993&lt;$E$11,H1993,0)</f>
        <v>0</v>
      </c>
      <c r="L1993">
        <f>IF(D1993&lt;$A$15,$C$11,$C$11*(1-$G$11))</f>
        <v>200</v>
      </c>
      <c r="M1993">
        <f>IF(D1993&lt;$A$15,0,1)</f>
        <v>1</v>
      </c>
    </row>
    <row r="1994" spans="4:13" x14ac:dyDescent="0.2">
      <c r="D1994">
        <f t="shared" si="117"/>
        <v>1971</v>
      </c>
      <c r="E1994" s="1">
        <f t="shared" si="119"/>
        <v>138.41681778577671</v>
      </c>
      <c r="F1994" s="1">
        <f t="shared" si="118"/>
        <v>-127.90925036821815</v>
      </c>
      <c r="G1994" s="1">
        <f t="shared" si="116"/>
        <v>2.8165559365151972E-56</v>
      </c>
      <c r="H1994" s="1">
        <f>G1994/$G$21</f>
        <v>1.9750663851109375E-57</v>
      </c>
      <c r="I1994">
        <f>IF($E$11&lt;=D1994, IF(D1994&lt;=$A$15,D1994-$E$11,$F$11),0)</f>
        <v>300</v>
      </c>
      <c r="J1994">
        <f>IF(D1994&lt;=$A$15,0,D1994-$A$15)</f>
        <v>1662</v>
      </c>
      <c r="K1994" s="5">
        <f>IF(D1994&lt;$E$11,H1994,0)</f>
        <v>0</v>
      </c>
      <c r="L1994">
        <f>IF(D1994&lt;$A$15,$C$11,$C$11*(1-$G$11))</f>
        <v>200</v>
      </c>
      <c r="M1994">
        <f>IF(D1994&lt;$A$15,0,1)</f>
        <v>1</v>
      </c>
    </row>
    <row r="1995" spans="4:13" x14ac:dyDescent="0.2">
      <c r="D1995">
        <f t="shared" si="117"/>
        <v>1972</v>
      </c>
      <c r="E1995" s="1">
        <f t="shared" si="119"/>
        <v>138.3398567446406</v>
      </c>
      <c r="F1995" s="1">
        <f t="shared" si="118"/>
        <v>-127.98621140935427</v>
      </c>
      <c r="G1995" s="1">
        <f t="shared" si="116"/>
        <v>2.6079221634400302E-56</v>
      </c>
      <c r="H1995" s="1">
        <f>G1995/$G$21</f>
        <v>1.8287651713990393E-57</v>
      </c>
      <c r="I1995">
        <f>IF($E$11&lt;=D1995, IF(D1995&lt;=$A$15,D1995-$E$11,$F$11),0)</f>
        <v>300</v>
      </c>
      <c r="J1995">
        <f>IF(D1995&lt;=$A$15,0,D1995-$A$15)</f>
        <v>1663</v>
      </c>
      <c r="K1995" s="5">
        <f>IF(D1995&lt;$E$11,H1995,0)</f>
        <v>0</v>
      </c>
      <c r="L1995">
        <f>IF(D1995&lt;$A$15,$C$11,$C$11*(1-$G$11))</f>
        <v>200</v>
      </c>
      <c r="M1995">
        <f>IF(D1995&lt;$A$15,0,1)</f>
        <v>1</v>
      </c>
    </row>
    <row r="1996" spans="4:13" x14ac:dyDescent="0.2">
      <c r="D1996">
        <f t="shared" si="117"/>
        <v>1973</v>
      </c>
      <c r="E1996" s="1">
        <f t="shared" si="119"/>
        <v>138.26289570350448</v>
      </c>
      <c r="F1996" s="1">
        <f t="shared" si="118"/>
        <v>-128.06317245049038</v>
      </c>
      <c r="G1996" s="1">
        <f t="shared" si="116"/>
        <v>2.4147427439259844E-56</v>
      </c>
      <c r="H1996" s="1">
        <f>G1996/$G$21</f>
        <v>1.6933010846287613E-57</v>
      </c>
      <c r="I1996">
        <f>IF($E$11&lt;=D1996, IF(D1996&lt;=$A$15,D1996-$E$11,$F$11),0)</f>
        <v>300</v>
      </c>
      <c r="J1996">
        <f>IF(D1996&lt;=$A$15,0,D1996-$A$15)</f>
        <v>1664</v>
      </c>
      <c r="K1996" s="5">
        <f>IF(D1996&lt;$E$11,H1996,0)</f>
        <v>0</v>
      </c>
      <c r="L1996">
        <f>IF(D1996&lt;$A$15,$C$11,$C$11*(1-$G$11))</f>
        <v>200</v>
      </c>
      <c r="M1996">
        <f>IF(D1996&lt;$A$15,0,1)</f>
        <v>1</v>
      </c>
    </row>
    <row r="1997" spans="4:13" x14ac:dyDescent="0.2">
      <c r="D1997">
        <f t="shared" si="117"/>
        <v>1974</v>
      </c>
      <c r="E1997" s="1">
        <f t="shared" si="119"/>
        <v>138.18593466236837</v>
      </c>
      <c r="F1997" s="1">
        <f t="shared" si="118"/>
        <v>-128.1401334916265</v>
      </c>
      <c r="G1997" s="1">
        <f t="shared" si="116"/>
        <v>2.2358729110426067E-56</v>
      </c>
      <c r="H1997" s="1">
        <f>G1997/$G$21</f>
        <v>1.5678713746562807E-57</v>
      </c>
      <c r="I1997">
        <f>IF($E$11&lt;=D1997, IF(D1997&lt;=$A$15,D1997-$E$11,$F$11),0)</f>
        <v>300</v>
      </c>
      <c r="J1997">
        <f>IF(D1997&lt;=$A$15,0,D1997-$A$15)</f>
        <v>1665</v>
      </c>
      <c r="K1997" s="5">
        <f>IF(D1997&lt;$E$11,H1997,0)</f>
        <v>0</v>
      </c>
      <c r="L1997">
        <f>IF(D1997&lt;$A$15,$C$11,$C$11*(1-$G$11))</f>
        <v>200</v>
      </c>
      <c r="M1997">
        <f>IF(D1997&lt;$A$15,0,1)</f>
        <v>1</v>
      </c>
    </row>
    <row r="1998" spans="4:13" x14ac:dyDescent="0.2">
      <c r="D1998">
        <f t="shared" si="117"/>
        <v>1975</v>
      </c>
      <c r="E1998" s="1">
        <f t="shared" si="119"/>
        <v>138.10897362123225</v>
      </c>
      <c r="F1998" s="1">
        <f t="shared" si="118"/>
        <v>-128.21709453276262</v>
      </c>
      <c r="G1998" s="1">
        <f t="shared" si="116"/>
        <v>2.0702526954098468E-56</v>
      </c>
      <c r="H1998" s="1">
        <f>G1998/$G$21</f>
        <v>1.451732754311389E-57</v>
      </c>
      <c r="I1998">
        <f>IF($E$11&lt;=D1998, IF(D1998&lt;=$A$15,D1998-$E$11,$F$11),0)</f>
        <v>300</v>
      </c>
      <c r="J1998">
        <f>IF(D1998&lt;=$A$15,0,D1998-$A$15)</f>
        <v>1666</v>
      </c>
      <c r="K1998" s="5">
        <f>IF(D1998&lt;$E$11,H1998,0)</f>
        <v>0</v>
      </c>
      <c r="L1998">
        <f>IF(D1998&lt;$A$15,$C$11,$C$11*(1-$G$11))</f>
        <v>200</v>
      </c>
      <c r="M1998">
        <f>IF(D1998&lt;$A$15,0,1)</f>
        <v>1</v>
      </c>
    </row>
    <row r="1999" spans="4:13" x14ac:dyDescent="0.2">
      <c r="D1999">
        <f t="shared" si="117"/>
        <v>1976</v>
      </c>
      <c r="E1999" s="1">
        <f t="shared" si="119"/>
        <v>138.03201258009614</v>
      </c>
      <c r="F1999" s="1">
        <f t="shared" si="118"/>
        <v>-128.29405557389873</v>
      </c>
      <c r="G1999" s="1">
        <f t="shared" si="116"/>
        <v>1.9169006438980307E-56</v>
      </c>
      <c r="H1999" s="1">
        <f>G1999/$G$21</f>
        <v>1.3441969947327847E-57</v>
      </c>
      <c r="I1999">
        <f>IF($E$11&lt;=D1999, IF(D1999&lt;=$A$15,D1999-$E$11,$F$11),0)</f>
        <v>300</v>
      </c>
      <c r="J1999">
        <f>IF(D1999&lt;=$A$15,0,D1999-$A$15)</f>
        <v>1667</v>
      </c>
      <c r="K1999" s="5">
        <f>IF(D1999&lt;$E$11,H1999,0)</f>
        <v>0</v>
      </c>
      <c r="L1999">
        <f>IF(D1999&lt;$A$15,$C$11,$C$11*(1-$G$11))</f>
        <v>200</v>
      </c>
      <c r="M1999">
        <f>IF(D1999&lt;$A$15,0,1)</f>
        <v>1</v>
      </c>
    </row>
    <row r="2000" spans="4:13" x14ac:dyDescent="0.2">
      <c r="D2000">
        <f t="shared" si="117"/>
        <v>1977</v>
      </c>
      <c r="E2000" s="1">
        <f t="shared" si="119"/>
        <v>137.95505153896002</v>
      </c>
      <c r="F2000" s="1">
        <f t="shared" si="118"/>
        <v>-128.37101661503485</v>
      </c>
      <c r="G2000" s="1">
        <f t="shared" si="116"/>
        <v>1.7749080036093101E-56</v>
      </c>
      <c r="H2000" s="1">
        <f>G2000/$G$21</f>
        <v>1.2446268469748164E-57</v>
      </c>
      <c r="I2000">
        <f>IF($E$11&lt;=D2000, IF(D2000&lt;=$A$15,D2000-$E$11,$F$11),0)</f>
        <v>300</v>
      </c>
      <c r="J2000">
        <f>IF(D2000&lt;=$A$15,0,D2000-$A$15)</f>
        <v>1668</v>
      </c>
      <c r="K2000" s="5">
        <f>IF(D2000&lt;$E$11,H2000,0)</f>
        <v>0</v>
      </c>
      <c r="L2000">
        <f>IF(D2000&lt;$A$15,$C$11,$C$11*(1-$G$11))</f>
        <v>200</v>
      </c>
      <c r="M2000">
        <f>IF(D2000&lt;$A$15,0,1)</f>
        <v>1</v>
      </c>
    </row>
    <row r="2001" spans="4:13" x14ac:dyDescent="0.2">
      <c r="D2001">
        <f t="shared" si="117"/>
        <v>1978</v>
      </c>
      <c r="E2001" s="1">
        <f t="shared" si="119"/>
        <v>137.87809049782391</v>
      </c>
      <c r="F2001" s="1">
        <f t="shared" si="118"/>
        <v>-128.44797765617096</v>
      </c>
      <c r="G2001" s="1">
        <f t="shared" si="116"/>
        <v>1.6434333366753079E-56</v>
      </c>
      <c r="H2001" s="1">
        <f>G2001/$G$21</f>
        <v>1.1524322657174371E-57</v>
      </c>
      <c r="I2001">
        <f>IF($E$11&lt;=D2001, IF(D2001&lt;=$A$15,D2001-$E$11,$F$11),0)</f>
        <v>300</v>
      </c>
      <c r="J2001">
        <f>IF(D2001&lt;=$A$15,0,D2001-$A$15)</f>
        <v>1669</v>
      </c>
      <c r="K2001" s="5">
        <f>IF(D2001&lt;$E$11,H2001,0)</f>
        <v>0</v>
      </c>
      <c r="L2001">
        <f>IF(D2001&lt;$A$15,$C$11,$C$11*(1-$G$11))</f>
        <v>200</v>
      </c>
      <c r="M2001">
        <f>IF(D2001&lt;$A$15,0,1)</f>
        <v>1</v>
      </c>
    </row>
    <row r="2002" spans="4:13" x14ac:dyDescent="0.2">
      <c r="D2002">
        <f t="shared" si="117"/>
        <v>1979</v>
      </c>
      <c r="E2002" s="1">
        <f t="shared" si="119"/>
        <v>137.80112945668779</v>
      </c>
      <c r="F2002" s="1">
        <f t="shared" si="118"/>
        <v>-128.52493869730708</v>
      </c>
      <c r="G2002" s="1">
        <f t="shared" si="116"/>
        <v>1.5216975339586377E-56</v>
      </c>
      <c r="H2002" s="1">
        <f>G2002/$G$21</f>
        <v>1.0670669127013442E-57</v>
      </c>
      <c r="I2002">
        <f>IF($E$11&lt;=D2002, IF(D2002&lt;=$A$15,D2002-$E$11,$F$11),0)</f>
        <v>300</v>
      </c>
      <c r="J2002">
        <f>IF(D2002&lt;=$A$15,0,D2002-$A$15)</f>
        <v>1670</v>
      </c>
      <c r="K2002" s="5">
        <f>IF(D2002&lt;$E$11,H2002,0)</f>
        <v>0</v>
      </c>
      <c r="L2002">
        <f>IF(D2002&lt;$A$15,$C$11,$C$11*(1-$G$11))</f>
        <v>200</v>
      </c>
      <c r="M2002">
        <f>IF(D2002&lt;$A$15,0,1)</f>
        <v>1</v>
      </c>
    </row>
    <row r="2003" spans="4:13" x14ac:dyDescent="0.2">
      <c r="D2003">
        <f t="shared" si="117"/>
        <v>1980</v>
      </c>
      <c r="E2003" s="1">
        <f t="shared" si="119"/>
        <v>137.72416841555167</v>
      </c>
      <c r="F2003" s="1">
        <f t="shared" si="118"/>
        <v>-128.60189973844319</v>
      </c>
      <c r="G2003" s="1">
        <f t="shared" si="116"/>
        <v>1.4089791981098676E-56</v>
      </c>
      <c r="H2003" s="1">
        <f>G2003/$G$21</f>
        <v>9.8802491916792388E-58</v>
      </c>
      <c r="I2003">
        <f>IF($E$11&lt;=D2003, IF(D2003&lt;=$A$15,D2003-$E$11,$F$11),0)</f>
        <v>300</v>
      </c>
      <c r="J2003">
        <f>IF(D2003&lt;=$A$15,0,D2003-$A$15)</f>
        <v>1671</v>
      </c>
      <c r="K2003" s="5">
        <f>IF(D2003&lt;$E$11,H2003,0)</f>
        <v>0</v>
      </c>
      <c r="L2003">
        <f>IF(D2003&lt;$A$15,$C$11,$C$11*(1-$G$11))</f>
        <v>200</v>
      </c>
      <c r="M2003">
        <f>IF(D2003&lt;$A$15,0,1)</f>
        <v>1</v>
      </c>
    </row>
    <row r="2004" spans="4:13" x14ac:dyDescent="0.2">
      <c r="D2004">
        <f t="shared" si="117"/>
        <v>1981</v>
      </c>
      <c r="E2004" s="1">
        <f t="shared" si="119"/>
        <v>137.64720737441556</v>
      </c>
      <c r="F2004" s="1">
        <f t="shared" si="118"/>
        <v>-128.67886077957931</v>
      </c>
      <c r="G2004" s="1">
        <f t="shared" si="116"/>
        <v>1.3046103686202643E-56</v>
      </c>
      <c r="H2004" s="1">
        <f>G2004/$G$21</f>
        <v>9.1483788811845957E-58</v>
      </c>
      <c r="I2004">
        <f>IF($E$11&lt;=D2004, IF(D2004&lt;=$A$15,D2004-$E$11,$F$11),0)</f>
        <v>300</v>
      </c>
      <c r="J2004">
        <f>IF(D2004&lt;=$A$15,0,D2004-$A$15)</f>
        <v>1672</v>
      </c>
      <c r="K2004" s="5">
        <f>IF(D2004&lt;$E$11,H2004,0)</f>
        <v>0</v>
      </c>
      <c r="L2004">
        <f>IF(D2004&lt;$A$15,$C$11,$C$11*(1-$G$11))</f>
        <v>200</v>
      </c>
      <c r="M2004">
        <f>IF(D2004&lt;$A$15,0,1)</f>
        <v>1</v>
      </c>
    </row>
    <row r="2005" spans="4:13" x14ac:dyDescent="0.2">
      <c r="D2005">
        <f t="shared" si="117"/>
        <v>1982</v>
      </c>
      <c r="E2005" s="1">
        <f t="shared" si="119"/>
        <v>137.57024633327944</v>
      </c>
      <c r="F2005" s="1">
        <f t="shared" si="118"/>
        <v>-128.75582182071543</v>
      </c>
      <c r="G2005" s="1">
        <f t="shared" si="116"/>
        <v>1.207972563537297E-56</v>
      </c>
      <c r="H2005" s="1">
        <f>G2005/$G$21</f>
        <v>8.4707211862821398E-58</v>
      </c>
      <c r="I2005">
        <f>IF($E$11&lt;=D2005, IF(D2005&lt;=$A$15,D2005-$E$11,$F$11),0)</f>
        <v>300</v>
      </c>
      <c r="J2005">
        <f>IF(D2005&lt;=$A$15,0,D2005-$A$15)</f>
        <v>1673</v>
      </c>
      <c r="K2005" s="5">
        <f>IF(D2005&lt;$E$11,H2005,0)</f>
        <v>0</v>
      </c>
      <c r="L2005">
        <f>IF(D2005&lt;$A$15,$C$11,$C$11*(1-$G$11))</f>
        <v>200</v>
      </c>
      <c r="M2005">
        <f>IF(D2005&lt;$A$15,0,1)</f>
        <v>1</v>
      </c>
    </row>
    <row r="2006" spans="4:13" x14ac:dyDescent="0.2">
      <c r="D2006">
        <f t="shared" si="117"/>
        <v>1983</v>
      </c>
      <c r="E2006" s="1">
        <f t="shared" si="119"/>
        <v>137.49328529214333</v>
      </c>
      <c r="F2006" s="1">
        <f t="shared" si="118"/>
        <v>-128.83278286185154</v>
      </c>
      <c r="G2006" s="1">
        <f t="shared" si="116"/>
        <v>1.1184931143864002E-56</v>
      </c>
      <c r="H2006" s="1">
        <f>G2006/$G$21</f>
        <v>7.8432603576687462E-58</v>
      </c>
      <c r="I2006">
        <f>IF($E$11&lt;=D2006, IF(D2006&lt;=$A$15,D2006-$E$11,$F$11),0)</f>
        <v>300</v>
      </c>
      <c r="J2006">
        <f>IF(D2006&lt;=$A$15,0,D2006-$A$15)</f>
        <v>1674</v>
      </c>
      <c r="K2006" s="5">
        <f>IF(D2006&lt;$E$11,H2006,0)</f>
        <v>0</v>
      </c>
      <c r="L2006">
        <f>IF(D2006&lt;$A$15,$C$11,$C$11*(1-$G$11))</f>
        <v>200</v>
      </c>
      <c r="M2006">
        <f>IF(D2006&lt;$A$15,0,1)</f>
        <v>1</v>
      </c>
    </row>
    <row r="2007" spans="4:13" x14ac:dyDescent="0.2">
      <c r="D2007">
        <f t="shared" si="117"/>
        <v>1984</v>
      </c>
      <c r="E2007" s="1">
        <f t="shared" si="119"/>
        <v>137.41632425100721</v>
      </c>
      <c r="F2007" s="1">
        <f t="shared" si="118"/>
        <v>-128.90974390298766</v>
      </c>
      <c r="G2007" s="1">
        <f t="shared" si="116"/>
        <v>1.0356417725800133E-56</v>
      </c>
      <c r="H2007" s="1">
        <f>G2007/$G$21</f>
        <v>7.2622781089526357E-58</v>
      </c>
      <c r="I2007">
        <f>IF($E$11&lt;=D2007, IF(D2007&lt;=$A$15,D2007-$E$11,$F$11),0)</f>
        <v>300</v>
      </c>
      <c r="J2007">
        <f>IF(D2007&lt;=$A$15,0,D2007-$A$15)</f>
        <v>1675</v>
      </c>
      <c r="K2007" s="5">
        <f>IF(D2007&lt;$E$11,H2007,0)</f>
        <v>0</v>
      </c>
      <c r="L2007">
        <f>IF(D2007&lt;$A$15,$C$11,$C$11*(1-$G$11))</f>
        <v>200</v>
      </c>
      <c r="M2007">
        <f>IF(D2007&lt;$A$15,0,1)</f>
        <v>1</v>
      </c>
    </row>
    <row r="2008" spans="4:13" x14ac:dyDescent="0.2">
      <c r="D2008">
        <f t="shared" si="117"/>
        <v>1985</v>
      </c>
      <c r="E2008" s="1">
        <f t="shared" si="119"/>
        <v>137.3393632098711</v>
      </c>
      <c r="F2008" s="1">
        <f t="shared" si="118"/>
        <v>-128.98670494412377</v>
      </c>
      <c r="G2008" s="1">
        <f t="shared" ref="G2008:G2023" si="120">EXP(F2008)</f>
        <v>9.5892756720372817E-57</v>
      </c>
      <c r="H2008" s="1">
        <f>G2008/$G$21</f>
        <v>6.7243315823636367E-58</v>
      </c>
      <c r="I2008">
        <f>IF($E$11&lt;=D2008, IF(D2008&lt;=$A$15,D2008-$E$11,$F$11),0)</f>
        <v>300</v>
      </c>
      <c r="J2008">
        <f>IF(D2008&lt;=$A$15,0,D2008-$A$15)</f>
        <v>1676</v>
      </c>
      <c r="K2008" s="5">
        <f>IF(D2008&lt;$E$11,H2008,0)</f>
        <v>0</v>
      </c>
      <c r="L2008">
        <f>IF(D2008&lt;$A$15,$C$11,$C$11*(1-$G$11))</f>
        <v>200</v>
      </c>
      <c r="M2008">
        <f>IF(D2008&lt;$A$15,0,1)</f>
        <v>1</v>
      </c>
    </row>
    <row r="2009" spans="4:13" x14ac:dyDescent="0.2">
      <c r="D2009">
        <f t="shared" ref="D2009:D2029" si="121">1+D2008</f>
        <v>1986</v>
      </c>
      <c r="E2009" s="1">
        <f t="shared" si="119"/>
        <v>137.26240216873498</v>
      </c>
      <c r="F2009" s="1">
        <f t="shared" ref="F2009:F2023" si="122">E2009-$E$21</f>
        <v>-129.06366598525989</v>
      </c>
      <c r="G2009" s="1">
        <f t="shared" si="120"/>
        <v>8.8789589555901877E-57</v>
      </c>
      <c r="H2009" s="1">
        <f>G2009/$G$21</f>
        <v>6.2262329466330753E-58</v>
      </c>
      <c r="I2009">
        <f>IF($E$11&lt;=D2009, IF(D2009&lt;=$A$15,D2009-$E$11,$F$11),0)</f>
        <v>300</v>
      </c>
      <c r="J2009">
        <f>IF(D2009&lt;=$A$15,0,D2009-$A$15)</f>
        <v>1677</v>
      </c>
      <c r="K2009" s="5">
        <f>IF(D2009&lt;$E$11,H2009,0)</f>
        <v>0</v>
      </c>
      <c r="L2009">
        <f>IF(D2009&lt;$A$15,$C$11,$C$11*(1-$G$11))</f>
        <v>200</v>
      </c>
      <c r="M2009">
        <f>IF(D2009&lt;$A$15,0,1)</f>
        <v>1</v>
      </c>
    </row>
    <row r="2010" spans="4:13" x14ac:dyDescent="0.2">
      <c r="D2010">
        <f t="shared" si="121"/>
        <v>1987</v>
      </c>
      <c r="E2010" s="1">
        <f t="shared" si="119"/>
        <v>137.18544112759886</v>
      </c>
      <c r="F2010" s="1">
        <f t="shared" si="122"/>
        <v>-129.140627026396</v>
      </c>
      <c r="G2010" s="1">
        <f t="shared" si="120"/>
        <v>8.2212582922132401E-57</v>
      </c>
      <c r="H2010" s="1">
        <f>G2010/$G$21</f>
        <v>5.7650305061418091E-58</v>
      </c>
      <c r="I2010">
        <f>IF($E$11&lt;=D2010, IF(D2010&lt;=$A$15,D2010-$E$11,$F$11),0)</f>
        <v>300</v>
      </c>
      <c r="J2010">
        <f>IF(D2010&lt;=$A$15,0,D2010-$A$15)</f>
        <v>1678</v>
      </c>
      <c r="K2010" s="5">
        <f>IF(D2010&lt;$E$11,H2010,0)</f>
        <v>0</v>
      </c>
      <c r="L2010">
        <f>IF(D2010&lt;$A$15,$C$11,$C$11*(1-$G$11))</f>
        <v>200</v>
      </c>
      <c r="M2010">
        <f>IF(D2010&lt;$A$15,0,1)</f>
        <v>1</v>
      </c>
    </row>
    <row r="2011" spans="4:13" x14ac:dyDescent="0.2">
      <c r="D2011">
        <f t="shared" si="121"/>
        <v>1988</v>
      </c>
      <c r="E2011" s="1">
        <f t="shared" si="119"/>
        <v>137.10848008646275</v>
      </c>
      <c r="F2011" s="1">
        <f t="shared" si="122"/>
        <v>-129.21758806753212</v>
      </c>
      <c r="G2011" s="1">
        <f t="shared" si="120"/>
        <v>7.6122761964938373E-57</v>
      </c>
      <c r="H2011" s="1">
        <f>G2011/$G$21</f>
        <v>5.3379912093906314E-58</v>
      </c>
      <c r="I2011">
        <f>IF($E$11&lt;=D2011, IF(D2011&lt;=$A$15,D2011-$E$11,$F$11),0)</f>
        <v>300</v>
      </c>
      <c r="J2011">
        <f>IF(D2011&lt;=$A$15,0,D2011-$A$15)</f>
        <v>1679</v>
      </c>
      <c r="K2011" s="5">
        <f>IF(D2011&lt;$E$11,H2011,0)</f>
        <v>0</v>
      </c>
      <c r="L2011">
        <f>IF(D2011&lt;$A$15,$C$11,$C$11*(1-$G$11))</f>
        <v>200</v>
      </c>
      <c r="M2011">
        <f>IF(D2011&lt;$A$15,0,1)</f>
        <v>1</v>
      </c>
    </row>
    <row r="2012" spans="4:13" x14ac:dyDescent="0.2">
      <c r="D2012">
        <f t="shared" si="121"/>
        <v>1989</v>
      </c>
      <c r="E2012" s="1">
        <f t="shared" si="119"/>
        <v>137.03151904532663</v>
      </c>
      <c r="F2012" s="1">
        <f t="shared" si="122"/>
        <v>-129.29454910866824</v>
      </c>
      <c r="G2012" s="1">
        <f t="shared" si="120"/>
        <v>7.0484038856425317E-57</v>
      </c>
      <c r="H2012" s="1">
        <f>G2012/$G$21</f>
        <v>4.9425844531395367E-58</v>
      </c>
      <c r="I2012">
        <f>IF($E$11&lt;=D2012, IF(D2012&lt;=$A$15,D2012-$E$11,$F$11),0)</f>
        <v>300</v>
      </c>
      <c r="J2012">
        <f>IF(D2012&lt;=$A$15,0,D2012-$A$15)</f>
        <v>1680</v>
      </c>
      <c r="K2012" s="5">
        <f>IF(D2012&lt;$E$11,H2012,0)</f>
        <v>0</v>
      </c>
      <c r="L2012">
        <f>IF(D2012&lt;$A$15,$C$11,$C$11*(1-$G$11))</f>
        <v>200</v>
      </c>
      <c r="M2012">
        <f>IF(D2012&lt;$A$15,0,1)</f>
        <v>1</v>
      </c>
    </row>
    <row r="2013" spans="4:13" x14ac:dyDescent="0.2">
      <c r="D2013">
        <f t="shared" si="121"/>
        <v>1990</v>
      </c>
      <c r="E2013" s="1">
        <f t="shared" si="119"/>
        <v>136.95455800419052</v>
      </c>
      <c r="F2013" s="1">
        <f t="shared" si="122"/>
        <v>-129.37151014980435</v>
      </c>
      <c r="G2013" s="1">
        <f t="shared" si="120"/>
        <v>6.5262998941135374E-57</v>
      </c>
      <c r="H2013" s="1">
        <f>G2013/$G$21</f>
        <v>4.5764670862403691E-58</v>
      </c>
      <c r="I2013">
        <f>IF($E$11&lt;=D2013, IF(D2013&lt;=$A$15,D2013-$E$11,$F$11),0)</f>
        <v>300</v>
      </c>
      <c r="J2013">
        <f>IF(D2013&lt;=$A$15,0,D2013-$A$15)</f>
        <v>1681</v>
      </c>
      <c r="K2013" s="5">
        <f>IF(D2013&lt;$E$11,H2013,0)</f>
        <v>0</v>
      </c>
      <c r="L2013">
        <f>IF(D2013&lt;$A$15,$C$11,$C$11*(1-$G$11))</f>
        <v>200</v>
      </c>
      <c r="M2013">
        <f>IF(D2013&lt;$A$15,0,1)</f>
        <v>1</v>
      </c>
    </row>
    <row r="2014" spans="4:13" x14ac:dyDescent="0.2">
      <c r="D2014">
        <f t="shared" si="121"/>
        <v>1991</v>
      </c>
      <c r="E2014" s="1">
        <f t="shared" si="119"/>
        <v>136.8775969630544</v>
      </c>
      <c r="F2014" s="1">
        <f t="shared" si="122"/>
        <v>-129.44847119094047</v>
      </c>
      <c r="G2014" s="1">
        <f t="shared" si="120"/>
        <v>6.0428702723274257E-57</v>
      </c>
      <c r="H2014" s="1">
        <f>G2014/$G$21</f>
        <v>4.2374695242966917E-58</v>
      </c>
      <c r="I2014">
        <f>IF($E$11&lt;=D2014, IF(D2014&lt;=$A$15,D2014-$E$11,$F$11),0)</f>
        <v>300</v>
      </c>
      <c r="J2014">
        <f>IF(D2014&lt;=$A$15,0,D2014-$A$15)</f>
        <v>1682</v>
      </c>
      <c r="K2014" s="5">
        <f>IF(D2014&lt;$E$11,H2014,0)</f>
        <v>0</v>
      </c>
      <c r="L2014">
        <f>IF(D2014&lt;$A$15,$C$11,$C$11*(1-$G$11))</f>
        <v>200</v>
      </c>
      <c r="M2014">
        <f>IF(D2014&lt;$A$15,0,1)</f>
        <v>1</v>
      </c>
    </row>
    <row r="2015" spans="4:13" x14ac:dyDescent="0.2">
      <c r="D2015">
        <f t="shared" si="121"/>
        <v>1992</v>
      </c>
      <c r="E2015" s="1">
        <f t="shared" si="119"/>
        <v>136.80063592191829</v>
      </c>
      <c r="F2015" s="1">
        <f t="shared" si="122"/>
        <v>-129.52543223207658</v>
      </c>
      <c r="G2015" s="1">
        <f t="shared" si="120"/>
        <v>5.5952502521550948E-57</v>
      </c>
      <c r="H2015" s="1">
        <f>G2015/$G$21</f>
        <v>3.9235828928673567E-58</v>
      </c>
      <c r="I2015">
        <f>IF($E$11&lt;=D2015, IF(D2015&lt;=$A$15,D2015-$E$11,$F$11),0)</f>
        <v>300</v>
      </c>
      <c r="J2015">
        <f>IF(D2015&lt;=$A$15,0,D2015-$A$15)</f>
        <v>1683</v>
      </c>
      <c r="K2015" s="5">
        <f>IF(D2015&lt;$E$11,H2015,0)</f>
        <v>0</v>
      </c>
      <c r="L2015">
        <f>IF(D2015&lt;$A$15,$C$11,$C$11*(1-$G$11))</f>
        <v>200</v>
      </c>
      <c r="M2015">
        <f>IF(D2015&lt;$A$15,0,1)</f>
        <v>1</v>
      </c>
    </row>
    <row r="2016" spans="4:13" x14ac:dyDescent="0.2">
      <c r="D2016">
        <f t="shared" si="121"/>
        <v>1993</v>
      </c>
      <c r="E2016" s="1">
        <f t="shared" si="119"/>
        <v>136.72367488078217</v>
      </c>
      <c r="F2016" s="1">
        <f t="shared" si="122"/>
        <v>-129.6023932732127</v>
      </c>
      <c r="G2016" s="1">
        <f t="shared" si="120"/>
        <v>5.1807872705140417E-57</v>
      </c>
      <c r="H2016" s="1">
        <f>G2016/$G$21</f>
        <v>3.6329471230253759E-58</v>
      </c>
      <c r="I2016">
        <f>IF($E$11&lt;=D2016, IF(D2016&lt;=$A$15,D2016-$E$11,$F$11),0)</f>
        <v>300</v>
      </c>
      <c r="J2016">
        <f>IF(D2016&lt;=$A$15,0,D2016-$A$15)</f>
        <v>1684</v>
      </c>
      <c r="K2016" s="5">
        <f>IF(D2016&lt;$E$11,H2016,0)</f>
        <v>0</v>
      </c>
      <c r="L2016">
        <f>IF(D2016&lt;$A$15,$C$11,$C$11*(1-$G$11))</f>
        <v>200</v>
      </c>
      <c r="M2016">
        <f>IF(D2016&lt;$A$15,0,1)</f>
        <v>1</v>
      </c>
    </row>
    <row r="2017" spans="4:13" x14ac:dyDescent="0.2">
      <c r="D2017">
        <f t="shared" si="121"/>
        <v>1994</v>
      </c>
      <c r="E2017" s="1">
        <f t="shared" si="119"/>
        <v>136.64671383964605</v>
      </c>
      <c r="F2017" s="1">
        <f t="shared" si="122"/>
        <v>-129.67935431434881</v>
      </c>
      <c r="G2017" s="1">
        <f t="shared" si="120"/>
        <v>4.7970252504760258E-57</v>
      </c>
      <c r="H2017" s="1">
        <f>G2017/$G$21</f>
        <v>3.3638399287272429E-58</v>
      </c>
      <c r="I2017">
        <f>IF($E$11&lt;=D2017, IF(D2017&lt;=$A$15,D2017-$E$11,$F$11),0)</f>
        <v>300</v>
      </c>
      <c r="J2017">
        <f>IF(D2017&lt;=$A$15,0,D2017-$A$15)</f>
        <v>1685</v>
      </c>
      <c r="K2017" s="5">
        <f>IF(D2017&lt;$E$11,H2017,0)</f>
        <v>0</v>
      </c>
      <c r="L2017">
        <f>IF(D2017&lt;$A$15,$C$11,$C$11*(1-$G$11))</f>
        <v>200</v>
      </c>
      <c r="M2017">
        <f>IF(D2017&lt;$A$15,0,1)</f>
        <v>1</v>
      </c>
    </row>
    <row r="2018" spans="4:13" x14ac:dyDescent="0.2">
      <c r="D2018">
        <f t="shared" si="121"/>
        <v>1995</v>
      </c>
      <c r="E2018" s="1">
        <f t="shared" si="119"/>
        <v>136.56975279850994</v>
      </c>
      <c r="F2018" s="1">
        <f t="shared" si="122"/>
        <v>-129.75631535548493</v>
      </c>
      <c r="G2018" s="1">
        <f t="shared" si="120"/>
        <v>4.4416900467371171E-57</v>
      </c>
      <c r="H2018" s="1">
        <f>G2018/$G$21</f>
        <v>3.1146666006734124E-58</v>
      </c>
      <c r="I2018">
        <f>IF($E$11&lt;=D2018, IF(D2018&lt;=$A$15,D2018-$E$11,$F$11),0)</f>
        <v>300</v>
      </c>
      <c r="J2018">
        <f>IF(D2018&lt;=$A$15,0,D2018-$A$15)</f>
        <v>1686</v>
      </c>
      <c r="K2018" s="5">
        <f>IF(D2018&lt;$E$11,H2018,0)</f>
        <v>0</v>
      </c>
      <c r="L2018">
        <f>IF(D2018&lt;$A$15,$C$11,$C$11*(1-$G$11))</f>
        <v>200</v>
      </c>
      <c r="M2018">
        <f>IF(D2018&lt;$A$15,0,1)</f>
        <v>1</v>
      </c>
    </row>
    <row r="2019" spans="4:13" x14ac:dyDescent="0.2">
      <c r="D2019">
        <f t="shared" si="121"/>
        <v>1996</v>
      </c>
      <c r="E2019" s="1">
        <f t="shared" si="119"/>
        <v>136.49279175737382</v>
      </c>
      <c r="F2019" s="1">
        <f t="shared" si="122"/>
        <v>-129.83327639662105</v>
      </c>
      <c r="G2019" s="1">
        <f t="shared" si="120"/>
        <v>4.1126759692010861E-57</v>
      </c>
      <c r="H2019" s="1">
        <f>G2019/$G$21</f>
        <v>2.883950556179122E-58</v>
      </c>
      <c r="I2019">
        <f>IF($E$11&lt;=D2019, IF(D2019&lt;=$A$15,D2019-$E$11,$F$11),0)</f>
        <v>300</v>
      </c>
      <c r="J2019">
        <f>IF(D2019&lt;=$A$15,0,D2019-$A$15)</f>
        <v>1687</v>
      </c>
      <c r="K2019" s="5">
        <f>IF(D2019&lt;$E$11,H2019,0)</f>
        <v>0</v>
      </c>
      <c r="L2019">
        <f>IF(D2019&lt;$A$15,$C$11,$C$11*(1-$G$11))</f>
        <v>200</v>
      </c>
      <c r="M2019">
        <f>IF(D2019&lt;$A$15,0,1)</f>
        <v>1</v>
      </c>
    </row>
    <row r="2020" spans="4:13" x14ac:dyDescent="0.2">
      <c r="D2020">
        <f t="shared" si="121"/>
        <v>1997</v>
      </c>
      <c r="E2020" s="1">
        <f t="shared" si="119"/>
        <v>136.41583071623771</v>
      </c>
      <c r="F2020" s="1">
        <f t="shared" si="122"/>
        <v>-129.91023743775716</v>
      </c>
      <c r="G2020" s="1">
        <f t="shared" si="120"/>
        <v>3.8080333048158686E-57</v>
      </c>
      <c r="H2020" s="1">
        <f>G2020/$G$21</f>
        <v>2.6703245890547763E-58</v>
      </c>
      <c r="I2020">
        <f>IF($E$11&lt;=D2020, IF(D2020&lt;=$A$15,D2020-$E$11,$F$11),0)</f>
        <v>300</v>
      </c>
      <c r="J2020">
        <f>IF(D2020&lt;=$A$15,0,D2020-$A$15)</f>
        <v>1688</v>
      </c>
      <c r="K2020" s="5">
        <f>IF(D2020&lt;$E$11,H2020,0)</f>
        <v>0</v>
      </c>
      <c r="L2020">
        <f>IF(D2020&lt;$A$15,$C$11,$C$11*(1-$G$11))</f>
        <v>200</v>
      </c>
      <c r="M2020">
        <f>IF(D2020&lt;$A$15,0,1)</f>
        <v>1</v>
      </c>
    </row>
    <row r="2021" spans="4:13" x14ac:dyDescent="0.2">
      <c r="D2021">
        <f t="shared" si="121"/>
        <v>1998</v>
      </c>
      <c r="E2021" s="1">
        <f t="shared" si="119"/>
        <v>136.33886967510159</v>
      </c>
      <c r="F2021" s="1">
        <f t="shared" si="122"/>
        <v>-129.98719847889328</v>
      </c>
      <c r="G2021" s="1">
        <f t="shared" si="120"/>
        <v>3.5259567637184417E-57</v>
      </c>
      <c r="H2021" s="1">
        <f>G2021/$G$21</f>
        <v>2.4725227676433429E-58</v>
      </c>
      <c r="I2021">
        <f>IF($E$11&lt;=D2021, IF(D2021&lt;=$A$15,D2021-$E$11,$F$11),0)</f>
        <v>300</v>
      </c>
      <c r="J2021">
        <f>IF(D2021&lt;=$A$15,0,D2021-$A$15)</f>
        <v>1689</v>
      </c>
      <c r="K2021" s="5">
        <f>IF(D2021&lt;$E$11,H2021,0)</f>
        <v>0</v>
      </c>
      <c r="L2021">
        <f>IF(D2021&lt;$A$15,$C$11,$C$11*(1-$G$11))</f>
        <v>200</v>
      </c>
      <c r="M2021">
        <f>IF(D2021&lt;$A$15,0,1)</f>
        <v>1</v>
      </c>
    </row>
    <row r="2022" spans="4:13" x14ac:dyDescent="0.2">
      <c r="D2022">
        <f t="shared" si="121"/>
        <v>1999</v>
      </c>
      <c r="E2022" s="1">
        <f t="shared" si="119"/>
        <v>136.26190863396548</v>
      </c>
      <c r="F2022" s="1">
        <f t="shared" si="122"/>
        <v>-130.06415952002939</v>
      </c>
      <c r="G2022" s="1">
        <f t="shared" si="120"/>
        <v>3.2647747812208202E-57</v>
      </c>
      <c r="H2022" s="1">
        <f>G2022/$G$21</f>
        <v>2.2893729330031238E-58</v>
      </c>
      <c r="I2022">
        <f>IF($E$11&lt;=D2022, IF(D2022&lt;=$A$15,D2022-$E$11,$F$11),0)</f>
        <v>300</v>
      </c>
      <c r="J2022">
        <f>IF(D2022&lt;=$A$15,0,D2022-$A$15)</f>
        <v>1690</v>
      </c>
      <c r="K2022" s="5">
        <f>IF(D2022&lt;$E$11,H2022,0)</f>
        <v>0</v>
      </c>
      <c r="L2022">
        <f>IF(D2022&lt;$A$15,$C$11,$C$11*(1-$G$11))</f>
        <v>200</v>
      </c>
      <c r="M2022">
        <f>IF(D2022&lt;$A$15,0,1)</f>
        <v>1</v>
      </c>
    </row>
    <row r="2023" spans="4:13" x14ac:dyDescent="0.2">
      <c r="D2023">
        <f t="shared" si="121"/>
        <v>2000</v>
      </c>
      <c r="E2023" s="1">
        <f t="shared" si="119"/>
        <v>136.18494759282936</v>
      </c>
      <c r="F2023" s="1">
        <f t="shared" si="122"/>
        <v>-130.14112056116551</v>
      </c>
      <c r="G2023" s="1">
        <f t="shared" si="120"/>
        <v>3.0229396122415387E-57</v>
      </c>
      <c r="H2023" s="1">
        <f>G2023/$G$21</f>
        <v>2.1197897527806972E-58</v>
      </c>
      <c r="I2023">
        <f>IF($E$11&lt;=D2023, IF(D2023&lt;=$A$15,D2023-$E$11,$F$11),0)</f>
        <v>300</v>
      </c>
      <c r="J2023">
        <f>IF(D2023&lt;=$A$15,0,D2023-$A$15)</f>
        <v>1691</v>
      </c>
      <c r="K2023" s="5">
        <f>IF(D2023&lt;$E$11,H2023,0)</f>
        <v>0</v>
      </c>
      <c r="L2023">
        <f>IF(D2023&lt;$A$15,$C$11,$C$11*(1-$G$11))</f>
        <v>200</v>
      </c>
      <c r="M2023">
        <f>IF(D2023&lt;$A$15,0,1)</f>
        <v>1</v>
      </c>
    </row>
    <row r="2024" spans="4:13" x14ac:dyDescent="0.2">
      <c r="D2024"/>
    </row>
    <row r="2025" spans="4:13" x14ac:dyDescent="0.2">
      <c r="D2025"/>
    </row>
    <row r="2026" spans="4:13" x14ac:dyDescent="0.2">
      <c r="D2026"/>
    </row>
    <row r="2027" spans="4:13" x14ac:dyDescent="0.2">
      <c r="D2027"/>
    </row>
    <row r="2028" spans="4:13" x14ac:dyDescent="0.2">
      <c r="D2028"/>
    </row>
    <row r="2029" spans="4:13" x14ac:dyDescent="0.2">
      <c r="D2029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W1512"/>
  <sheetViews>
    <sheetView topLeftCell="B2" workbookViewId="0">
      <pane xSplit="3" ySplit="10" topLeftCell="E12" activePane="bottomRight" state="frozen"/>
      <selection activeCell="B2" sqref="B2"/>
      <selection pane="topRight" activeCell="E2" sqref="E2"/>
      <selection pane="bottomLeft" activeCell="B10" sqref="B10"/>
      <selection pane="bottomRight" activeCell="J15" sqref="F15:J15"/>
    </sheetView>
  </sheetViews>
  <sheetFormatPr baseColWidth="10" defaultRowHeight="15" outlineLevelRow="1" outlineLevelCol="1" x14ac:dyDescent="0.2"/>
  <cols>
    <col min="1" max="1" width="10.83203125" style="14" hidden="1" customWidth="1" outlineLevel="1"/>
    <col min="2" max="2" width="10.83203125" collapsed="1"/>
    <col min="6" max="6" width="13" bestFit="1" customWidth="1"/>
    <col min="8" max="8" width="12.6640625" customWidth="1"/>
    <col min="11" max="12" width="1" customWidth="1"/>
    <col min="21" max="21" width="15.33203125" customWidth="1"/>
    <col min="22" max="22" width="1" customWidth="1"/>
    <col min="23" max="23" width="25" customWidth="1"/>
  </cols>
  <sheetData>
    <row r="1" spans="1:23" s="14" customFormat="1" hidden="1" outlineLevel="1" x14ac:dyDescent="0.2">
      <c r="E1" s="14" t="s">
        <v>0</v>
      </c>
    </row>
    <row r="2" spans="1:23" collapsed="1" x14ac:dyDescent="0.2"/>
    <row r="3" spans="1:23" ht="21" x14ac:dyDescent="0.25">
      <c r="E3" s="16" t="s">
        <v>28</v>
      </c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</row>
    <row r="4" spans="1:23" ht="6" customHeight="1" thickBot="1" x14ac:dyDescent="0.25"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</row>
    <row r="5" spans="1:23" ht="6" customHeight="1" thickTop="1" x14ac:dyDescent="0.2"/>
    <row r="6" spans="1:23" ht="17" customHeight="1" x14ac:dyDescent="0.25">
      <c r="F6" s="19" t="s">
        <v>29</v>
      </c>
      <c r="G6" s="17"/>
      <c r="H6" s="17"/>
      <c r="I6" s="17"/>
      <c r="J6" s="17"/>
      <c r="M6" s="20" t="s">
        <v>30</v>
      </c>
      <c r="N6" s="18"/>
      <c r="O6" s="18"/>
      <c r="P6" s="18"/>
      <c r="Q6" s="18"/>
      <c r="R6" s="18"/>
      <c r="S6" s="18"/>
      <c r="T6" s="18"/>
      <c r="U6" s="18"/>
      <c r="V6" s="18"/>
    </row>
    <row r="7" spans="1:23" ht="6" customHeight="1" x14ac:dyDescent="0.2"/>
    <row r="8" spans="1:23" ht="60" x14ac:dyDescent="0.2">
      <c r="B8" s="6" t="s">
        <v>27</v>
      </c>
      <c r="C8">
        <v>7</v>
      </c>
      <c r="F8" s="7" t="s">
        <v>1</v>
      </c>
      <c r="G8" s="7" t="s">
        <v>3</v>
      </c>
      <c r="H8" s="7" t="s">
        <v>4</v>
      </c>
      <c r="I8" s="7" t="s">
        <v>5</v>
      </c>
      <c r="J8" s="7" t="s">
        <v>6</v>
      </c>
      <c r="M8" s="7" t="s">
        <v>9</v>
      </c>
      <c r="N8" s="7" t="s">
        <v>10</v>
      </c>
      <c r="O8" s="7" t="s">
        <v>11</v>
      </c>
      <c r="P8" s="7" t="s">
        <v>12</v>
      </c>
      <c r="Q8" s="7" t="s">
        <v>13</v>
      </c>
      <c r="R8" s="7" t="s">
        <v>14</v>
      </c>
      <c r="S8" s="7" t="s">
        <v>15</v>
      </c>
      <c r="T8" s="7" t="s">
        <v>16</v>
      </c>
      <c r="U8" s="7" t="s">
        <v>23</v>
      </c>
      <c r="V8" s="7"/>
      <c r="W8" s="7" t="s">
        <v>24</v>
      </c>
    </row>
    <row r="9" spans="1:23" ht="30" x14ac:dyDescent="0.2">
      <c r="F9" s="6" t="s">
        <v>2</v>
      </c>
      <c r="G9" s="6" t="s">
        <v>7</v>
      </c>
      <c r="H9" s="6" t="s">
        <v>8</v>
      </c>
      <c r="I9" s="6" t="s">
        <v>19</v>
      </c>
      <c r="J9" s="6" t="s">
        <v>20</v>
      </c>
      <c r="M9" s="6" t="s">
        <v>18</v>
      </c>
      <c r="N9" s="6" t="s">
        <v>18</v>
      </c>
      <c r="O9" s="6" t="s">
        <v>19</v>
      </c>
      <c r="P9" s="6" t="s">
        <v>19</v>
      </c>
      <c r="Q9" s="6" t="s">
        <v>19</v>
      </c>
      <c r="R9" s="6" t="s">
        <v>20</v>
      </c>
      <c r="S9" s="6" t="s">
        <v>20</v>
      </c>
      <c r="T9" s="6" t="s">
        <v>21</v>
      </c>
      <c r="W9" s="6" t="s">
        <v>26</v>
      </c>
    </row>
    <row r="11" spans="1:23" ht="6" customHeight="1" x14ac:dyDescent="0.2"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21"/>
    </row>
    <row r="12" spans="1:23" ht="6" customHeight="1" x14ac:dyDescent="0.2"/>
    <row r="13" spans="1:23" x14ac:dyDescent="0.2">
      <c r="A13" s="14">
        <v>1</v>
      </c>
      <c r="E13" s="12" t="str">
        <f>IF($C$8&gt;=A13,$E$1&amp;" "&amp;A13,"")</f>
        <v>Precinct 1</v>
      </c>
      <c r="F13">
        <v>500</v>
      </c>
      <c r="G13">
        <v>2.5</v>
      </c>
      <c r="H13">
        <v>50</v>
      </c>
      <c r="I13">
        <v>300</v>
      </c>
      <c r="J13" s="8">
        <v>0.4</v>
      </c>
      <c r="M13" s="1">
        <v>3.7514396856968655E-9</v>
      </c>
      <c r="N13" s="1">
        <v>2.5000000037514418</v>
      </c>
      <c r="O13" s="1">
        <v>20.833333364595365</v>
      </c>
      <c r="P13" s="9">
        <v>3.1261997380807234E-8</v>
      </c>
      <c r="Q13" s="9">
        <v>0</v>
      </c>
      <c r="R13" s="8">
        <v>0.9999999562332047</v>
      </c>
      <c r="S13" s="8">
        <v>0</v>
      </c>
      <c r="T13" s="1">
        <v>500.00000000000034</v>
      </c>
      <c r="U13" t="s">
        <v>25</v>
      </c>
    </row>
    <row r="14" spans="1:23" x14ac:dyDescent="0.2">
      <c r="A14" s="14">
        <f>A13+1</f>
        <v>2</v>
      </c>
      <c r="E14" s="12" t="str">
        <f>IF($C$8&gt;=A14,$E$1&amp;" "&amp;A14,"")</f>
        <v>Precinct 2</v>
      </c>
      <c r="F14">
        <v>90</v>
      </c>
      <c r="G14">
        <v>2.5</v>
      </c>
      <c r="H14">
        <v>4</v>
      </c>
      <c r="I14">
        <v>20</v>
      </c>
      <c r="J14" s="8">
        <v>0.4</v>
      </c>
      <c r="M14" s="1">
        <v>4.5391579191301137</v>
      </c>
      <c r="N14" s="1">
        <v>7.0763927523691716</v>
      </c>
      <c r="O14" s="1">
        <v>10.433297485615574</v>
      </c>
      <c r="P14" s="9">
        <v>6.6924472060452933</v>
      </c>
      <c r="Q14" s="9">
        <v>5.4898322578312203E-2</v>
      </c>
      <c r="R14" s="8">
        <v>0.1695485948821292</v>
      </c>
      <c r="S14" s="8">
        <v>4.2698695338687233E-2</v>
      </c>
      <c r="T14" s="1">
        <v>88.462846967807252</v>
      </c>
      <c r="U14" t="s">
        <v>25</v>
      </c>
    </row>
    <row r="15" spans="1:23" x14ac:dyDescent="0.2">
      <c r="A15" s="14">
        <f t="shared" ref="A15:A78" si="0">A14+1</f>
        <v>3</v>
      </c>
      <c r="E15" s="12" t="str">
        <f>IF($C$8&gt;=A15,$E$1&amp;" "&amp;A15,"")</f>
        <v>Precinct 3</v>
      </c>
      <c r="F15">
        <v>500</v>
      </c>
      <c r="G15">
        <v>2.5</v>
      </c>
      <c r="H15">
        <v>9</v>
      </c>
      <c r="I15">
        <v>300</v>
      </c>
      <c r="J15" s="8">
        <v>0.4</v>
      </c>
      <c r="M15" s="1" t="e">
        <v>#NUM!</v>
      </c>
      <c r="N15" s="1" t="e">
        <v>#NUM!</v>
      </c>
      <c r="O15" s="1" t="e">
        <v>#NUM!</v>
      </c>
      <c r="P15" s="9" t="e">
        <v>#NUM!</v>
      </c>
      <c r="Q15" s="9" t="e">
        <v>#NUM!</v>
      </c>
      <c r="R15" s="8" t="e">
        <v>#NUM!</v>
      </c>
      <c r="S15" s="8" t="e">
        <v>#NUM!</v>
      </c>
      <c r="T15" s="1" t="e">
        <v>#NUM!</v>
      </c>
      <c r="U15" t="s">
        <v>22</v>
      </c>
    </row>
    <row r="16" spans="1:23" x14ac:dyDescent="0.2">
      <c r="A16" s="14">
        <f t="shared" si="0"/>
        <v>4</v>
      </c>
      <c r="E16" s="12" t="str">
        <f>IF($C$8&gt;=A16,$E$1&amp;" "&amp;A16,"")</f>
        <v>Precinct 4</v>
      </c>
      <c r="F16">
        <v>100</v>
      </c>
      <c r="G16">
        <v>2.5</v>
      </c>
      <c r="H16">
        <v>4</v>
      </c>
      <c r="I16">
        <v>20</v>
      </c>
      <c r="J16" s="8">
        <v>0.4</v>
      </c>
      <c r="M16" s="1">
        <v>7.4901752045681613</v>
      </c>
      <c r="N16" s="1">
        <v>10.1578519475813</v>
      </c>
      <c r="O16" s="1">
        <v>15.865634104946563</v>
      </c>
      <c r="P16" s="9">
        <v>11.698967438279904</v>
      </c>
      <c r="Q16" s="9">
        <v>0.26189571045963994</v>
      </c>
      <c r="R16" s="8">
        <v>5.372186104914918E-2</v>
      </c>
      <c r="S16" s="8">
        <v>0.15713742627578378</v>
      </c>
      <c r="T16" s="1">
        <v>93.714502948968573</v>
      </c>
      <c r="U16" t="s">
        <v>25</v>
      </c>
    </row>
    <row r="17" spans="1:21" x14ac:dyDescent="0.2">
      <c r="A17" s="14">
        <f t="shared" si="0"/>
        <v>5</v>
      </c>
      <c r="E17" s="12" t="str">
        <f>IF($C$8&gt;=A17,$E$1&amp;" "&amp;A17,"")</f>
        <v>Precinct 5</v>
      </c>
      <c r="F17">
        <v>100</v>
      </c>
      <c r="G17">
        <v>2.5</v>
      </c>
      <c r="H17">
        <v>4</v>
      </c>
      <c r="I17">
        <v>20</v>
      </c>
      <c r="J17" s="8">
        <v>0.4</v>
      </c>
      <c r="M17" s="1">
        <v>7.4901752045681613</v>
      </c>
      <c r="N17" s="1">
        <v>10.1578519475813</v>
      </c>
      <c r="O17" s="1">
        <v>15.865634104946563</v>
      </c>
      <c r="P17" s="9">
        <v>11.698967438279904</v>
      </c>
      <c r="Q17" s="9">
        <v>0.26189571045963994</v>
      </c>
      <c r="R17" s="8">
        <v>5.372186104914918E-2</v>
      </c>
      <c r="S17" s="8">
        <v>0.15713742627578378</v>
      </c>
      <c r="T17" s="1">
        <v>93.714502948968573</v>
      </c>
      <c r="U17" t="s">
        <v>25</v>
      </c>
    </row>
    <row r="18" spans="1:21" x14ac:dyDescent="0.2">
      <c r="A18" s="14">
        <f t="shared" si="0"/>
        <v>6</v>
      </c>
      <c r="E18" s="12" t="str">
        <f>IF($C$8&gt;=A18,$E$1&amp;" "&amp;A18,"")</f>
        <v>Precinct 6</v>
      </c>
      <c r="F18">
        <v>100</v>
      </c>
      <c r="G18">
        <v>2.5</v>
      </c>
      <c r="H18">
        <v>4</v>
      </c>
      <c r="I18">
        <v>20</v>
      </c>
      <c r="J18" s="8">
        <v>0.4</v>
      </c>
      <c r="M18" s="1">
        <v>7.4901752045681613</v>
      </c>
      <c r="N18" s="1">
        <v>10.1578519475813</v>
      </c>
      <c r="O18" s="1">
        <v>15.865634104946563</v>
      </c>
      <c r="P18" s="9">
        <v>11.698967438279904</v>
      </c>
      <c r="Q18" s="9">
        <v>0.26189571045963994</v>
      </c>
      <c r="R18" s="8">
        <v>5.372186104914918E-2</v>
      </c>
      <c r="S18" s="8">
        <v>0.15713742627578378</v>
      </c>
      <c r="T18" s="1">
        <v>93.714502948968573</v>
      </c>
      <c r="U18" t="s">
        <v>25</v>
      </c>
    </row>
    <row r="19" spans="1:21" x14ac:dyDescent="0.2">
      <c r="A19" s="14">
        <f t="shared" si="0"/>
        <v>7</v>
      </c>
      <c r="E19" s="12" t="str">
        <f>IF($C$8&gt;=A19,$E$1&amp;" "&amp;A19,"")</f>
        <v>Precinct 7</v>
      </c>
      <c r="F19">
        <v>100</v>
      </c>
      <c r="G19">
        <v>2.5</v>
      </c>
      <c r="H19">
        <v>4</v>
      </c>
      <c r="I19">
        <v>20</v>
      </c>
      <c r="J19" s="8">
        <v>0.4</v>
      </c>
      <c r="M19" s="1">
        <v>7.4901752045681613</v>
      </c>
      <c r="N19" s="1">
        <v>10.1578519475813</v>
      </c>
      <c r="O19" s="1">
        <v>15.865634104946563</v>
      </c>
      <c r="P19" s="9">
        <v>11.698967438279904</v>
      </c>
      <c r="Q19" s="9">
        <v>0.26189571045963994</v>
      </c>
      <c r="R19" s="8">
        <v>5.372186104914918E-2</v>
      </c>
      <c r="S19" s="8">
        <v>0.15713742627578378</v>
      </c>
      <c r="T19" s="1">
        <v>93.714502948968573</v>
      </c>
      <c r="U19" t="s">
        <v>25</v>
      </c>
    </row>
    <row r="20" spans="1:21" x14ac:dyDescent="0.2">
      <c r="A20" s="14">
        <f t="shared" si="0"/>
        <v>8</v>
      </c>
      <c r="E20" s="12" t="str">
        <f>IF($C$8&gt;=A20,$E$1&amp;" "&amp;A20,"")</f>
        <v/>
      </c>
      <c r="F20" s="10"/>
      <c r="G20" s="10"/>
      <c r="H20" s="10"/>
      <c r="I20" s="10"/>
      <c r="J20" s="11"/>
      <c r="M20" s="1"/>
      <c r="N20" s="1"/>
      <c r="O20" s="1"/>
      <c r="P20" s="9"/>
      <c r="Q20" s="9"/>
      <c r="R20" s="8"/>
      <c r="S20" s="8"/>
      <c r="T20" s="1"/>
    </row>
    <row r="21" spans="1:21" x14ac:dyDescent="0.2">
      <c r="A21" s="14">
        <f t="shared" si="0"/>
        <v>9</v>
      </c>
      <c r="E21" s="12" t="str">
        <f>IF($C$8&gt;=A21,$E$1&amp;" "&amp;A21,"")</f>
        <v/>
      </c>
      <c r="F21" s="10"/>
      <c r="G21" s="10"/>
      <c r="H21" s="10"/>
      <c r="I21" s="10"/>
      <c r="J21" s="11"/>
      <c r="M21" s="1"/>
      <c r="N21" s="1"/>
      <c r="O21" s="1"/>
      <c r="P21" s="9"/>
      <c r="Q21" s="9"/>
      <c r="R21" s="8"/>
      <c r="S21" s="8"/>
      <c r="T21" s="1"/>
    </row>
    <row r="22" spans="1:21" x14ac:dyDescent="0.2">
      <c r="A22" s="14">
        <f t="shared" si="0"/>
        <v>10</v>
      </c>
      <c r="E22" s="12" t="str">
        <f>IF($C$8&gt;=A22,$E$1&amp;" "&amp;A22,"")</f>
        <v/>
      </c>
      <c r="F22" s="10"/>
      <c r="G22" s="10"/>
      <c r="H22" s="10"/>
      <c r="I22" s="10"/>
      <c r="J22" s="11"/>
      <c r="M22" s="1"/>
      <c r="N22" s="1"/>
      <c r="O22" s="1"/>
      <c r="P22" s="9"/>
      <c r="Q22" s="9"/>
      <c r="R22" s="8"/>
      <c r="S22" s="8"/>
      <c r="T22" s="1"/>
    </row>
    <row r="23" spans="1:21" x14ac:dyDescent="0.2">
      <c r="A23" s="14">
        <f t="shared" si="0"/>
        <v>11</v>
      </c>
      <c r="E23" s="12" t="str">
        <f>IF($C$8&gt;=A23,$E$1&amp;" "&amp;A23,"")</f>
        <v/>
      </c>
      <c r="F23" s="10"/>
      <c r="G23" s="10"/>
      <c r="H23" s="10"/>
      <c r="I23" s="10"/>
      <c r="J23" s="11"/>
      <c r="M23" s="1"/>
      <c r="N23" s="1"/>
      <c r="O23" s="1"/>
      <c r="P23" s="9"/>
      <c r="Q23" s="9"/>
      <c r="R23" s="8"/>
      <c r="S23" s="8"/>
      <c r="T23" s="1"/>
    </row>
    <row r="24" spans="1:21" x14ac:dyDescent="0.2">
      <c r="A24" s="14">
        <f t="shared" si="0"/>
        <v>12</v>
      </c>
      <c r="E24" s="12" t="str">
        <f>IF($C$8&gt;=A24,$E$1&amp;" "&amp;A24,"")</f>
        <v/>
      </c>
      <c r="F24" s="10"/>
      <c r="G24" s="10"/>
      <c r="H24" s="10"/>
      <c r="I24" s="10"/>
      <c r="J24" s="11"/>
      <c r="M24" s="1"/>
      <c r="N24" s="1"/>
      <c r="O24" s="1"/>
      <c r="P24" s="9"/>
      <c r="Q24" s="9"/>
      <c r="R24" s="8"/>
      <c r="S24" s="8"/>
      <c r="T24" s="1"/>
    </row>
    <row r="25" spans="1:21" x14ac:dyDescent="0.2">
      <c r="A25" s="14">
        <f t="shared" si="0"/>
        <v>13</v>
      </c>
      <c r="E25" s="12" t="str">
        <f>IF($C$8&gt;=A25,$E$1&amp;" "&amp;A25,"")</f>
        <v/>
      </c>
      <c r="F25" s="10"/>
      <c r="G25" s="10"/>
      <c r="H25" s="10"/>
      <c r="I25" s="10"/>
      <c r="J25" s="11"/>
      <c r="M25" s="1"/>
      <c r="N25" s="1"/>
      <c r="O25" s="1"/>
      <c r="P25" s="9"/>
      <c r="Q25" s="9"/>
      <c r="R25" s="8"/>
      <c r="S25" s="8"/>
      <c r="T25" s="1"/>
    </row>
    <row r="26" spans="1:21" x14ac:dyDescent="0.2">
      <c r="A26" s="14">
        <f t="shared" si="0"/>
        <v>14</v>
      </c>
      <c r="E26" s="12" t="str">
        <f>IF($C$8&gt;=A26,$E$1&amp;" "&amp;A26,"")</f>
        <v/>
      </c>
      <c r="F26" s="10"/>
      <c r="G26" s="10"/>
      <c r="H26" s="10"/>
      <c r="I26" s="10"/>
      <c r="J26" s="11"/>
      <c r="M26" s="1"/>
      <c r="N26" s="1"/>
      <c r="O26" s="1"/>
      <c r="P26" s="9"/>
      <c r="Q26" s="9"/>
      <c r="R26" s="8"/>
      <c r="S26" s="8"/>
      <c r="T26" s="1"/>
    </row>
    <row r="27" spans="1:21" x14ac:dyDescent="0.2">
      <c r="A27" s="14">
        <f t="shared" si="0"/>
        <v>15</v>
      </c>
      <c r="E27" s="12" t="str">
        <f>IF($C$8&gt;=A27,$E$1&amp;" "&amp;A27,"")</f>
        <v/>
      </c>
      <c r="F27" s="10"/>
      <c r="G27" s="10"/>
      <c r="H27" s="10"/>
      <c r="I27" s="10"/>
      <c r="J27" s="11"/>
      <c r="M27" s="1"/>
      <c r="N27" s="1"/>
      <c r="O27" s="1"/>
      <c r="P27" s="9"/>
      <c r="Q27" s="9"/>
      <c r="R27" s="8"/>
      <c r="S27" s="8"/>
      <c r="T27" s="1"/>
    </row>
    <row r="28" spans="1:21" x14ac:dyDescent="0.2">
      <c r="A28" s="14">
        <f t="shared" si="0"/>
        <v>16</v>
      </c>
      <c r="E28" s="12" t="str">
        <f>IF($C$8&gt;=A28,$E$1&amp;" "&amp;A28,"")</f>
        <v/>
      </c>
      <c r="F28" s="10"/>
      <c r="G28" s="10"/>
      <c r="H28" s="10"/>
      <c r="I28" s="10"/>
      <c r="J28" s="11"/>
      <c r="M28" s="1"/>
      <c r="N28" s="1"/>
      <c r="O28" s="1"/>
      <c r="P28" s="9"/>
      <c r="Q28" s="9"/>
      <c r="R28" s="8"/>
      <c r="S28" s="8"/>
      <c r="T28" s="1"/>
    </row>
    <row r="29" spans="1:21" x14ac:dyDescent="0.2">
      <c r="A29" s="14">
        <f t="shared" si="0"/>
        <v>17</v>
      </c>
      <c r="E29" s="12" t="str">
        <f>IF($C$8&gt;=A29,$E$1&amp;" "&amp;A29,"")</f>
        <v/>
      </c>
      <c r="F29" s="10"/>
      <c r="G29" s="10"/>
      <c r="H29" s="10"/>
      <c r="I29" s="10"/>
      <c r="J29" s="11"/>
      <c r="M29" s="1"/>
      <c r="N29" s="1"/>
      <c r="O29" s="1"/>
      <c r="P29" s="9"/>
      <c r="Q29" s="9"/>
      <c r="R29" s="8"/>
      <c r="S29" s="8"/>
      <c r="T29" s="1"/>
    </row>
    <row r="30" spans="1:21" x14ac:dyDescent="0.2">
      <c r="A30" s="14">
        <f t="shared" si="0"/>
        <v>18</v>
      </c>
      <c r="E30" s="12" t="str">
        <f>IF($C$8&gt;=A30,$E$1&amp;" "&amp;A30,"")</f>
        <v/>
      </c>
      <c r="F30" s="10"/>
      <c r="G30" s="10"/>
      <c r="H30" s="10"/>
      <c r="I30" s="10"/>
      <c r="J30" s="11"/>
      <c r="M30" s="1"/>
      <c r="N30" s="1"/>
      <c r="O30" s="1"/>
      <c r="P30" s="9"/>
      <c r="Q30" s="9"/>
      <c r="R30" s="8"/>
      <c r="S30" s="8"/>
      <c r="T30" s="1"/>
    </row>
    <row r="31" spans="1:21" x14ac:dyDescent="0.2">
      <c r="A31" s="14">
        <f t="shared" si="0"/>
        <v>19</v>
      </c>
      <c r="E31" s="12" t="str">
        <f>IF($C$8&gt;=A31,$E$1&amp;" "&amp;A31,"")</f>
        <v/>
      </c>
      <c r="F31" s="10"/>
      <c r="G31" s="10"/>
      <c r="H31" s="10"/>
      <c r="I31" s="10"/>
      <c r="J31" s="11"/>
      <c r="M31" s="1"/>
      <c r="N31" s="1"/>
      <c r="O31" s="1"/>
      <c r="P31" s="9"/>
      <c r="Q31" s="9"/>
      <c r="R31" s="8"/>
      <c r="S31" s="8"/>
      <c r="T31" s="1"/>
    </row>
    <row r="32" spans="1:21" x14ac:dyDescent="0.2">
      <c r="A32" s="14">
        <f t="shared" si="0"/>
        <v>20</v>
      </c>
      <c r="E32" s="12" t="str">
        <f>IF($C$8&gt;=A32,$E$1&amp;" "&amp;A32,"")</f>
        <v/>
      </c>
      <c r="F32" s="10"/>
      <c r="G32" s="10"/>
      <c r="H32" s="10"/>
      <c r="I32" s="10"/>
      <c r="J32" s="11"/>
      <c r="M32" s="1"/>
      <c r="N32" s="1"/>
      <c r="O32" s="1"/>
      <c r="P32" s="9"/>
      <c r="Q32" s="9"/>
      <c r="R32" s="8"/>
      <c r="S32" s="8"/>
      <c r="T32" s="1"/>
    </row>
    <row r="33" spans="1:20" x14ac:dyDescent="0.2">
      <c r="A33" s="14">
        <f t="shared" si="0"/>
        <v>21</v>
      </c>
      <c r="E33" s="12" t="str">
        <f>IF($C$8&gt;=A33,$E$1&amp;" "&amp;A33,"")</f>
        <v/>
      </c>
      <c r="F33" s="10"/>
      <c r="G33" s="10"/>
      <c r="H33" s="10"/>
      <c r="I33" s="10"/>
      <c r="J33" s="11"/>
      <c r="M33" s="1"/>
      <c r="N33" s="1"/>
      <c r="O33" s="1"/>
      <c r="P33" s="9"/>
      <c r="Q33" s="9"/>
      <c r="R33" s="8"/>
      <c r="S33" s="8"/>
      <c r="T33" s="1"/>
    </row>
    <row r="34" spans="1:20" x14ac:dyDescent="0.2">
      <c r="A34" s="14">
        <f t="shared" si="0"/>
        <v>22</v>
      </c>
      <c r="E34" s="12" t="str">
        <f>IF($C$8&gt;=A34,$E$1&amp;" "&amp;A34,"")</f>
        <v/>
      </c>
      <c r="J34" s="8"/>
      <c r="M34" s="1"/>
      <c r="N34" s="1"/>
      <c r="O34" s="1"/>
      <c r="P34" s="9"/>
      <c r="Q34" s="9"/>
      <c r="R34" s="8"/>
      <c r="S34" s="8"/>
      <c r="T34" s="1"/>
    </row>
    <row r="35" spans="1:20" x14ac:dyDescent="0.2">
      <c r="A35" s="14">
        <f t="shared" si="0"/>
        <v>23</v>
      </c>
      <c r="E35" s="12" t="str">
        <f>IF($C$8&gt;=A35,$E$1&amp;" "&amp;A35,"")</f>
        <v/>
      </c>
      <c r="J35" s="8"/>
      <c r="M35" s="1"/>
      <c r="N35" s="1"/>
      <c r="O35" s="1"/>
      <c r="P35" s="9"/>
      <c r="Q35" s="9"/>
      <c r="R35" s="8"/>
      <c r="S35" s="8"/>
      <c r="T35" s="1"/>
    </row>
    <row r="36" spans="1:20" x14ac:dyDescent="0.2">
      <c r="A36" s="14">
        <f t="shared" si="0"/>
        <v>24</v>
      </c>
      <c r="E36" s="12" t="str">
        <f>IF($C$8&gt;=A36,$E$1&amp;" "&amp;A36,"")</f>
        <v/>
      </c>
      <c r="J36" s="8"/>
      <c r="M36" s="1"/>
      <c r="N36" s="1"/>
      <c r="O36" s="1"/>
      <c r="P36" s="9"/>
      <c r="Q36" s="9"/>
      <c r="R36" s="8"/>
      <c r="S36" s="8"/>
      <c r="T36" s="1"/>
    </row>
    <row r="37" spans="1:20" x14ac:dyDescent="0.2">
      <c r="A37" s="14">
        <f t="shared" si="0"/>
        <v>25</v>
      </c>
      <c r="E37" s="12" t="str">
        <f>IF($C$8&gt;=A37,$E$1&amp;" "&amp;A37,"")</f>
        <v/>
      </c>
      <c r="J37" s="8"/>
      <c r="M37" s="1"/>
      <c r="N37" s="1"/>
      <c r="O37" s="1"/>
      <c r="P37" s="9"/>
      <c r="Q37" s="9"/>
      <c r="R37" s="8"/>
      <c r="S37" s="8"/>
      <c r="T37" s="1"/>
    </row>
    <row r="38" spans="1:20" x14ac:dyDescent="0.2">
      <c r="A38" s="14">
        <f t="shared" si="0"/>
        <v>26</v>
      </c>
      <c r="E38" s="12" t="str">
        <f>IF($C$8&gt;=A38,$E$1&amp;" "&amp;A38,"")</f>
        <v/>
      </c>
      <c r="J38" s="8"/>
      <c r="M38" s="1"/>
      <c r="N38" s="1"/>
      <c r="O38" s="1"/>
      <c r="P38" s="9"/>
      <c r="Q38" s="9"/>
      <c r="R38" s="8"/>
      <c r="S38" s="8"/>
      <c r="T38" s="1"/>
    </row>
    <row r="39" spans="1:20" x14ac:dyDescent="0.2">
      <c r="A39" s="14">
        <f t="shared" si="0"/>
        <v>27</v>
      </c>
      <c r="E39" s="12" t="str">
        <f>IF($C$8&gt;=A39,$E$1&amp;" "&amp;A39,"")</f>
        <v/>
      </c>
      <c r="J39" s="8"/>
      <c r="M39" s="1"/>
      <c r="N39" s="1"/>
      <c r="O39" s="1"/>
      <c r="P39" s="9"/>
      <c r="Q39" s="9"/>
      <c r="R39" s="8"/>
      <c r="S39" s="8"/>
      <c r="T39" s="1"/>
    </row>
    <row r="40" spans="1:20" x14ac:dyDescent="0.2">
      <c r="A40" s="14">
        <f t="shared" si="0"/>
        <v>28</v>
      </c>
      <c r="E40" s="12" t="str">
        <f>IF($C$8&gt;=A40,$E$1&amp;" "&amp;A40,"")</f>
        <v/>
      </c>
      <c r="J40" s="8"/>
      <c r="M40" s="1"/>
      <c r="N40" s="1"/>
      <c r="O40" s="1"/>
      <c r="P40" s="9"/>
      <c r="Q40" s="9"/>
      <c r="R40" s="8"/>
      <c r="S40" s="8"/>
      <c r="T40" s="1"/>
    </row>
    <row r="41" spans="1:20" x14ac:dyDescent="0.2">
      <c r="A41" s="14">
        <f t="shared" si="0"/>
        <v>29</v>
      </c>
      <c r="E41" s="12" t="str">
        <f>IF($C$8&gt;=A41,$E$1&amp;" "&amp;A41,"")</f>
        <v/>
      </c>
      <c r="J41" s="8"/>
      <c r="M41" s="1"/>
      <c r="N41" s="1"/>
      <c r="O41" s="1"/>
      <c r="P41" s="9"/>
      <c r="Q41" s="9"/>
      <c r="R41" s="8"/>
      <c r="S41" s="8"/>
      <c r="T41" s="1"/>
    </row>
    <row r="42" spans="1:20" x14ac:dyDescent="0.2">
      <c r="A42" s="14">
        <f t="shared" si="0"/>
        <v>30</v>
      </c>
      <c r="E42" s="12" t="str">
        <f>IF($C$8&gt;=A42,$E$1&amp;" "&amp;A42,"")</f>
        <v/>
      </c>
      <c r="J42" s="8"/>
      <c r="M42" s="1"/>
      <c r="N42" s="1"/>
      <c r="O42" s="1"/>
      <c r="P42" s="9"/>
      <c r="Q42" s="9"/>
      <c r="R42" s="8"/>
      <c r="S42" s="8"/>
      <c r="T42" s="1"/>
    </row>
    <row r="43" spans="1:20" x14ac:dyDescent="0.2">
      <c r="A43" s="14">
        <f t="shared" si="0"/>
        <v>31</v>
      </c>
      <c r="E43" s="12" t="str">
        <f>IF($C$8&gt;=A43,$E$1&amp;" "&amp;A43,"")</f>
        <v/>
      </c>
      <c r="J43" s="8"/>
      <c r="M43" s="1"/>
      <c r="N43" s="1"/>
      <c r="O43" s="1"/>
      <c r="P43" s="9"/>
      <c r="Q43" s="9"/>
      <c r="R43" s="8"/>
      <c r="S43" s="8"/>
      <c r="T43" s="1"/>
    </row>
    <row r="44" spans="1:20" x14ac:dyDescent="0.2">
      <c r="A44" s="14">
        <f t="shared" si="0"/>
        <v>32</v>
      </c>
      <c r="E44" s="12" t="str">
        <f>IF($C$8&gt;=A44,$E$1&amp;" "&amp;A44,"")</f>
        <v/>
      </c>
      <c r="J44" s="8"/>
      <c r="M44" s="1"/>
      <c r="N44" s="1"/>
      <c r="O44" s="1"/>
      <c r="P44" s="9"/>
      <c r="Q44" s="9"/>
      <c r="R44" s="8"/>
      <c r="S44" s="8"/>
      <c r="T44" s="1"/>
    </row>
    <row r="45" spans="1:20" x14ac:dyDescent="0.2">
      <c r="A45" s="14">
        <f t="shared" si="0"/>
        <v>33</v>
      </c>
      <c r="E45" s="12" t="str">
        <f>IF($C$8&gt;=A45,$E$1&amp;" "&amp;A45,"")</f>
        <v/>
      </c>
      <c r="J45" s="8"/>
      <c r="M45" s="1"/>
      <c r="N45" s="1"/>
      <c r="O45" s="1"/>
      <c r="P45" s="9"/>
      <c r="Q45" s="9"/>
      <c r="R45" s="8"/>
      <c r="S45" s="8"/>
      <c r="T45" s="1"/>
    </row>
    <row r="46" spans="1:20" x14ac:dyDescent="0.2">
      <c r="A46" s="14">
        <f t="shared" si="0"/>
        <v>34</v>
      </c>
      <c r="E46" s="12" t="str">
        <f>IF($C$8&gt;=A46,$E$1&amp;" "&amp;A46,"")</f>
        <v/>
      </c>
      <c r="J46" s="8"/>
      <c r="M46" s="1"/>
      <c r="N46" s="1"/>
      <c r="O46" s="1"/>
      <c r="P46" s="9"/>
      <c r="Q46" s="9"/>
      <c r="R46" s="8"/>
      <c r="S46" s="8"/>
      <c r="T46" s="1"/>
    </row>
    <row r="47" spans="1:20" x14ac:dyDescent="0.2">
      <c r="A47" s="14">
        <f t="shared" si="0"/>
        <v>35</v>
      </c>
      <c r="E47" s="12" t="str">
        <f>IF($C$8&gt;=A47,$E$1&amp;" "&amp;A47,"")</f>
        <v/>
      </c>
      <c r="J47" s="8"/>
      <c r="M47" s="1"/>
      <c r="N47" s="1"/>
      <c r="O47" s="1"/>
      <c r="P47" s="9"/>
      <c r="Q47" s="9"/>
      <c r="R47" s="8"/>
      <c r="S47" s="8"/>
      <c r="T47" s="1"/>
    </row>
    <row r="48" spans="1:20" x14ac:dyDescent="0.2">
      <c r="A48" s="14">
        <f t="shared" si="0"/>
        <v>36</v>
      </c>
      <c r="E48" s="12" t="str">
        <f>IF($C$8&gt;=A48,$E$1&amp;" "&amp;A48,"")</f>
        <v/>
      </c>
      <c r="J48" s="8"/>
      <c r="M48" s="1"/>
      <c r="N48" s="1"/>
      <c r="O48" s="1"/>
      <c r="P48" s="9"/>
      <c r="Q48" s="9"/>
      <c r="R48" s="8"/>
      <c r="S48" s="8"/>
      <c r="T48" s="1"/>
    </row>
    <row r="49" spans="1:20" x14ac:dyDescent="0.2">
      <c r="A49" s="14">
        <f t="shared" si="0"/>
        <v>37</v>
      </c>
      <c r="E49" s="12" t="str">
        <f>IF($C$8&gt;=A49,$E$1&amp;" "&amp;A49,"")</f>
        <v/>
      </c>
      <c r="J49" s="8"/>
      <c r="M49" s="1"/>
      <c r="N49" s="1"/>
      <c r="O49" s="1"/>
      <c r="P49" s="9"/>
      <c r="Q49" s="9"/>
      <c r="R49" s="8"/>
      <c r="S49" s="8"/>
      <c r="T49" s="1"/>
    </row>
    <row r="50" spans="1:20" x14ac:dyDescent="0.2">
      <c r="A50" s="14">
        <f t="shared" si="0"/>
        <v>38</v>
      </c>
      <c r="E50" s="12" t="str">
        <f>IF($C$8&gt;=A50,$E$1&amp;" "&amp;A50,"")</f>
        <v/>
      </c>
      <c r="J50" s="8"/>
      <c r="M50" s="1"/>
      <c r="N50" s="1"/>
      <c r="O50" s="1"/>
      <c r="P50" s="9"/>
      <c r="Q50" s="9"/>
      <c r="R50" s="8"/>
      <c r="S50" s="8"/>
      <c r="T50" s="1"/>
    </row>
    <row r="51" spans="1:20" x14ac:dyDescent="0.2">
      <c r="A51" s="14">
        <f t="shared" si="0"/>
        <v>39</v>
      </c>
      <c r="E51" s="12" t="str">
        <f>IF($C$8&gt;=A51,$E$1&amp;" "&amp;A51,"")</f>
        <v/>
      </c>
      <c r="J51" s="8"/>
      <c r="M51" s="1"/>
      <c r="N51" s="1"/>
      <c r="O51" s="1"/>
      <c r="P51" s="9"/>
      <c r="Q51" s="9"/>
      <c r="R51" s="8"/>
      <c r="S51" s="8"/>
      <c r="T51" s="1"/>
    </row>
    <row r="52" spans="1:20" x14ac:dyDescent="0.2">
      <c r="A52" s="14">
        <f t="shared" si="0"/>
        <v>40</v>
      </c>
      <c r="E52" s="12" t="str">
        <f>IF($C$8&gt;=A52,$E$1&amp;" "&amp;A52,"")</f>
        <v/>
      </c>
      <c r="J52" s="8"/>
      <c r="M52" s="1"/>
      <c r="N52" s="1"/>
      <c r="O52" s="1"/>
      <c r="P52" s="9"/>
      <c r="Q52" s="9"/>
      <c r="R52" s="8"/>
      <c r="S52" s="8"/>
      <c r="T52" s="1"/>
    </row>
    <row r="53" spans="1:20" x14ac:dyDescent="0.2">
      <c r="A53" s="14">
        <f t="shared" si="0"/>
        <v>41</v>
      </c>
      <c r="E53" s="12" t="str">
        <f>IF($C$8&gt;=A53,$E$1&amp;" "&amp;A53,"")</f>
        <v/>
      </c>
      <c r="J53" s="8"/>
      <c r="M53" s="1"/>
      <c r="N53" s="1"/>
      <c r="O53" s="1"/>
      <c r="P53" s="9"/>
      <c r="Q53" s="9"/>
      <c r="R53" s="8"/>
      <c r="S53" s="8"/>
      <c r="T53" s="1"/>
    </row>
    <row r="54" spans="1:20" x14ac:dyDescent="0.2">
      <c r="A54" s="14">
        <f t="shared" si="0"/>
        <v>42</v>
      </c>
      <c r="E54" s="12" t="str">
        <f>IF($C$8&gt;=A54,$E$1&amp;" "&amp;A54,"")</f>
        <v/>
      </c>
      <c r="J54" s="8"/>
      <c r="M54" s="1"/>
      <c r="N54" s="1"/>
      <c r="O54" s="1"/>
      <c r="P54" s="9"/>
      <c r="Q54" s="9"/>
      <c r="R54" s="8"/>
      <c r="S54" s="8"/>
      <c r="T54" s="1"/>
    </row>
    <row r="55" spans="1:20" x14ac:dyDescent="0.2">
      <c r="A55" s="14">
        <f t="shared" si="0"/>
        <v>43</v>
      </c>
      <c r="E55" s="12" t="str">
        <f>IF($C$8&gt;=A55,$E$1&amp;" "&amp;A55,"")</f>
        <v/>
      </c>
      <c r="J55" s="8"/>
      <c r="M55" s="1"/>
      <c r="N55" s="1"/>
      <c r="O55" s="1"/>
      <c r="P55" s="9"/>
      <c r="Q55" s="9"/>
      <c r="R55" s="8"/>
      <c r="S55" s="8"/>
      <c r="T55" s="1"/>
    </row>
    <row r="56" spans="1:20" x14ac:dyDescent="0.2">
      <c r="A56" s="14">
        <f t="shared" si="0"/>
        <v>44</v>
      </c>
      <c r="E56" s="12" t="str">
        <f>IF($C$8&gt;=A56,$E$1&amp;" "&amp;A56,"")</f>
        <v/>
      </c>
      <c r="J56" s="8"/>
      <c r="M56" s="1"/>
      <c r="N56" s="1"/>
      <c r="O56" s="1"/>
      <c r="P56" s="9"/>
      <c r="Q56" s="9"/>
      <c r="R56" s="8"/>
      <c r="S56" s="8"/>
      <c r="T56" s="1"/>
    </row>
    <row r="57" spans="1:20" x14ac:dyDescent="0.2">
      <c r="A57" s="14">
        <f t="shared" si="0"/>
        <v>45</v>
      </c>
      <c r="E57" s="12" t="str">
        <f>IF($C$8&gt;=A57,$E$1&amp;" "&amp;A57,"")</f>
        <v/>
      </c>
      <c r="J57" s="8"/>
      <c r="M57" s="1"/>
      <c r="N57" s="1"/>
      <c r="O57" s="1"/>
      <c r="P57" s="9"/>
      <c r="Q57" s="9"/>
      <c r="R57" s="8"/>
      <c r="S57" s="8"/>
      <c r="T57" s="1"/>
    </row>
    <row r="58" spans="1:20" x14ac:dyDescent="0.2">
      <c r="A58" s="14">
        <f t="shared" si="0"/>
        <v>46</v>
      </c>
      <c r="E58" s="12" t="str">
        <f>IF($C$8&gt;=A58,$E$1&amp;" "&amp;A58,"")</f>
        <v/>
      </c>
      <c r="J58" s="8"/>
      <c r="M58" s="1"/>
      <c r="N58" s="1"/>
      <c r="O58" s="1"/>
      <c r="P58" s="9"/>
      <c r="Q58" s="9"/>
      <c r="R58" s="8"/>
      <c r="S58" s="8"/>
      <c r="T58" s="1"/>
    </row>
    <row r="59" spans="1:20" x14ac:dyDescent="0.2">
      <c r="A59" s="14">
        <f t="shared" si="0"/>
        <v>47</v>
      </c>
      <c r="E59" s="12" t="str">
        <f>IF($C$8&gt;=A59,$E$1&amp;" "&amp;A59,"")</f>
        <v/>
      </c>
      <c r="J59" s="8"/>
      <c r="M59" s="1"/>
      <c r="N59" s="1"/>
      <c r="O59" s="1"/>
      <c r="P59" s="9"/>
      <c r="Q59" s="9"/>
      <c r="R59" s="8"/>
      <c r="S59" s="8"/>
      <c r="T59" s="1"/>
    </row>
    <row r="60" spans="1:20" x14ac:dyDescent="0.2">
      <c r="A60" s="14">
        <f t="shared" si="0"/>
        <v>48</v>
      </c>
      <c r="E60" s="12" t="str">
        <f>IF($C$8&gt;=A60,$E$1&amp;" "&amp;A60,"")</f>
        <v/>
      </c>
      <c r="J60" s="8"/>
      <c r="M60" s="1"/>
      <c r="N60" s="1"/>
      <c r="O60" s="1"/>
      <c r="P60" s="9"/>
      <c r="Q60" s="9"/>
      <c r="R60" s="8"/>
      <c r="S60" s="8"/>
      <c r="T60" s="1"/>
    </row>
    <row r="61" spans="1:20" x14ac:dyDescent="0.2">
      <c r="A61" s="14">
        <f t="shared" si="0"/>
        <v>49</v>
      </c>
      <c r="E61" s="12" t="str">
        <f>IF($C$8&gt;=A61,$E$1&amp;" "&amp;A61,"")</f>
        <v/>
      </c>
      <c r="J61" s="8"/>
      <c r="M61" s="1"/>
      <c r="N61" s="1"/>
      <c r="O61" s="1"/>
      <c r="P61" s="9"/>
      <c r="Q61" s="9"/>
      <c r="R61" s="8"/>
      <c r="S61" s="8"/>
      <c r="T61" s="1"/>
    </row>
    <row r="62" spans="1:20" x14ac:dyDescent="0.2">
      <c r="A62" s="14">
        <f t="shared" si="0"/>
        <v>50</v>
      </c>
      <c r="E62" s="12" t="str">
        <f>IF($C$8&gt;=A62,$E$1&amp;" "&amp;A62,"")</f>
        <v/>
      </c>
      <c r="J62" s="8"/>
      <c r="M62" s="1"/>
      <c r="N62" s="1"/>
      <c r="O62" s="1"/>
      <c r="P62" s="9"/>
      <c r="Q62" s="9"/>
      <c r="R62" s="8"/>
      <c r="S62" s="8"/>
      <c r="T62" s="1"/>
    </row>
    <row r="63" spans="1:20" x14ac:dyDescent="0.2">
      <c r="A63" s="14">
        <f t="shared" si="0"/>
        <v>51</v>
      </c>
      <c r="E63" s="12" t="str">
        <f>IF($C$8&gt;=A63,$E$1&amp;" "&amp;A63,"")</f>
        <v/>
      </c>
      <c r="J63" s="8"/>
      <c r="M63" s="1"/>
      <c r="N63" s="1"/>
      <c r="O63" s="1"/>
      <c r="P63" s="9"/>
      <c r="Q63" s="9"/>
      <c r="R63" s="8"/>
      <c r="S63" s="8"/>
      <c r="T63" s="1"/>
    </row>
    <row r="64" spans="1:20" x14ac:dyDescent="0.2">
      <c r="A64" s="14">
        <f t="shared" si="0"/>
        <v>52</v>
      </c>
      <c r="E64" s="12" t="str">
        <f>IF($C$8&gt;=A64,$E$1&amp;" "&amp;A64,"")</f>
        <v/>
      </c>
      <c r="J64" s="8"/>
      <c r="M64" s="1"/>
      <c r="N64" s="1"/>
      <c r="O64" s="1"/>
      <c r="P64" s="9"/>
      <c r="Q64" s="9"/>
      <c r="R64" s="8"/>
      <c r="S64" s="8"/>
      <c r="T64" s="1"/>
    </row>
    <row r="65" spans="1:20" x14ac:dyDescent="0.2">
      <c r="A65" s="14">
        <f t="shared" si="0"/>
        <v>53</v>
      </c>
      <c r="E65" s="12" t="str">
        <f>IF($C$8&gt;=A65,$E$1&amp;" "&amp;A65,"")</f>
        <v/>
      </c>
      <c r="J65" s="8"/>
      <c r="M65" s="1"/>
      <c r="N65" s="1"/>
      <c r="O65" s="1"/>
      <c r="P65" s="9"/>
      <c r="Q65" s="9"/>
      <c r="R65" s="8"/>
      <c r="S65" s="8"/>
      <c r="T65" s="1"/>
    </row>
    <row r="66" spans="1:20" x14ac:dyDescent="0.2">
      <c r="A66" s="14">
        <f t="shared" si="0"/>
        <v>54</v>
      </c>
      <c r="E66" s="12" t="str">
        <f>IF($C$8&gt;=A66,$E$1&amp;" "&amp;A66,"")</f>
        <v/>
      </c>
      <c r="J66" s="8"/>
      <c r="M66" s="1"/>
      <c r="N66" s="1"/>
      <c r="O66" s="1"/>
      <c r="P66" s="9"/>
      <c r="Q66" s="9"/>
      <c r="R66" s="8"/>
      <c r="S66" s="8"/>
      <c r="T66" s="1"/>
    </row>
    <row r="67" spans="1:20" x14ac:dyDescent="0.2">
      <c r="A67" s="14">
        <f t="shared" si="0"/>
        <v>55</v>
      </c>
      <c r="E67" s="12" t="str">
        <f>IF($C$8&gt;=A67,$E$1&amp;" "&amp;A67,"")</f>
        <v/>
      </c>
      <c r="J67" s="8"/>
      <c r="M67" s="1"/>
      <c r="N67" s="1"/>
      <c r="O67" s="1"/>
      <c r="P67" s="9"/>
      <c r="Q67" s="9"/>
      <c r="R67" s="8"/>
      <c r="S67" s="8"/>
      <c r="T67" s="1"/>
    </row>
    <row r="68" spans="1:20" x14ac:dyDescent="0.2">
      <c r="A68" s="14">
        <f t="shared" si="0"/>
        <v>56</v>
      </c>
      <c r="E68" s="12" t="str">
        <f>IF($C$8&gt;=A68,$E$1&amp;" "&amp;A68,"")</f>
        <v/>
      </c>
      <c r="J68" s="8"/>
      <c r="M68" s="1"/>
      <c r="N68" s="1"/>
      <c r="O68" s="1"/>
      <c r="P68" s="9"/>
      <c r="Q68" s="9"/>
      <c r="R68" s="8"/>
      <c r="S68" s="8"/>
      <c r="T68" s="1"/>
    </row>
    <row r="69" spans="1:20" x14ac:dyDescent="0.2">
      <c r="A69" s="14">
        <f t="shared" si="0"/>
        <v>57</v>
      </c>
      <c r="E69" s="12" t="str">
        <f>IF($C$8&gt;=A69,$E$1&amp;" "&amp;A69,"")</f>
        <v/>
      </c>
      <c r="J69" s="8"/>
      <c r="M69" s="1"/>
      <c r="N69" s="1"/>
      <c r="O69" s="1"/>
      <c r="P69" s="9"/>
      <c r="Q69" s="9"/>
      <c r="R69" s="8"/>
      <c r="S69" s="8"/>
      <c r="T69" s="1"/>
    </row>
    <row r="70" spans="1:20" x14ac:dyDescent="0.2">
      <c r="A70" s="14">
        <f t="shared" si="0"/>
        <v>58</v>
      </c>
      <c r="E70" s="12" t="str">
        <f>IF($C$8&gt;=A70,$E$1&amp;" "&amp;A70,"")</f>
        <v/>
      </c>
      <c r="J70" s="8"/>
      <c r="M70" s="1"/>
      <c r="N70" s="1"/>
      <c r="O70" s="1"/>
      <c r="P70" s="9"/>
      <c r="Q70" s="9"/>
      <c r="R70" s="8"/>
      <c r="S70" s="8"/>
      <c r="T70" s="1"/>
    </row>
    <row r="71" spans="1:20" x14ac:dyDescent="0.2">
      <c r="A71" s="14">
        <f t="shared" si="0"/>
        <v>59</v>
      </c>
      <c r="E71" s="12" t="str">
        <f>IF($C$8&gt;=A71,$E$1&amp;" "&amp;A71,"")</f>
        <v/>
      </c>
      <c r="J71" s="8"/>
      <c r="M71" s="1"/>
      <c r="N71" s="1"/>
      <c r="O71" s="1"/>
      <c r="P71" s="9"/>
      <c r="Q71" s="9"/>
      <c r="R71" s="8"/>
      <c r="S71" s="8"/>
      <c r="T71" s="1"/>
    </row>
    <row r="72" spans="1:20" x14ac:dyDescent="0.2">
      <c r="A72" s="14">
        <f t="shared" si="0"/>
        <v>60</v>
      </c>
      <c r="E72" s="12" t="str">
        <f>IF($C$8&gt;=A72,$E$1&amp;" "&amp;A72,"")</f>
        <v/>
      </c>
      <c r="J72" s="8"/>
      <c r="M72" s="1"/>
      <c r="N72" s="1"/>
      <c r="O72" s="1"/>
      <c r="P72" s="9"/>
      <c r="Q72" s="9"/>
      <c r="R72" s="8"/>
      <c r="S72" s="8"/>
      <c r="T72" s="1"/>
    </row>
    <row r="73" spans="1:20" x14ac:dyDescent="0.2">
      <c r="A73" s="14">
        <f t="shared" si="0"/>
        <v>61</v>
      </c>
      <c r="E73" s="12" t="str">
        <f>IF($C$8&gt;=A73,$E$1&amp;" "&amp;A73,"")</f>
        <v/>
      </c>
      <c r="J73" s="8"/>
      <c r="M73" s="1"/>
      <c r="N73" s="1"/>
      <c r="O73" s="1"/>
      <c r="P73" s="9"/>
      <c r="Q73" s="9"/>
      <c r="R73" s="8"/>
      <c r="S73" s="8"/>
      <c r="T73" s="1"/>
    </row>
    <row r="74" spans="1:20" x14ac:dyDescent="0.2">
      <c r="A74" s="14">
        <f t="shared" si="0"/>
        <v>62</v>
      </c>
      <c r="E74" s="12" t="str">
        <f>IF($C$8&gt;=A74,$E$1&amp;" "&amp;A74,"")</f>
        <v/>
      </c>
      <c r="J74" s="8"/>
      <c r="M74" s="1"/>
      <c r="N74" s="1"/>
      <c r="O74" s="1"/>
      <c r="P74" s="9"/>
      <c r="Q74" s="9"/>
      <c r="R74" s="8"/>
      <c r="S74" s="8"/>
      <c r="T74" s="1"/>
    </row>
    <row r="75" spans="1:20" x14ac:dyDescent="0.2">
      <c r="A75" s="14">
        <f t="shared" si="0"/>
        <v>63</v>
      </c>
      <c r="E75" s="12" t="str">
        <f>IF($C$8&gt;=A75,$E$1&amp;" "&amp;A75,"")</f>
        <v/>
      </c>
      <c r="J75" s="8"/>
      <c r="M75" s="1"/>
      <c r="N75" s="1"/>
      <c r="O75" s="1"/>
      <c r="P75" s="9"/>
      <c r="Q75" s="9"/>
      <c r="R75" s="8"/>
      <c r="S75" s="8"/>
      <c r="T75" s="1"/>
    </row>
    <row r="76" spans="1:20" x14ac:dyDescent="0.2">
      <c r="A76" s="14">
        <f t="shared" si="0"/>
        <v>64</v>
      </c>
      <c r="E76" s="12" t="str">
        <f>IF($C$8&gt;=A76,$E$1&amp;" "&amp;A76,"")</f>
        <v/>
      </c>
      <c r="J76" s="8"/>
      <c r="M76" s="1"/>
      <c r="N76" s="1"/>
      <c r="O76" s="1"/>
      <c r="P76" s="9"/>
      <c r="Q76" s="9"/>
      <c r="R76" s="8"/>
      <c r="S76" s="8"/>
      <c r="T76" s="1"/>
    </row>
    <row r="77" spans="1:20" x14ac:dyDescent="0.2">
      <c r="A77" s="14">
        <f t="shared" si="0"/>
        <v>65</v>
      </c>
      <c r="E77" s="12" t="str">
        <f>IF($C$8&gt;=A77,$E$1&amp;" "&amp;A77,"")</f>
        <v/>
      </c>
      <c r="J77" s="8"/>
      <c r="M77" s="1"/>
      <c r="N77" s="1"/>
      <c r="O77" s="1"/>
      <c r="P77" s="9"/>
      <c r="Q77" s="9"/>
      <c r="R77" s="8"/>
      <c r="S77" s="8"/>
      <c r="T77" s="1"/>
    </row>
    <row r="78" spans="1:20" x14ac:dyDescent="0.2">
      <c r="A78" s="14">
        <f t="shared" si="0"/>
        <v>66</v>
      </c>
      <c r="E78" s="12" t="str">
        <f>IF($C$8&gt;=A78,$E$1&amp;" "&amp;A78,"")</f>
        <v/>
      </c>
      <c r="J78" s="8"/>
      <c r="M78" s="1"/>
      <c r="N78" s="1"/>
      <c r="O78" s="1"/>
      <c r="P78" s="9"/>
      <c r="Q78" s="9"/>
      <c r="R78" s="8"/>
      <c r="S78" s="8"/>
      <c r="T78" s="1"/>
    </row>
    <row r="79" spans="1:20" x14ac:dyDescent="0.2">
      <c r="A79" s="14">
        <f t="shared" ref="A79:A142" si="1">A78+1</f>
        <v>67</v>
      </c>
      <c r="E79" s="12" t="str">
        <f>IF($C$8&gt;=A79,$E$1&amp;" "&amp;A79,"")</f>
        <v/>
      </c>
      <c r="J79" s="8"/>
      <c r="M79" s="1"/>
      <c r="N79" s="1"/>
      <c r="O79" s="1"/>
      <c r="P79" s="9"/>
      <c r="Q79" s="9"/>
      <c r="R79" s="8"/>
      <c r="S79" s="8"/>
      <c r="T79" s="1"/>
    </row>
    <row r="80" spans="1:20" x14ac:dyDescent="0.2">
      <c r="A80" s="14">
        <f t="shared" si="1"/>
        <v>68</v>
      </c>
      <c r="E80" s="12" t="str">
        <f>IF($C$8&gt;=A80,$E$1&amp;" "&amp;A80,"")</f>
        <v/>
      </c>
      <c r="J80" s="8"/>
      <c r="M80" s="1"/>
      <c r="N80" s="1"/>
      <c r="O80" s="1"/>
      <c r="P80" s="9"/>
      <c r="Q80" s="9"/>
      <c r="R80" s="8"/>
      <c r="S80" s="8"/>
      <c r="T80" s="1"/>
    </row>
    <row r="81" spans="1:20" x14ac:dyDescent="0.2">
      <c r="A81" s="14">
        <f t="shared" si="1"/>
        <v>69</v>
      </c>
      <c r="E81" s="12" t="str">
        <f>IF($C$8&gt;=A81,$E$1&amp;" "&amp;A81,"")</f>
        <v/>
      </c>
      <c r="J81" s="8"/>
      <c r="M81" s="1"/>
      <c r="N81" s="1"/>
      <c r="O81" s="1"/>
      <c r="P81" s="9"/>
      <c r="Q81" s="9"/>
      <c r="R81" s="8"/>
      <c r="S81" s="8"/>
      <c r="T81" s="1"/>
    </row>
    <row r="82" spans="1:20" x14ac:dyDescent="0.2">
      <c r="A82" s="14">
        <f t="shared" si="1"/>
        <v>70</v>
      </c>
      <c r="E82" s="12" t="str">
        <f>IF($C$8&gt;=A82,$E$1&amp;" "&amp;A82,"")</f>
        <v/>
      </c>
      <c r="J82" s="8"/>
      <c r="M82" s="1"/>
      <c r="N82" s="1"/>
      <c r="O82" s="1"/>
      <c r="P82" s="9"/>
      <c r="Q82" s="9"/>
      <c r="R82" s="8"/>
      <c r="S82" s="8"/>
      <c r="T82" s="1"/>
    </row>
    <row r="83" spans="1:20" x14ac:dyDescent="0.2">
      <c r="A83" s="14">
        <f t="shared" si="1"/>
        <v>71</v>
      </c>
      <c r="E83" s="12" t="str">
        <f>IF($C$8&gt;=A83,$E$1&amp;" "&amp;A83,"")</f>
        <v/>
      </c>
      <c r="J83" s="8"/>
      <c r="M83" s="1"/>
      <c r="N83" s="1"/>
      <c r="O83" s="1"/>
      <c r="P83" s="9"/>
      <c r="Q83" s="9"/>
      <c r="R83" s="8"/>
      <c r="S83" s="8"/>
      <c r="T83" s="1"/>
    </row>
    <row r="84" spans="1:20" x14ac:dyDescent="0.2">
      <c r="A84" s="14">
        <f t="shared" si="1"/>
        <v>72</v>
      </c>
      <c r="E84" s="12" t="str">
        <f>IF($C$8&gt;=A84,$E$1&amp;" "&amp;A84,"")</f>
        <v/>
      </c>
      <c r="J84" s="8"/>
      <c r="M84" s="1"/>
      <c r="N84" s="1"/>
      <c r="O84" s="1"/>
      <c r="P84" s="9"/>
      <c r="Q84" s="9"/>
      <c r="R84" s="8"/>
      <c r="S84" s="8"/>
      <c r="T84" s="1"/>
    </row>
    <row r="85" spans="1:20" x14ac:dyDescent="0.2">
      <c r="A85" s="14">
        <f t="shared" si="1"/>
        <v>73</v>
      </c>
      <c r="E85" s="12" t="str">
        <f>IF($C$8&gt;=A85,$E$1&amp;" "&amp;A85,"")</f>
        <v/>
      </c>
      <c r="J85" s="8"/>
      <c r="M85" s="1"/>
      <c r="N85" s="1"/>
      <c r="O85" s="1"/>
      <c r="P85" s="9"/>
      <c r="Q85" s="9"/>
      <c r="R85" s="8"/>
      <c r="S85" s="8"/>
      <c r="T85" s="1"/>
    </row>
    <row r="86" spans="1:20" x14ac:dyDescent="0.2">
      <c r="A86" s="14">
        <f t="shared" si="1"/>
        <v>74</v>
      </c>
      <c r="E86" s="12" t="str">
        <f>IF($C$8&gt;=A86,$E$1&amp;" "&amp;A86,"")</f>
        <v/>
      </c>
      <c r="J86" s="8"/>
      <c r="M86" s="1"/>
      <c r="N86" s="1"/>
      <c r="O86" s="1"/>
      <c r="P86" s="9"/>
      <c r="Q86" s="9"/>
      <c r="R86" s="8"/>
      <c r="S86" s="8"/>
      <c r="T86" s="1"/>
    </row>
    <row r="87" spans="1:20" x14ac:dyDescent="0.2">
      <c r="A87" s="14">
        <f t="shared" si="1"/>
        <v>75</v>
      </c>
      <c r="E87" s="12" t="str">
        <f>IF($C$8&gt;=A87,$E$1&amp;" "&amp;A87,"")</f>
        <v/>
      </c>
      <c r="J87" s="8"/>
      <c r="M87" s="1"/>
      <c r="N87" s="1"/>
      <c r="O87" s="1"/>
      <c r="P87" s="9"/>
      <c r="Q87" s="9"/>
      <c r="R87" s="8"/>
      <c r="S87" s="8"/>
      <c r="T87" s="1"/>
    </row>
    <row r="88" spans="1:20" x14ac:dyDescent="0.2">
      <c r="A88" s="14">
        <f t="shared" si="1"/>
        <v>76</v>
      </c>
      <c r="E88" s="12" t="str">
        <f>IF($C$8&gt;=A88,$E$1&amp;" "&amp;A88,"")</f>
        <v/>
      </c>
      <c r="J88" s="8"/>
      <c r="M88" s="1"/>
      <c r="N88" s="1"/>
      <c r="O88" s="1"/>
      <c r="P88" s="9"/>
      <c r="Q88" s="9"/>
      <c r="R88" s="8"/>
      <c r="S88" s="8"/>
      <c r="T88" s="1"/>
    </row>
    <row r="89" spans="1:20" x14ac:dyDescent="0.2">
      <c r="A89" s="14">
        <f t="shared" si="1"/>
        <v>77</v>
      </c>
      <c r="E89" s="12" t="str">
        <f>IF($C$8&gt;=A89,$E$1&amp;" "&amp;A89,"")</f>
        <v/>
      </c>
      <c r="J89" s="8"/>
      <c r="M89" s="1"/>
      <c r="N89" s="1"/>
      <c r="O89" s="1"/>
      <c r="P89" s="9"/>
      <c r="Q89" s="9"/>
      <c r="R89" s="8"/>
      <c r="S89" s="8"/>
      <c r="T89" s="1"/>
    </row>
    <row r="90" spans="1:20" x14ac:dyDescent="0.2">
      <c r="A90" s="14">
        <f t="shared" si="1"/>
        <v>78</v>
      </c>
      <c r="E90" s="12" t="str">
        <f>IF($C$8&gt;=A90,$E$1&amp;" "&amp;A90,"")</f>
        <v/>
      </c>
      <c r="J90" s="8"/>
      <c r="M90" s="1"/>
      <c r="N90" s="1"/>
      <c r="O90" s="1"/>
      <c r="P90" s="9"/>
      <c r="Q90" s="9"/>
      <c r="R90" s="8"/>
      <c r="S90" s="8"/>
      <c r="T90" s="1"/>
    </row>
    <row r="91" spans="1:20" x14ac:dyDescent="0.2">
      <c r="A91" s="14">
        <f t="shared" si="1"/>
        <v>79</v>
      </c>
      <c r="E91" s="12" t="str">
        <f>IF($C$8&gt;=A91,$E$1&amp;" "&amp;A91,"")</f>
        <v/>
      </c>
      <c r="J91" s="8"/>
      <c r="M91" s="1"/>
      <c r="N91" s="1"/>
      <c r="O91" s="1"/>
      <c r="P91" s="9"/>
      <c r="Q91" s="9"/>
      <c r="R91" s="8"/>
      <c r="S91" s="8"/>
      <c r="T91" s="1"/>
    </row>
    <row r="92" spans="1:20" x14ac:dyDescent="0.2">
      <c r="A92" s="14">
        <f t="shared" si="1"/>
        <v>80</v>
      </c>
      <c r="E92" s="12" t="str">
        <f>IF($C$8&gt;=A92,$E$1&amp;" "&amp;A92,"")</f>
        <v/>
      </c>
      <c r="J92" s="8"/>
      <c r="M92" s="1"/>
      <c r="N92" s="1"/>
      <c r="O92" s="1"/>
      <c r="P92" s="9"/>
      <c r="Q92" s="9"/>
      <c r="R92" s="8"/>
      <c r="S92" s="8"/>
      <c r="T92" s="1"/>
    </row>
    <row r="93" spans="1:20" x14ac:dyDescent="0.2">
      <c r="A93" s="14">
        <f t="shared" si="1"/>
        <v>81</v>
      </c>
      <c r="E93" s="12" t="str">
        <f>IF($C$8&gt;=A93,$E$1&amp;" "&amp;A93,"")</f>
        <v/>
      </c>
      <c r="J93" s="8"/>
      <c r="M93" s="1"/>
      <c r="N93" s="1"/>
      <c r="O93" s="1"/>
      <c r="P93" s="9"/>
      <c r="Q93" s="9"/>
      <c r="R93" s="8"/>
      <c r="S93" s="8"/>
      <c r="T93" s="1"/>
    </row>
    <row r="94" spans="1:20" x14ac:dyDescent="0.2">
      <c r="A94" s="14">
        <f t="shared" si="1"/>
        <v>82</v>
      </c>
      <c r="E94" s="12" t="str">
        <f>IF($C$8&gt;=A94,$E$1&amp;" "&amp;A94,"")</f>
        <v/>
      </c>
      <c r="J94" s="8"/>
      <c r="M94" s="1"/>
      <c r="N94" s="1"/>
      <c r="O94" s="1"/>
      <c r="P94" s="9"/>
      <c r="Q94" s="9"/>
      <c r="R94" s="8"/>
      <c r="S94" s="8"/>
      <c r="T94" s="1"/>
    </row>
    <row r="95" spans="1:20" x14ac:dyDescent="0.2">
      <c r="A95" s="14">
        <f t="shared" si="1"/>
        <v>83</v>
      </c>
      <c r="E95" s="12" t="str">
        <f>IF($C$8&gt;=A95,$E$1&amp;" "&amp;A95,"")</f>
        <v/>
      </c>
      <c r="J95" s="8"/>
      <c r="M95" s="1"/>
      <c r="N95" s="1"/>
      <c r="O95" s="1"/>
      <c r="P95" s="9"/>
      <c r="Q95" s="9"/>
      <c r="R95" s="8"/>
      <c r="S95" s="8"/>
      <c r="T95" s="1"/>
    </row>
    <row r="96" spans="1:20" x14ac:dyDescent="0.2">
      <c r="A96" s="14">
        <f t="shared" si="1"/>
        <v>84</v>
      </c>
      <c r="E96" s="12" t="str">
        <f>IF($C$8&gt;=A96,$E$1&amp;" "&amp;A96,"")</f>
        <v/>
      </c>
      <c r="J96" s="8"/>
      <c r="M96" s="1"/>
      <c r="N96" s="1"/>
      <c r="O96" s="1"/>
      <c r="P96" s="9"/>
      <c r="Q96" s="9"/>
      <c r="R96" s="8"/>
      <c r="S96" s="8"/>
      <c r="T96" s="1"/>
    </row>
    <row r="97" spans="1:20" x14ac:dyDescent="0.2">
      <c r="A97" s="14">
        <f t="shared" si="1"/>
        <v>85</v>
      </c>
      <c r="E97" s="12" t="str">
        <f>IF($C$8&gt;=A97,$E$1&amp;" "&amp;A97,"")</f>
        <v/>
      </c>
      <c r="J97" s="8"/>
      <c r="M97" s="1"/>
      <c r="N97" s="1"/>
      <c r="O97" s="1"/>
      <c r="P97" s="9"/>
      <c r="Q97" s="9"/>
      <c r="R97" s="8"/>
      <c r="S97" s="8"/>
      <c r="T97" s="1"/>
    </row>
    <row r="98" spans="1:20" x14ac:dyDescent="0.2">
      <c r="A98" s="14">
        <f t="shared" si="1"/>
        <v>86</v>
      </c>
      <c r="E98" s="12" t="str">
        <f>IF($C$8&gt;=A98,$E$1&amp;" "&amp;A98,"")</f>
        <v/>
      </c>
      <c r="J98" s="8"/>
      <c r="M98" s="1"/>
      <c r="N98" s="1"/>
      <c r="O98" s="1"/>
      <c r="P98" s="9"/>
      <c r="Q98" s="9"/>
      <c r="R98" s="8"/>
      <c r="S98" s="8"/>
      <c r="T98" s="1"/>
    </row>
    <row r="99" spans="1:20" x14ac:dyDescent="0.2">
      <c r="A99" s="14">
        <f t="shared" si="1"/>
        <v>87</v>
      </c>
      <c r="E99" s="12" t="str">
        <f>IF($C$8&gt;=A99,$E$1&amp;" "&amp;A99,"")</f>
        <v/>
      </c>
      <c r="J99" s="8"/>
      <c r="M99" s="1"/>
      <c r="N99" s="1"/>
      <c r="O99" s="1"/>
      <c r="P99" s="9"/>
      <c r="Q99" s="9"/>
      <c r="R99" s="8"/>
      <c r="S99" s="8"/>
      <c r="T99" s="1"/>
    </row>
    <row r="100" spans="1:20" x14ac:dyDescent="0.2">
      <c r="A100" s="14">
        <f t="shared" si="1"/>
        <v>88</v>
      </c>
      <c r="E100" s="12" t="str">
        <f>IF($C$8&gt;=A100,$E$1&amp;" "&amp;A100,"")</f>
        <v/>
      </c>
      <c r="J100" s="8"/>
      <c r="M100" s="1"/>
      <c r="N100" s="1"/>
      <c r="O100" s="1"/>
      <c r="P100" s="9"/>
      <c r="Q100" s="9"/>
      <c r="R100" s="8"/>
      <c r="S100" s="8"/>
      <c r="T100" s="1"/>
    </row>
    <row r="101" spans="1:20" x14ac:dyDescent="0.2">
      <c r="A101" s="14">
        <f t="shared" si="1"/>
        <v>89</v>
      </c>
      <c r="E101" s="12" t="str">
        <f>IF($C$8&gt;=A101,$E$1&amp;" "&amp;A101,"")</f>
        <v/>
      </c>
      <c r="J101" s="8"/>
      <c r="M101" s="1"/>
      <c r="N101" s="1"/>
      <c r="O101" s="1"/>
      <c r="P101" s="9"/>
      <c r="Q101" s="9"/>
      <c r="R101" s="8"/>
      <c r="S101" s="8"/>
      <c r="T101" s="1"/>
    </row>
    <row r="102" spans="1:20" x14ac:dyDescent="0.2">
      <c r="A102" s="14">
        <f t="shared" si="1"/>
        <v>90</v>
      </c>
      <c r="E102" s="12" t="str">
        <f>IF($C$8&gt;=A102,$E$1&amp;" "&amp;A102,"")</f>
        <v/>
      </c>
      <c r="J102" s="8"/>
      <c r="M102" s="1"/>
      <c r="N102" s="1"/>
      <c r="O102" s="1"/>
      <c r="P102" s="9"/>
      <c r="Q102" s="9"/>
      <c r="R102" s="8"/>
      <c r="S102" s="8"/>
      <c r="T102" s="1"/>
    </row>
    <row r="103" spans="1:20" x14ac:dyDescent="0.2">
      <c r="A103" s="14">
        <f t="shared" si="1"/>
        <v>91</v>
      </c>
      <c r="E103" s="12" t="str">
        <f>IF($C$8&gt;=A103,$E$1&amp;" "&amp;A103,"")</f>
        <v/>
      </c>
      <c r="J103" s="8"/>
      <c r="M103" s="1"/>
      <c r="N103" s="1"/>
      <c r="O103" s="1"/>
      <c r="P103" s="9"/>
      <c r="Q103" s="9"/>
      <c r="R103" s="8"/>
      <c r="S103" s="8"/>
      <c r="T103" s="1"/>
    </row>
    <row r="104" spans="1:20" x14ac:dyDescent="0.2">
      <c r="A104" s="14">
        <f t="shared" si="1"/>
        <v>92</v>
      </c>
      <c r="E104" s="12" t="str">
        <f>IF($C$8&gt;=A104,$E$1&amp;" "&amp;A104,"")</f>
        <v/>
      </c>
      <c r="J104" s="8"/>
      <c r="M104" s="1"/>
      <c r="N104" s="1"/>
      <c r="O104" s="1"/>
      <c r="P104" s="9"/>
      <c r="Q104" s="9"/>
      <c r="R104" s="8"/>
      <c r="S104" s="8"/>
      <c r="T104" s="1"/>
    </row>
    <row r="105" spans="1:20" x14ac:dyDescent="0.2">
      <c r="A105" s="14">
        <f t="shared" si="1"/>
        <v>93</v>
      </c>
      <c r="E105" s="12" t="str">
        <f>IF($C$8&gt;=A105,$E$1&amp;" "&amp;A105,"")</f>
        <v/>
      </c>
      <c r="J105" s="8"/>
      <c r="M105" s="1"/>
      <c r="N105" s="1"/>
      <c r="O105" s="1"/>
      <c r="P105" s="9"/>
      <c r="Q105" s="9"/>
      <c r="R105" s="8"/>
      <c r="S105" s="8"/>
      <c r="T105" s="1"/>
    </row>
    <row r="106" spans="1:20" x14ac:dyDescent="0.2">
      <c r="A106" s="14">
        <f t="shared" si="1"/>
        <v>94</v>
      </c>
      <c r="E106" s="12" t="str">
        <f>IF($C$8&gt;=A106,$E$1&amp;" "&amp;A106,"")</f>
        <v/>
      </c>
      <c r="J106" s="8"/>
      <c r="M106" s="1"/>
      <c r="N106" s="1"/>
      <c r="O106" s="1"/>
      <c r="P106" s="9"/>
      <c r="Q106" s="9"/>
      <c r="R106" s="8"/>
      <c r="S106" s="8"/>
      <c r="T106" s="1"/>
    </row>
    <row r="107" spans="1:20" x14ac:dyDescent="0.2">
      <c r="A107" s="14">
        <f t="shared" si="1"/>
        <v>95</v>
      </c>
      <c r="E107" s="12" t="str">
        <f>IF($C$8&gt;=A107,$E$1&amp;" "&amp;A107,"")</f>
        <v/>
      </c>
      <c r="J107" s="8"/>
      <c r="M107" s="1"/>
      <c r="N107" s="1"/>
      <c r="O107" s="1"/>
      <c r="P107" s="9"/>
      <c r="Q107" s="9"/>
      <c r="R107" s="8"/>
      <c r="S107" s="8"/>
      <c r="T107" s="1"/>
    </row>
    <row r="108" spans="1:20" x14ac:dyDescent="0.2">
      <c r="A108" s="14">
        <f t="shared" si="1"/>
        <v>96</v>
      </c>
      <c r="E108" s="12" t="str">
        <f>IF($C$8&gt;=A108,$E$1&amp;" "&amp;A108,"")</f>
        <v/>
      </c>
      <c r="J108" s="8"/>
      <c r="M108" s="1"/>
      <c r="N108" s="1"/>
      <c r="O108" s="1"/>
      <c r="P108" s="9"/>
      <c r="Q108" s="9"/>
      <c r="R108" s="8"/>
      <c r="S108" s="8"/>
      <c r="T108" s="1"/>
    </row>
    <row r="109" spans="1:20" x14ac:dyDescent="0.2">
      <c r="A109" s="14">
        <f t="shared" si="1"/>
        <v>97</v>
      </c>
      <c r="E109" s="12" t="str">
        <f>IF($C$8&gt;=A109,$E$1&amp;" "&amp;A109,"")</f>
        <v/>
      </c>
      <c r="J109" s="8"/>
      <c r="M109" s="1"/>
      <c r="N109" s="1"/>
      <c r="O109" s="1"/>
      <c r="P109" s="9"/>
      <c r="Q109" s="9"/>
      <c r="R109" s="8"/>
      <c r="S109" s="8"/>
      <c r="T109" s="1"/>
    </row>
    <row r="110" spans="1:20" x14ac:dyDescent="0.2">
      <c r="A110" s="14">
        <f t="shared" si="1"/>
        <v>98</v>
      </c>
      <c r="E110" s="12" t="str">
        <f>IF($C$8&gt;=A110,$E$1&amp;" "&amp;A110,"")</f>
        <v/>
      </c>
      <c r="J110" s="8"/>
      <c r="M110" s="1"/>
      <c r="N110" s="1"/>
      <c r="O110" s="1"/>
      <c r="P110" s="9"/>
      <c r="Q110" s="9"/>
      <c r="R110" s="8"/>
      <c r="S110" s="8"/>
      <c r="T110" s="1"/>
    </row>
    <row r="111" spans="1:20" x14ac:dyDescent="0.2">
      <c r="A111" s="14">
        <f t="shared" si="1"/>
        <v>99</v>
      </c>
      <c r="E111" s="12" t="str">
        <f>IF($C$8&gt;=A111,$E$1&amp;" "&amp;A111,"")</f>
        <v/>
      </c>
      <c r="J111" s="8"/>
      <c r="M111" s="1"/>
      <c r="N111" s="1"/>
      <c r="O111" s="1"/>
      <c r="P111" s="9"/>
      <c r="Q111" s="9"/>
      <c r="R111" s="8"/>
      <c r="S111" s="8"/>
      <c r="T111" s="1"/>
    </row>
    <row r="112" spans="1:20" x14ac:dyDescent="0.2">
      <c r="A112" s="14">
        <f t="shared" si="1"/>
        <v>100</v>
      </c>
      <c r="E112" s="12" t="str">
        <f>IF($C$8&gt;=A112,$E$1&amp;" "&amp;A112,"")</f>
        <v/>
      </c>
      <c r="J112" s="8"/>
      <c r="M112" s="1"/>
      <c r="N112" s="1"/>
      <c r="O112" s="1"/>
      <c r="P112" s="9"/>
      <c r="Q112" s="9"/>
      <c r="R112" s="8"/>
      <c r="S112" s="8"/>
      <c r="T112" s="1"/>
    </row>
    <row r="113" spans="1:20" x14ac:dyDescent="0.2">
      <c r="A113" s="14">
        <f t="shared" si="1"/>
        <v>101</v>
      </c>
      <c r="E113" s="12" t="str">
        <f>IF($C$8&gt;=A113,$E$1&amp;" "&amp;A113,"")</f>
        <v/>
      </c>
      <c r="J113" s="8"/>
      <c r="M113" s="1"/>
      <c r="N113" s="1"/>
      <c r="O113" s="1"/>
      <c r="P113" s="9"/>
      <c r="Q113" s="9"/>
      <c r="R113" s="8"/>
      <c r="S113" s="8"/>
      <c r="T113" s="1"/>
    </row>
    <row r="114" spans="1:20" x14ac:dyDescent="0.2">
      <c r="A114" s="14">
        <f t="shared" si="1"/>
        <v>102</v>
      </c>
      <c r="E114" s="12" t="str">
        <f>IF($C$8&gt;=A114,$E$1&amp;" "&amp;A114,"")</f>
        <v/>
      </c>
      <c r="J114" s="8"/>
      <c r="M114" s="1"/>
      <c r="N114" s="1"/>
      <c r="O114" s="1"/>
      <c r="P114" s="9"/>
      <c r="Q114" s="9"/>
      <c r="R114" s="8"/>
      <c r="S114" s="8"/>
      <c r="T114" s="1"/>
    </row>
    <row r="115" spans="1:20" x14ac:dyDescent="0.2">
      <c r="A115" s="14">
        <f t="shared" si="1"/>
        <v>103</v>
      </c>
      <c r="E115" s="12" t="str">
        <f>IF($C$8&gt;=A115,$E$1&amp;" "&amp;A115,"")</f>
        <v/>
      </c>
      <c r="J115" s="8"/>
      <c r="M115" s="1"/>
      <c r="N115" s="1"/>
      <c r="O115" s="1"/>
      <c r="P115" s="9"/>
      <c r="Q115" s="9"/>
      <c r="R115" s="8"/>
      <c r="S115" s="8"/>
      <c r="T115" s="1"/>
    </row>
    <row r="116" spans="1:20" x14ac:dyDescent="0.2">
      <c r="A116" s="14">
        <f t="shared" si="1"/>
        <v>104</v>
      </c>
      <c r="E116" s="12" t="str">
        <f>IF($C$8&gt;=A116,$E$1&amp;" "&amp;A116,"")</f>
        <v/>
      </c>
      <c r="J116" s="8"/>
      <c r="M116" s="1"/>
      <c r="N116" s="1"/>
      <c r="O116" s="1"/>
      <c r="P116" s="9"/>
      <c r="Q116" s="9"/>
      <c r="R116" s="8"/>
      <c r="S116" s="8"/>
      <c r="T116" s="1"/>
    </row>
    <row r="117" spans="1:20" x14ac:dyDescent="0.2">
      <c r="A117" s="14">
        <f t="shared" si="1"/>
        <v>105</v>
      </c>
      <c r="E117" s="12" t="str">
        <f>IF($C$8&gt;=A117,$E$1&amp;" "&amp;A117,"")</f>
        <v/>
      </c>
      <c r="J117" s="8"/>
      <c r="M117" s="1"/>
      <c r="N117" s="1"/>
      <c r="O117" s="1"/>
      <c r="P117" s="9"/>
      <c r="Q117" s="9"/>
      <c r="R117" s="8"/>
      <c r="S117" s="8"/>
      <c r="T117" s="1"/>
    </row>
    <row r="118" spans="1:20" x14ac:dyDescent="0.2">
      <c r="A118" s="14">
        <f t="shared" si="1"/>
        <v>106</v>
      </c>
      <c r="E118" s="12" t="str">
        <f>IF($C$8&gt;=A118,$E$1&amp;" "&amp;A118,"")</f>
        <v/>
      </c>
      <c r="J118" s="8"/>
      <c r="M118" s="1"/>
      <c r="N118" s="1"/>
      <c r="O118" s="1"/>
      <c r="P118" s="9"/>
      <c r="Q118" s="9"/>
      <c r="R118" s="8"/>
      <c r="S118" s="8"/>
      <c r="T118" s="1"/>
    </row>
    <row r="119" spans="1:20" x14ac:dyDescent="0.2">
      <c r="A119" s="14">
        <f t="shared" si="1"/>
        <v>107</v>
      </c>
      <c r="E119" s="12" t="str">
        <f>IF($C$8&gt;=A119,$E$1&amp;" "&amp;A119,"")</f>
        <v/>
      </c>
      <c r="J119" s="8"/>
      <c r="M119" s="1"/>
      <c r="N119" s="1"/>
      <c r="O119" s="1"/>
      <c r="P119" s="9"/>
      <c r="Q119" s="9"/>
      <c r="R119" s="8"/>
      <c r="S119" s="8"/>
      <c r="T119" s="1"/>
    </row>
    <row r="120" spans="1:20" x14ac:dyDescent="0.2">
      <c r="A120" s="14">
        <f t="shared" si="1"/>
        <v>108</v>
      </c>
      <c r="E120" s="12" t="str">
        <f>IF($C$8&gt;=A120,$E$1&amp;" "&amp;A120,"")</f>
        <v/>
      </c>
      <c r="J120" s="8"/>
      <c r="M120" s="1"/>
      <c r="N120" s="1"/>
      <c r="O120" s="1"/>
      <c r="P120" s="9"/>
      <c r="Q120" s="9"/>
      <c r="R120" s="8"/>
      <c r="S120" s="8"/>
      <c r="T120" s="1"/>
    </row>
    <row r="121" spans="1:20" x14ac:dyDescent="0.2">
      <c r="A121" s="14">
        <f t="shared" si="1"/>
        <v>109</v>
      </c>
      <c r="E121" s="12" t="str">
        <f>IF($C$8&gt;=A121,$E$1&amp;" "&amp;A121,"")</f>
        <v/>
      </c>
      <c r="J121" s="8"/>
      <c r="M121" s="1"/>
      <c r="N121" s="1"/>
      <c r="O121" s="1"/>
      <c r="P121" s="9"/>
      <c r="Q121" s="9"/>
      <c r="R121" s="8"/>
      <c r="S121" s="8"/>
      <c r="T121" s="1"/>
    </row>
    <row r="122" spans="1:20" x14ac:dyDescent="0.2">
      <c r="A122" s="14">
        <f t="shared" si="1"/>
        <v>110</v>
      </c>
      <c r="E122" s="12" t="str">
        <f>IF($C$8&gt;=A122,$E$1&amp;" "&amp;A122,"")</f>
        <v/>
      </c>
      <c r="J122" s="8"/>
      <c r="M122" s="1"/>
      <c r="N122" s="1"/>
      <c r="O122" s="1"/>
      <c r="P122" s="9"/>
      <c r="Q122" s="9"/>
      <c r="R122" s="8"/>
      <c r="S122" s="8"/>
      <c r="T122" s="1"/>
    </row>
    <row r="123" spans="1:20" x14ac:dyDescent="0.2">
      <c r="A123" s="14">
        <f t="shared" si="1"/>
        <v>111</v>
      </c>
      <c r="E123" s="12" t="str">
        <f>IF($C$8&gt;=A123,$E$1&amp;" "&amp;A123,"")</f>
        <v/>
      </c>
      <c r="J123" s="8"/>
      <c r="M123" s="1"/>
      <c r="N123" s="1"/>
      <c r="O123" s="1"/>
      <c r="P123" s="9"/>
      <c r="Q123" s="9"/>
      <c r="R123" s="8"/>
      <c r="S123" s="8"/>
      <c r="T123" s="1"/>
    </row>
    <row r="124" spans="1:20" x14ac:dyDescent="0.2">
      <c r="A124" s="14">
        <f t="shared" si="1"/>
        <v>112</v>
      </c>
      <c r="E124" s="12" t="str">
        <f>IF($C$8&gt;=A124,$E$1&amp;" "&amp;A124,"")</f>
        <v/>
      </c>
      <c r="J124" s="8"/>
      <c r="M124" s="1"/>
      <c r="N124" s="1"/>
      <c r="O124" s="1"/>
      <c r="P124" s="9"/>
      <c r="Q124" s="9"/>
      <c r="R124" s="8"/>
      <c r="S124" s="8"/>
      <c r="T124" s="1"/>
    </row>
    <row r="125" spans="1:20" x14ac:dyDescent="0.2">
      <c r="A125" s="14">
        <f t="shared" si="1"/>
        <v>113</v>
      </c>
      <c r="E125" s="12" t="str">
        <f>IF($C$8&gt;=A125,$E$1&amp;" "&amp;A125,"")</f>
        <v/>
      </c>
      <c r="J125" s="8"/>
      <c r="M125" s="1"/>
      <c r="N125" s="1"/>
      <c r="O125" s="1"/>
      <c r="P125" s="9"/>
      <c r="Q125" s="9"/>
      <c r="R125" s="8"/>
      <c r="S125" s="8"/>
      <c r="T125" s="1"/>
    </row>
    <row r="126" spans="1:20" x14ac:dyDescent="0.2">
      <c r="A126" s="14">
        <f t="shared" si="1"/>
        <v>114</v>
      </c>
      <c r="E126" s="12" t="str">
        <f>IF($C$8&gt;=A126,$E$1&amp;" "&amp;A126,"")</f>
        <v/>
      </c>
      <c r="J126" s="8"/>
      <c r="M126" s="1"/>
      <c r="N126" s="1"/>
      <c r="O126" s="1"/>
      <c r="P126" s="9"/>
      <c r="Q126" s="9"/>
      <c r="R126" s="8"/>
      <c r="S126" s="8"/>
      <c r="T126" s="1"/>
    </row>
    <row r="127" spans="1:20" x14ac:dyDescent="0.2">
      <c r="A127" s="14">
        <f t="shared" si="1"/>
        <v>115</v>
      </c>
      <c r="E127" s="12" t="str">
        <f>IF($C$8&gt;=A127,$E$1&amp;" "&amp;A127,"")</f>
        <v/>
      </c>
      <c r="J127" s="8"/>
      <c r="M127" s="1"/>
      <c r="N127" s="1"/>
      <c r="O127" s="1"/>
      <c r="P127" s="9"/>
      <c r="Q127" s="9"/>
      <c r="R127" s="8"/>
      <c r="S127" s="8"/>
      <c r="T127" s="1"/>
    </row>
    <row r="128" spans="1:20" x14ac:dyDescent="0.2">
      <c r="A128" s="14">
        <f t="shared" si="1"/>
        <v>116</v>
      </c>
      <c r="E128" s="12" t="str">
        <f>IF($C$8&gt;=A128,$E$1&amp;" "&amp;A128,"")</f>
        <v/>
      </c>
      <c r="J128" s="8"/>
      <c r="M128" s="1"/>
      <c r="N128" s="1"/>
      <c r="O128" s="1"/>
      <c r="P128" s="9"/>
      <c r="Q128" s="9"/>
      <c r="R128" s="8"/>
      <c r="S128" s="8"/>
      <c r="T128" s="1"/>
    </row>
    <row r="129" spans="1:20" x14ac:dyDescent="0.2">
      <c r="A129" s="14">
        <f t="shared" si="1"/>
        <v>117</v>
      </c>
      <c r="E129" s="12" t="str">
        <f>IF($C$8&gt;=A129,$E$1&amp;" "&amp;A129,"")</f>
        <v/>
      </c>
      <c r="J129" s="8"/>
      <c r="M129" s="1"/>
      <c r="N129" s="1"/>
      <c r="O129" s="1"/>
      <c r="P129" s="9"/>
      <c r="Q129" s="9"/>
      <c r="R129" s="8"/>
      <c r="S129" s="8"/>
      <c r="T129" s="1"/>
    </row>
    <row r="130" spans="1:20" x14ac:dyDescent="0.2">
      <c r="A130" s="14">
        <f t="shared" si="1"/>
        <v>118</v>
      </c>
      <c r="E130" s="12" t="str">
        <f>IF($C$8&gt;=A130,$E$1&amp;" "&amp;A130,"")</f>
        <v/>
      </c>
      <c r="J130" s="8"/>
      <c r="M130" s="1"/>
      <c r="N130" s="1"/>
      <c r="O130" s="1"/>
      <c r="P130" s="9"/>
      <c r="Q130" s="9"/>
      <c r="R130" s="8"/>
      <c r="S130" s="8"/>
      <c r="T130" s="1"/>
    </row>
    <row r="131" spans="1:20" x14ac:dyDescent="0.2">
      <c r="A131" s="14">
        <f t="shared" si="1"/>
        <v>119</v>
      </c>
      <c r="E131" s="12" t="str">
        <f>IF($C$8&gt;=A131,$E$1&amp;" "&amp;A131,"")</f>
        <v/>
      </c>
      <c r="J131" s="8"/>
      <c r="M131" s="1"/>
      <c r="N131" s="1"/>
      <c r="O131" s="1"/>
      <c r="P131" s="9"/>
      <c r="Q131" s="9"/>
      <c r="R131" s="8"/>
      <c r="S131" s="8"/>
      <c r="T131" s="1"/>
    </row>
    <row r="132" spans="1:20" x14ac:dyDescent="0.2">
      <c r="A132" s="14">
        <f t="shared" si="1"/>
        <v>120</v>
      </c>
      <c r="E132" s="12" t="str">
        <f>IF($C$8&gt;=A132,$E$1&amp;" "&amp;A132,"")</f>
        <v/>
      </c>
      <c r="J132" s="8"/>
      <c r="M132" s="1"/>
      <c r="N132" s="1"/>
      <c r="O132" s="1"/>
      <c r="P132" s="9"/>
      <c r="Q132" s="9"/>
      <c r="R132" s="8"/>
      <c r="S132" s="8"/>
      <c r="T132" s="1"/>
    </row>
    <row r="133" spans="1:20" x14ac:dyDescent="0.2">
      <c r="A133" s="14">
        <f t="shared" si="1"/>
        <v>121</v>
      </c>
      <c r="E133" s="12" t="str">
        <f>IF($C$8&gt;=A133,$E$1&amp;" "&amp;A133,"")</f>
        <v/>
      </c>
      <c r="J133" s="8"/>
      <c r="M133" s="1"/>
      <c r="N133" s="1"/>
      <c r="O133" s="1"/>
      <c r="P133" s="9"/>
      <c r="Q133" s="9"/>
      <c r="R133" s="8"/>
      <c r="S133" s="8"/>
      <c r="T133" s="1"/>
    </row>
    <row r="134" spans="1:20" x14ac:dyDescent="0.2">
      <c r="A134" s="14">
        <f t="shared" si="1"/>
        <v>122</v>
      </c>
      <c r="E134" s="12" t="str">
        <f>IF($C$8&gt;=A134,$E$1&amp;" "&amp;A134,"")</f>
        <v/>
      </c>
      <c r="J134" s="8"/>
      <c r="M134" s="1"/>
      <c r="N134" s="1"/>
      <c r="O134" s="1"/>
      <c r="P134" s="9"/>
      <c r="Q134" s="9"/>
      <c r="R134" s="8"/>
      <c r="S134" s="8"/>
      <c r="T134" s="1"/>
    </row>
    <row r="135" spans="1:20" x14ac:dyDescent="0.2">
      <c r="A135" s="14">
        <f t="shared" si="1"/>
        <v>123</v>
      </c>
      <c r="E135" s="12" t="str">
        <f>IF($C$8&gt;=A135,$E$1&amp;" "&amp;A135,"")</f>
        <v/>
      </c>
      <c r="J135" s="8"/>
      <c r="M135" s="1"/>
      <c r="N135" s="1"/>
      <c r="O135" s="1"/>
      <c r="P135" s="9"/>
      <c r="Q135" s="9"/>
      <c r="R135" s="8"/>
      <c r="S135" s="8"/>
      <c r="T135" s="1"/>
    </row>
    <row r="136" spans="1:20" x14ac:dyDescent="0.2">
      <c r="A136" s="14">
        <f t="shared" si="1"/>
        <v>124</v>
      </c>
      <c r="E136" s="12" t="str">
        <f>IF($C$8&gt;=A136,$E$1&amp;" "&amp;A136,"")</f>
        <v/>
      </c>
      <c r="J136" s="8"/>
      <c r="M136" s="1"/>
      <c r="N136" s="1"/>
      <c r="O136" s="1"/>
      <c r="P136" s="9"/>
      <c r="Q136" s="9"/>
      <c r="R136" s="8"/>
      <c r="S136" s="8"/>
      <c r="T136" s="1"/>
    </row>
    <row r="137" spans="1:20" x14ac:dyDescent="0.2">
      <c r="A137" s="14">
        <f t="shared" si="1"/>
        <v>125</v>
      </c>
      <c r="E137" s="12" t="str">
        <f>IF($C$8&gt;=A137,$E$1&amp;" "&amp;A137,"")</f>
        <v/>
      </c>
      <c r="J137" s="8"/>
      <c r="M137" s="1"/>
      <c r="N137" s="1"/>
      <c r="O137" s="1"/>
      <c r="P137" s="9"/>
      <c r="Q137" s="9"/>
      <c r="R137" s="8"/>
      <c r="S137" s="8"/>
      <c r="T137" s="1"/>
    </row>
    <row r="138" spans="1:20" x14ac:dyDescent="0.2">
      <c r="A138" s="14">
        <f t="shared" si="1"/>
        <v>126</v>
      </c>
      <c r="E138" s="12" t="str">
        <f>IF($C$8&gt;=A138,$E$1&amp;" "&amp;A138,"")</f>
        <v/>
      </c>
      <c r="J138" s="8"/>
      <c r="M138" s="1"/>
      <c r="N138" s="1"/>
      <c r="O138" s="1"/>
      <c r="P138" s="9"/>
      <c r="Q138" s="9"/>
      <c r="R138" s="8"/>
      <c r="S138" s="8"/>
      <c r="T138" s="1"/>
    </row>
    <row r="139" spans="1:20" x14ac:dyDescent="0.2">
      <c r="A139" s="14">
        <f t="shared" si="1"/>
        <v>127</v>
      </c>
      <c r="E139" s="12" t="str">
        <f>IF($C$8&gt;=A139,$E$1&amp;" "&amp;A139,"")</f>
        <v/>
      </c>
      <c r="J139" s="8"/>
      <c r="M139" s="1"/>
      <c r="N139" s="1"/>
      <c r="O139" s="1"/>
      <c r="P139" s="9"/>
      <c r="Q139" s="9"/>
      <c r="R139" s="8"/>
      <c r="S139" s="8"/>
      <c r="T139" s="1"/>
    </row>
    <row r="140" spans="1:20" x14ac:dyDescent="0.2">
      <c r="A140" s="14">
        <f t="shared" si="1"/>
        <v>128</v>
      </c>
      <c r="E140" s="12" t="str">
        <f>IF($C$8&gt;=A140,$E$1&amp;" "&amp;A140,"")</f>
        <v/>
      </c>
      <c r="J140" s="8"/>
      <c r="M140" s="1"/>
      <c r="N140" s="1"/>
      <c r="O140" s="1"/>
      <c r="P140" s="9"/>
      <c r="Q140" s="9"/>
      <c r="R140" s="8"/>
      <c r="S140" s="8"/>
      <c r="T140" s="1"/>
    </row>
    <row r="141" spans="1:20" x14ac:dyDescent="0.2">
      <c r="A141" s="14">
        <f t="shared" si="1"/>
        <v>129</v>
      </c>
      <c r="E141" s="12" t="str">
        <f>IF($C$8&gt;=A141,$E$1&amp;" "&amp;A141,"")</f>
        <v/>
      </c>
      <c r="J141" s="8"/>
      <c r="M141" s="1"/>
      <c r="N141" s="1"/>
      <c r="O141" s="1"/>
      <c r="P141" s="9"/>
      <c r="Q141" s="9"/>
      <c r="R141" s="8"/>
      <c r="S141" s="8"/>
      <c r="T141" s="1"/>
    </row>
    <row r="142" spans="1:20" x14ac:dyDescent="0.2">
      <c r="A142" s="14">
        <f t="shared" si="1"/>
        <v>130</v>
      </c>
      <c r="E142" s="12" t="str">
        <f>IF($C$8&gt;=A142,$E$1&amp;" "&amp;A142,"")</f>
        <v/>
      </c>
      <c r="J142" s="8"/>
      <c r="M142" s="1"/>
      <c r="N142" s="1"/>
      <c r="O142" s="1"/>
      <c r="P142" s="9"/>
      <c r="Q142" s="9"/>
      <c r="R142" s="8"/>
      <c r="S142" s="8"/>
      <c r="T142" s="1"/>
    </row>
    <row r="143" spans="1:20" x14ac:dyDescent="0.2">
      <c r="A143" s="14">
        <f t="shared" ref="A143:A206" si="2">A142+1</f>
        <v>131</v>
      </c>
      <c r="E143" s="12" t="str">
        <f>IF($C$8&gt;=A143,$E$1&amp;" "&amp;A143,"")</f>
        <v/>
      </c>
      <c r="J143" s="8"/>
      <c r="M143" s="1"/>
      <c r="N143" s="1"/>
      <c r="O143" s="1"/>
      <c r="P143" s="9"/>
      <c r="Q143" s="9"/>
      <c r="R143" s="8"/>
      <c r="S143" s="8"/>
      <c r="T143" s="1"/>
    </row>
    <row r="144" spans="1:20" x14ac:dyDescent="0.2">
      <c r="A144" s="14">
        <f t="shared" si="2"/>
        <v>132</v>
      </c>
      <c r="E144" s="12" t="str">
        <f>IF($C$8&gt;=A144,$E$1&amp;" "&amp;A144,"")</f>
        <v/>
      </c>
      <c r="J144" s="8"/>
      <c r="M144" s="1"/>
      <c r="N144" s="1"/>
      <c r="O144" s="1"/>
      <c r="P144" s="9"/>
      <c r="Q144" s="9"/>
      <c r="R144" s="8"/>
      <c r="S144" s="8"/>
      <c r="T144" s="1"/>
    </row>
    <row r="145" spans="1:20" x14ac:dyDescent="0.2">
      <c r="A145" s="14">
        <f t="shared" si="2"/>
        <v>133</v>
      </c>
      <c r="E145" s="12" t="str">
        <f>IF($C$8&gt;=A145,$E$1&amp;" "&amp;A145,"")</f>
        <v/>
      </c>
      <c r="J145" s="8"/>
      <c r="M145" s="1"/>
      <c r="N145" s="1"/>
      <c r="O145" s="1"/>
      <c r="P145" s="9"/>
      <c r="Q145" s="9"/>
      <c r="R145" s="8"/>
      <c r="S145" s="8"/>
      <c r="T145" s="1"/>
    </row>
    <row r="146" spans="1:20" x14ac:dyDescent="0.2">
      <c r="A146" s="14">
        <f t="shared" si="2"/>
        <v>134</v>
      </c>
      <c r="E146" s="12" t="str">
        <f>IF($C$8&gt;=A146,$E$1&amp;" "&amp;A146,"")</f>
        <v/>
      </c>
      <c r="J146" s="8"/>
      <c r="M146" s="1"/>
      <c r="N146" s="1"/>
      <c r="O146" s="1"/>
      <c r="P146" s="9"/>
      <c r="Q146" s="9"/>
      <c r="R146" s="8"/>
      <c r="S146" s="8"/>
      <c r="T146" s="1"/>
    </row>
    <row r="147" spans="1:20" x14ac:dyDescent="0.2">
      <c r="A147" s="14">
        <f t="shared" si="2"/>
        <v>135</v>
      </c>
      <c r="E147" s="12" t="str">
        <f>IF($C$8&gt;=A147,$E$1&amp;" "&amp;A147,"")</f>
        <v/>
      </c>
      <c r="J147" s="8"/>
      <c r="M147" s="1"/>
      <c r="N147" s="1"/>
      <c r="O147" s="1"/>
      <c r="P147" s="9"/>
      <c r="Q147" s="9"/>
      <c r="R147" s="8"/>
      <c r="S147" s="8"/>
      <c r="T147" s="1"/>
    </row>
    <row r="148" spans="1:20" x14ac:dyDescent="0.2">
      <c r="A148" s="14">
        <f t="shared" si="2"/>
        <v>136</v>
      </c>
      <c r="E148" s="12" t="str">
        <f>IF($C$8&gt;=A148,$E$1&amp;" "&amp;A148,"")</f>
        <v/>
      </c>
      <c r="J148" s="8"/>
      <c r="M148" s="1"/>
      <c r="N148" s="1"/>
      <c r="O148" s="1"/>
      <c r="P148" s="9"/>
      <c r="Q148" s="9"/>
      <c r="R148" s="8"/>
      <c r="S148" s="8"/>
      <c r="T148" s="1"/>
    </row>
    <row r="149" spans="1:20" x14ac:dyDescent="0.2">
      <c r="A149" s="14">
        <f t="shared" si="2"/>
        <v>137</v>
      </c>
      <c r="E149" s="12" t="str">
        <f>IF($C$8&gt;=A149,$E$1&amp;" "&amp;A149,"")</f>
        <v/>
      </c>
      <c r="J149" s="8"/>
      <c r="M149" s="1"/>
      <c r="N149" s="1"/>
      <c r="O149" s="1"/>
      <c r="P149" s="9"/>
      <c r="Q149" s="9"/>
      <c r="R149" s="8"/>
      <c r="S149" s="8"/>
      <c r="T149" s="1"/>
    </row>
    <row r="150" spans="1:20" x14ac:dyDescent="0.2">
      <c r="A150" s="14">
        <f t="shared" si="2"/>
        <v>138</v>
      </c>
      <c r="E150" s="12" t="str">
        <f>IF($C$8&gt;=A150,$E$1&amp;" "&amp;A150,"")</f>
        <v/>
      </c>
      <c r="J150" s="8"/>
      <c r="M150" s="1"/>
      <c r="N150" s="1"/>
      <c r="O150" s="1"/>
      <c r="P150" s="9"/>
      <c r="Q150" s="9"/>
      <c r="R150" s="8"/>
      <c r="S150" s="8"/>
      <c r="T150" s="1"/>
    </row>
    <row r="151" spans="1:20" x14ac:dyDescent="0.2">
      <c r="A151" s="14">
        <f t="shared" si="2"/>
        <v>139</v>
      </c>
      <c r="E151" s="12" t="str">
        <f>IF($C$8&gt;=A151,$E$1&amp;" "&amp;A151,"")</f>
        <v/>
      </c>
      <c r="J151" s="8"/>
      <c r="M151" s="1"/>
      <c r="N151" s="1"/>
      <c r="O151" s="1"/>
      <c r="P151" s="9"/>
      <c r="Q151" s="9"/>
      <c r="R151" s="8"/>
      <c r="S151" s="8"/>
      <c r="T151" s="1"/>
    </row>
    <row r="152" spans="1:20" x14ac:dyDescent="0.2">
      <c r="A152" s="14">
        <f t="shared" si="2"/>
        <v>140</v>
      </c>
      <c r="E152" s="12" t="str">
        <f>IF($C$8&gt;=A152,$E$1&amp;" "&amp;A152,"")</f>
        <v/>
      </c>
      <c r="J152" s="8"/>
      <c r="M152" s="1"/>
      <c r="N152" s="1"/>
      <c r="O152" s="1"/>
      <c r="P152" s="9"/>
      <c r="Q152" s="9"/>
      <c r="R152" s="8"/>
      <c r="S152" s="8"/>
      <c r="T152" s="1"/>
    </row>
    <row r="153" spans="1:20" x14ac:dyDescent="0.2">
      <c r="A153" s="14">
        <f t="shared" si="2"/>
        <v>141</v>
      </c>
      <c r="E153" s="12" t="str">
        <f>IF($C$8&gt;=A153,$E$1&amp;" "&amp;A153,"")</f>
        <v/>
      </c>
      <c r="J153" s="8"/>
      <c r="M153" s="1"/>
      <c r="N153" s="1"/>
      <c r="O153" s="1"/>
      <c r="P153" s="9"/>
      <c r="Q153" s="9"/>
      <c r="R153" s="8"/>
      <c r="S153" s="8"/>
      <c r="T153" s="1"/>
    </row>
    <row r="154" spans="1:20" x14ac:dyDescent="0.2">
      <c r="A154" s="14">
        <f t="shared" si="2"/>
        <v>142</v>
      </c>
      <c r="E154" s="12" t="str">
        <f>IF($C$8&gt;=A154,$E$1&amp;" "&amp;A154,"")</f>
        <v/>
      </c>
      <c r="J154" s="8"/>
      <c r="M154" s="1"/>
      <c r="N154" s="1"/>
      <c r="O154" s="1"/>
      <c r="P154" s="9"/>
      <c r="Q154" s="9"/>
      <c r="R154" s="8"/>
      <c r="S154" s="8"/>
      <c r="T154" s="1"/>
    </row>
    <row r="155" spans="1:20" x14ac:dyDescent="0.2">
      <c r="A155" s="14">
        <f t="shared" si="2"/>
        <v>143</v>
      </c>
      <c r="E155" s="12" t="str">
        <f>IF($C$8&gt;=A155,$E$1&amp;" "&amp;A155,"")</f>
        <v/>
      </c>
      <c r="J155" s="8"/>
      <c r="M155" s="1"/>
      <c r="N155" s="1"/>
      <c r="O155" s="1"/>
      <c r="P155" s="9"/>
      <c r="Q155" s="9"/>
      <c r="R155" s="8"/>
      <c r="S155" s="8"/>
      <c r="T155" s="1"/>
    </row>
    <row r="156" spans="1:20" x14ac:dyDescent="0.2">
      <c r="A156" s="14">
        <f t="shared" si="2"/>
        <v>144</v>
      </c>
      <c r="E156" s="12" t="str">
        <f>IF($C$8&gt;=A156,$E$1&amp;" "&amp;A156,"")</f>
        <v/>
      </c>
      <c r="J156" s="8"/>
      <c r="M156" s="1"/>
      <c r="N156" s="1"/>
      <c r="O156" s="1"/>
      <c r="P156" s="9"/>
      <c r="Q156" s="9"/>
      <c r="R156" s="8"/>
      <c r="S156" s="8"/>
      <c r="T156" s="1"/>
    </row>
    <row r="157" spans="1:20" x14ac:dyDescent="0.2">
      <c r="A157" s="14">
        <f t="shared" si="2"/>
        <v>145</v>
      </c>
      <c r="E157" s="12" t="str">
        <f>IF($C$8&gt;=A157,$E$1&amp;" "&amp;A157,"")</f>
        <v/>
      </c>
      <c r="J157" s="8"/>
      <c r="M157" s="1"/>
      <c r="N157" s="1"/>
      <c r="O157" s="1"/>
      <c r="P157" s="9"/>
      <c r="Q157" s="9"/>
      <c r="R157" s="8"/>
      <c r="S157" s="8"/>
      <c r="T157" s="1"/>
    </row>
    <row r="158" spans="1:20" x14ac:dyDescent="0.2">
      <c r="A158" s="14">
        <f t="shared" si="2"/>
        <v>146</v>
      </c>
      <c r="E158" s="12" t="str">
        <f>IF($C$8&gt;=A158,$E$1&amp;" "&amp;A158,"")</f>
        <v/>
      </c>
      <c r="J158" s="8"/>
      <c r="M158" s="1"/>
      <c r="N158" s="1"/>
      <c r="O158" s="1"/>
      <c r="P158" s="9"/>
      <c r="Q158" s="9"/>
      <c r="R158" s="8"/>
      <c r="S158" s="8"/>
      <c r="T158" s="1"/>
    </row>
    <row r="159" spans="1:20" x14ac:dyDescent="0.2">
      <c r="A159" s="14">
        <f t="shared" si="2"/>
        <v>147</v>
      </c>
      <c r="E159" s="12" t="str">
        <f>IF($C$8&gt;=A159,$E$1&amp;" "&amp;A159,"")</f>
        <v/>
      </c>
      <c r="J159" s="8"/>
      <c r="M159" s="1"/>
      <c r="N159" s="1"/>
      <c r="O159" s="1"/>
      <c r="P159" s="9"/>
      <c r="Q159" s="9"/>
      <c r="R159" s="8"/>
      <c r="S159" s="8"/>
      <c r="T159" s="1"/>
    </row>
    <row r="160" spans="1:20" x14ac:dyDescent="0.2">
      <c r="A160" s="14">
        <f t="shared" si="2"/>
        <v>148</v>
      </c>
      <c r="E160" s="12" t="str">
        <f>IF($C$8&gt;=A160,$E$1&amp;" "&amp;A160,"")</f>
        <v/>
      </c>
      <c r="J160" s="8"/>
      <c r="M160" s="1"/>
      <c r="N160" s="1"/>
      <c r="O160" s="1"/>
      <c r="P160" s="9"/>
      <c r="Q160" s="9"/>
      <c r="R160" s="8"/>
      <c r="S160" s="8"/>
      <c r="T160" s="1"/>
    </row>
    <row r="161" spans="1:20" x14ac:dyDescent="0.2">
      <c r="A161" s="14">
        <f t="shared" si="2"/>
        <v>149</v>
      </c>
      <c r="E161" s="12" t="str">
        <f>IF($C$8&gt;=A161,$E$1&amp;" "&amp;A161,"")</f>
        <v/>
      </c>
      <c r="J161" s="8"/>
      <c r="M161" s="1"/>
      <c r="N161" s="1"/>
      <c r="O161" s="1"/>
      <c r="P161" s="9"/>
      <c r="Q161" s="9"/>
      <c r="R161" s="8"/>
      <c r="S161" s="8"/>
      <c r="T161" s="1"/>
    </row>
    <row r="162" spans="1:20" x14ac:dyDescent="0.2">
      <c r="A162" s="14">
        <f t="shared" si="2"/>
        <v>150</v>
      </c>
      <c r="E162" s="12" t="str">
        <f>IF($C$8&gt;=A162,$E$1&amp;" "&amp;A162,"")</f>
        <v/>
      </c>
      <c r="J162" s="8"/>
      <c r="M162" s="1"/>
      <c r="N162" s="1"/>
      <c r="O162" s="1"/>
      <c r="P162" s="9"/>
      <c r="Q162" s="9"/>
      <c r="R162" s="8"/>
      <c r="S162" s="8"/>
      <c r="T162" s="1"/>
    </row>
    <row r="163" spans="1:20" x14ac:dyDescent="0.2">
      <c r="A163" s="14">
        <f t="shared" si="2"/>
        <v>151</v>
      </c>
      <c r="E163" s="12" t="str">
        <f>IF($C$8&gt;=A163,$E$1&amp;" "&amp;A163,"")</f>
        <v/>
      </c>
      <c r="J163" s="8"/>
      <c r="M163" s="1"/>
      <c r="N163" s="1"/>
      <c r="O163" s="1"/>
      <c r="P163" s="9"/>
      <c r="Q163" s="9"/>
      <c r="R163" s="8"/>
      <c r="S163" s="8"/>
      <c r="T163" s="1"/>
    </row>
    <row r="164" spans="1:20" x14ac:dyDescent="0.2">
      <c r="A164" s="14">
        <f t="shared" si="2"/>
        <v>152</v>
      </c>
      <c r="E164" s="12" t="str">
        <f>IF($C$8&gt;=A164,$E$1&amp;" "&amp;A164,"")</f>
        <v/>
      </c>
      <c r="J164" s="8"/>
      <c r="M164" s="1"/>
      <c r="N164" s="1"/>
      <c r="O164" s="1"/>
      <c r="P164" s="9"/>
      <c r="Q164" s="9"/>
      <c r="R164" s="8"/>
      <c r="S164" s="8"/>
      <c r="T164" s="1"/>
    </row>
    <row r="165" spans="1:20" x14ac:dyDescent="0.2">
      <c r="A165" s="14">
        <f t="shared" si="2"/>
        <v>153</v>
      </c>
      <c r="E165" s="12" t="str">
        <f>IF($C$8&gt;=A165,$E$1&amp;" "&amp;A165,"")</f>
        <v/>
      </c>
      <c r="J165" s="8"/>
      <c r="M165" s="1"/>
      <c r="N165" s="1"/>
      <c r="O165" s="1"/>
      <c r="P165" s="9"/>
      <c r="Q165" s="9"/>
      <c r="R165" s="8"/>
      <c r="S165" s="8"/>
      <c r="T165" s="1"/>
    </row>
    <row r="166" spans="1:20" x14ac:dyDescent="0.2">
      <c r="A166" s="14">
        <f t="shared" si="2"/>
        <v>154</v>
      </c>
      <c r="E166" s="12" t="str">
        <f>IF($C$8&gt;=A166,$E$1&amp;" "&amp;A166,"")</f>
        <v/>
      </c>
      <c r="J166" s="8"/>
      <c r="M166" s="1"/>
      <c r="N166" s="1"/>
      <c r="O166" s="1"/>
      <c r="P166" s="9"/>
      <c r="Q166" s="9"/>
      <c r="R166" s="8"/>
      <c r="S166" s="8"/>
      <c r="T166" s="1"/>
    </row>
    <row r="167" spans="1:20" x14ac:dyDescent="0.2">
      <c r="A167" s="14">
        <f t="shared" si="2"/>
        <v>155</v>
      </c>
      <c r="E167" s="12" t="str">
        <f>IF($C$8&gt;=A167,$E$1&amp;" "&amp;A167,"")</f>
        <v/>
      </c>
      <c r="J167" s="8"/>
      <c r="M167" s="1"/>
      <c r="N167" s="1"/>
      <c r="O167" s="1"/>
      <c r="P167" s="9"/>
      <c r="Q167" s="9"/>
      <c r="R167" s="8"/>
      <c r="S167" s="8"/>
      <c r="T167" s="1"/>
    </row>
    <row r="168" spans="1:20" x14ac:dyDescent="0.2">
      <c r="A168" s="14">
        <f t="shared" si="2"/>
        <v>156</v>
      </c>
      <c r="E168" s="12" t="str">
        <f>IF($C$8&gt;=A168,$E$1&amp;" "&amp;A168,"")</f>
        <v/>
      </c>
      <c r="J168" s="8"/>
      <c r="M168" s="1"/>
      <c r="N168" s="1"/>
      <c r="O168" s="1"/>
      <c r="P168" s="9"/>
      <c r="Q168" s="9"/>
      <c r="R168" s="8"/>
      <c r="S168" s="8"/>
      <c r="T168" s="1"/>
    </row>
    <row r="169" spans="1:20" x14ac:dyDescent="0.2">
      <c r="A169" s="14">
        <f t="shared" si="2"/>
        <v>157</v>
      </c>
      <c r="E169" s="12" t="str">
        <f>IF($C$8&gt;=A169,$E$1&amp;" "&amp;A169,"")</f>
        <v/>
      </c>
      <c r="J169" s="8"/>
      <c r="M169" s="1"/>
      <c r="N169" s="1"/>
      <c r="O169" s="1"/>
      <c r="P169" s="9"/>
      <c r="Q169" s="9"/>
      <c r="R169" s="8"/>
      <c r="S169" s="8"/>
      <c r="T169" s="1"/>
    </row>
    <row r="170" spans="1:20" x14ac:dyDescent="0.2">
      <c r="A170" s="14">
        <f t="shared" si="2"/>
        <v>158</v>
      </c>
      <c r="E170" s="12" t="str">
        <f>IF($C$8&gt;=A170,$E$1&amp;" "&amp;A170,"")</f>
        <v/>
      </c>
      <c r="J170" s="8"/>
      <c r="M170" s="1"/>
      <c r="N170" s="1"/>
      <c r="O170" s="1"/>
      <c r="P170" s="9"/>
      <c r="Q170" s="9"/>
      <c r="R170" s="8"/>
      <c r="S170" s="8"/>
      <c r="T170" s="1"/>
    </row>
    <row r="171" spans="1:20" x14ac:dyDescent="0.2">
      <c r="A171" s="14">
        <f t="shared" si="2"/>
        <v>159</v>
      </c>
      <c r="E171" s="12" t="str">
        <f>IF($C$8&gt;=A171,$E$1&amp;" "&amp;A171,"")</f>
        <v/>
      </c>
      <c r="J171" s="8"/>
      <c r="M171" s="1"/>
      <c r="N171" s="1"/>
      <c r="O171" s="1"/>
      <c r="P171" s="9"/>
      <c r="Q171" s="9"/>
      <c r="R171" s="8"/>
      <c r="S171" s="8"/>
      <c r="T171" s="1"/>
    </row>
    <row r="172" spans="1:20" x14ac:dyDescent="0.2">
      <c r="A172" s="14">
        <f t="shared" si="2"/>
        <v>160</v>
      </c>
      <c r="E172" s="12" t="str">
        <f>IF($C$8&gt;=A172,$E$1&amp;" "&amp;A172,"")</f>
        <v/>
      </c>
      <c r="J172" s="8"/>
      <c r="M172" s="1"/>
      <c r="N172" s="1"/>
      <c r="O172" s="1"/>
      <c r="P172" s="9"/>
      <c r="Q172" s="9"/>
      <c r="R172" s="8"/>
      <c r="S172" s="8"/>
      <c r="T172" s="1"/>
    </row>
    <row r="173" spans="1:20" x14ac:dyDescent="0.2">
      <c r="A173" s="14">
        <f t="shared" si="2"/>
        <v>161</v>
      </c>
      <c r="E173" s="12" t="str">
        <f>IF($C$8&gt;=A173,$E$1&amp;" "&amp;A173,"")</f>
        <v/>
      </c>
      <c r="J173" s="8"/>
      <c r="M173" s="1"/>
      <c r="N173" s="1"/>
      <c r="O173" s="1"/>
      <c r="P173" s="9"/>
      <c r="Q173" s="9"/>
      <c r="R173" s="8"/>
      <c r="S173" s="8"/>
      <c r="T173" s="1"/>
    </row>
    <row r="174" spans="1:20" x14ac:dyDescent="0.2">
      <c r="A174" s="14">
        <f t="shared" si="2"/>
        <v>162</v>
      </c>
      <c r="E174" s="12" t="str">
        <f>IF($C$8&gt;=A174,$E$1&amp;" "&amp;A174,"")</f>
        <v/>
      </c>
      <c r="J174" s="8"/>
      <c r="M174" s="1"/>
      <c r="N174" s="1"/>
      <c r="O174" s="1"/>
      <c r="P174" s="9"/>
      <c r="Q174" s="9"/>
      <c r="R174" s="8"/>
      <c r="S174" s="8"/>
      <c r="T174" s="1"/>
    </row>
    <row r="175" spans="1:20" x14ac:dyDescent="0.2">
      <c r="A175" s="14">
        <f t="shared" si="2"/>
        <v>163</v>
      </c>
      <c r="E175" s="12" t="str">
        <f>IF($C$8&gt;=A175,$E$1&amp;" "&amp;A175,"")</f>
        <v/>
      </c>
      <c r="J175" s="8"/>
      <c r="M175" s="1"/>
      <c r="N175" s="1"/>
      <c r="O175" s="1"/>
      <c r="P175" s="9"/>
      <c r="Q175" s="9"/>
      <c r="R175" s="8"/>
      <c r="S175" s="8"/>
      <c r="T175" s="1"/>
    </row>
    <row r="176" spans="1:20" x14ac:dyDescent="0.2">
      <c r="A176" s="14">
        <f t="shared" si="2"/>
        <v>164</v>
      </c>
      <c r="E176" s="12" t="str">
        <f>IF($C$8&gt;=A176,$E$1&amp;" "&amp;A176,"")</f>
        <v/>
      </c>
      <c r="J176" s="8"/>
      <c r="M176" s="1"/>
      <c r="N176" s="1"/>
      <c r="O176" s="1"/>
      <c r="P176" s="9"/>
      <c r="Q176" s="9"/>
      <c r="R176" s="8"/>
      <c r="S176" s="8"/>
      <c r="T176" s="1"/>
    </row>
    <row r="177" spans="1:20" x14ac:dyDescent="0.2">
      <c r="A177" s="14">
        <f t="shared" si="2"/>
        <v>165</v>
      </c>
      <c r="E177" s="12" t="str">
        <f>IF($C$8&gt;=A177,$E$1&amp;" "&amp;A177,"")</f>
        <v/>
      </c>
      <c r="J177" s="8"/>
      <c r="M177" s="1"/>
      <c r="N177" s="1"/>
      <c r="O177" s="1"/>
      <c r="P177" s="9"/>
      <c r="Q177" s="9"/>
      <c r="R177" s="8"/>
      <c r="S177" s="8"/>
      <c r="T177" s="1"/>
    </row>
    <row r="178" spans="1:20" x14ac:dyDescent="0.2">
      <c r="A178" s="14">
        <f t="shared" si="2"/>
        <v>166</v>
      </c>
      <c r="E178" s="12" t="str">
        <f>IF($C$8&gt;=A178,$E$1&amp;" "&amp;A178,"")</f>
        <v/>
      </c>
      <c r="J178" s="8"/>
      <c r="M178" s="1"/>
      <c r="N178" s="1"/>
      <c r="O178" s="1"/>
      <c r="P178" s="9"/>
      <c r="Q178" s="9"/>
      <c r="R178" s="8"/>
      <c r="S178" s="8"/>
      <c r="T178" s="1"/>
    </row>
    <row r="179" spans="1:20" x14ac:dyDescent="0.2">
      <c r="A179" s="14">
        <f t="shared" si="2"/>
        <v>167</v>
      </c>
      <c r="E179" s="12" t="str">
        <f>IF($C$8&gt;=A179,$E$1&amp;" "&amp;A179,"")</f>
        <v/>
      </c>
      <c r="J179" s="8"/>
      <c r="M179" s="1"/>
      <c r="N179" s="1"/>
      <c r="O179" s="1"/>
      <c r="P179" s="9"/>
      <c r="Q179" s="9"/>
      <c r="R179" s="8"/>
      <c r="S179" s="8"/>
      <c r="T179" s="1"/>
    </row>
    <row r="180" spans="1:20" x14ac:dyDescent="0.2">
      <c r="A180" s="14">
        <f t="shared" si="2"/>
        <v>168</v>
      </c>
      <c r="E180" s="12" t="str">
        <f>IF($C$8&gt;=A180,$E$1&amp;" "&amp;A180,"")</f>
        <v/>
      </c>
      <c r="J180" s="8"/>
      <c r="M180" s="1"/>
      <c r="N180" s="1"/>
      <c r="O180" s="1"/>
      <c r="P180" s="9"/>
      <c r="Q180" s="9"/>
      <c r="R180" s="8"/>
      <c r="S180" s="8"/>
      <c r="T180" s="1"/>
    </row>
    <row r="181" spans="1:20" x14ac:dyDescent="0.2">
      <c r="A181" s="14">
        <f t="shared" si="2"/>
        <v>169</v>
      </c>
      <c r="E181" s="12" t="str">
        <f>IF($C$8&gt;=A181,$E$1&amp;" "&amp;A181,"")</f>
        <v/>
      </c>
      <c r="J181" s="8"/>
      <c r="M181" s="1"/>
      <c r="N181" s="1"/>
      <c r="O181" s="1"/>
      <c r="P181" s="9"/>
      <c r="Q181" s="9"/>
      <c r="R181" s="8"/>
      <c r="S181" s="8"/>
      <c r="T181" s="1"/>
    </row>
    <row r="182" spans="1:20" x14ac:dyDescent="0.2">
      <c r="A182" s="14">
        <f t="shared" si="2"/>
        <v>170</v>
      </c>
      <c r="E182" s="12" t="str">
        <f>IF($C$8&gt;=A182,$E$1&amp;" "&amp;A182,"")</f>
        <v/>
      </c>
      <c r="J182" s="8"/>
      <c r="M182" s="1"/>
      <c r="N182" s="1"/>
      <c r="O182" s="1"/>
      <c r="P182" s="9"/>
      <c r="Q182" s="9"/>
      <c r="R182" s="8"/>
      <c r="S182" s="8"/>
      <c r="T182" s="1"/>
    </row>
    <row r="183" spans="1:20" x14ac:dyDescent="0.2">
      <c r="A183" s="14">
        <f t="shared" si="2"/>
        <v>171</v>
      </c>
      <c r="E183" s="12" t="str">
        <f>IF($C$8&gt;=A183,$E$1&amp;" "&amp;A183,"")</f>
        <v/>
      </c>
      <c r="J183" s="8"/>
      <c r="M183" s="1"/>
      <c r="N183" s="1"/>
      <c r="O183" s="1"/>
      <c r="P183" s="9"/>
      <c r="Q183" s="9"/>
      <c r="R183" s="8"/>
      <c r="S183" s="8"/>
      <c r="T183" s="1"/>
    </row>
    <row r="184" spans="1:20" x14ac:dyDescent="0.2">
      <c r="A184" s="14">
        <f t="shared" si="2"/>
        <v>172</v>
      </c>
      <c r="E184" s="12" t="str">
        <f>IF($C$8&gt;=A184,$E$1&amp;" "&amp;A184,"")</f>
        <v/>
      </c>
      <c r="J184" s="8"/>
      <c r="M184" s="1"/>
      <c r="N184" s="1"/>
      <c r="O184" s="1"/>
      <c r="P184" s="9"/>
      <c r="Q184" s="9"/>
      <c r="R184" s="8"/>
      <c r="S184" s="8"/>
      <c r="T184" s="1"/>
    </row>
    <row r="185" spans="1:20" x14ac:dyDescent="0.2">
      <c r="A185" s="14">
        <f t="shared" si="2"/>
        <v>173</v>
      </c>
      <c r="E185" s="12" t="str">
        <f>IF($C$8&gt;=A185,$E$1&amp;" "&amp;A185,"")</f>
        <v/>
      </c>
      <c r="J185" s="8"/>
      <c r="M185" s="1"/>
      <c r="N185" s="1"/>
      <c r="O185" s="1"/>
      <c r="P185" s="9"/>
      <c r="Q185" s="9"/>
      <c r="R185" s="8"/>
      <c r="S185" s="8"/>
      <c r="T185" s="1"/>
    </row>
    <row r="186" spans="1:20" x14ac:dyDescent="0.2">
      <c r="A186" s="14">
        <f t="shared" si="2"/>
        <v>174</v>
      </c>
      <c r="E186" s="12" t="str">
        <f>IF($C$8&gt;=A186,$E$1&amp;" "&amp;A186,"")</f>
        <v/>
      </c>
      <c r="J186" s="8"/>
      <c r="M186" s="1"/>
      <c r="N186" s="1"/>
      <c r="O186" s="1"/>
      <c r="P186" s="9"/>
      <c r="Q186" s="9"/>
      <c r="R186" s="8"/>
      <c r="S186" s="8"/>
      <c r="T186" s="1"/>
    </row>
    <row r="187" spans="1:20" x14ac:dyDescent="0.2">
      <c r="A187" s="14">
        <f t="shared" si="2"/>
        <v>175</v>
      </c>
      <c r="E187" s="12" t="str">
        <f>IF($C$8&gt;=A187,$E$1&amp;" "&amp;A187,"")</f>
        <v/>
      </c>
      <c r="J187" s="8"/>
      <c r="M187" s="1"/>
      <c r="N187" s="1"/>
      <c r="O187" s="1"/>
      <c r="P187" s="9"/>
      <c r="Q187" s="9"/>
      <c r="R187" s="8"/>
      <c r="S187" s="8"/>
      <c r="T187" s="1"/>
    </row>
    <row r="188" spans="1:20" x14ac:dyDescent="0.2">
      <c r="A188" s="14">
        <f t="shared" si="2"/>
        <v>176</v>
      </c>
      <c r="E188" s="12" t="str">
        <f>IF($C$8&gt;=A188,$E$1&amp;" "&amp;A188,"")</f>
        <v/>
      </c>
      <c r="J188" s="8"/>
      <c r="M188" s="1"/>
      <c r="N188" s="1"/>
      <c r="O188" s="1"/>
      <c r="P188" s="9"/>
      <c r="Q188" s="9"/>
      <c r="R188" s="8"/>
      <c r="S188" s="8"/>
      <c r="T188" s="1"/>
    </row>
    <row r="189" spans="1:20" x14ac:dyDescent="0.2">
      <c r="A189" s="14">
        <f t="shared" si="2"/>
        <v>177</v>
      </c>
      <c r="E189" s="12" t="str">
        <f>IF($C$8&gt;=A189,$E$1&amp;" "&amp;A189,"")</f>
        <v/>
      </c>
      <c r="J189" s="8"/>
      <c r="M189" s="1"/>
      <c r="N189" s="1"/>
      <c r="O189" s="1"/>
      <c r="P189" s="9"/>
      <c r="Q189" s="9"/>
      <c r="R189" s="8"/>
      <c r="S189" s="8"/>
      <c r="T189" s="1"/>
    </row>
    <row r="190" spans="1:20" x14ac:dyDescent="0.2">
      <c r="A190" s="14">
        <f t="shared" si="2"/>
        <v>178</v>
      </c>
      <c r="E190" s="12" t="str">
        <f>IF($C$8&gt;=A190,$E$1&amp;" "&amp;A190,"")</f>
        <v/>
      </c>
      <c r="J190" s="8"/>
      <c r="M190" s="1"/>
      <c r="N190" s="1"/>
      <c r="O190" s="1"/>
      <c r="P190" s="9"/>
      <c r="Q190" s="9"/>
      <c r="R190" s="8"/>
      <c r="S190" s="8"/>
      <c r="T190" s="1"/>
    </row>
    <row r="191" spans="1:20" x14ac:dyDescent="0.2">
      <c r="A191" s="14">
        <f t="shared" si="2"/>
        <v>179</v>
      </c>
      <c r="E191" s="12" t="str">
        <f>IF($C$8&gt;=A191,$E$1&amp;" "&amp;A191,"")</f>
        <v/>
      </c>
      <c r="J191" s="8"/>
      <c r="M191" s="1"/>
      <c r="N191" s="1"/>
      <c r="O191" s="1"/>
      <c r="P191" s="9"/>
      <c r="Q191" s="9"/>
      <c r="R191" s="8"/>
      <c r="S191" s="8"/>
      <c r="T191" s="1"/>
    </row>
    <row r="192" spans="1:20" x14ac:dyDescent="0.2">
      <c r="A192" s="14">
        <f t="shared" si="2"/>
        <v>180</v>
      </c>
      <c r="E192" s="12" t="str">
        <f>IF($C$8&gt;=A192,$E$1&amp;" "&amp;A192,"")</f>
        <v/>
      </c>
      <c r="J192" s="8"/>
      <c r="M192" s="1"/>
      <c r="N192" s="1"/>
      <c r="O192" s="1"/>
      <c r="P192" s="9"/>
      <c r="Q192" s="9"/>
      <c r="R192" s="8"/>
      <c r="S192" s="8"/>
      <c r="T192" s="1"/>
    </row>
    <row r="193" spans="1:20" x14ac:dyDescent="0.2">
      <c r="A193" s="14">
        <f t="shared" si="2"/>
        <v>181</v>
      </c>
      <c r="E193" s="12" t="str">
        <f>IF($C$8&gt;=A193,$E$1&amp;" "&amp;A193,"")</f>
        <v/>
      </c>
      <c r="J193" s="8"/>
      <c r="M193" s="1"/>
      <c r="N193" s="1"/>
      <c r="O193" s="1"/>
      <c r="P193" s="9"/>
      <c r="Q193" s="9"/>
      <c r="R193" s="8"/>
      <c r="S193" s="8"/>
      <c r="T193" s="1"/>
    </row>
    <row r="194" spans="1:20" x14ac:dyDescent="0.2">
      <c r="A194" s="14">
        <f t="shared" si="2"/>
        <v>182</v>
      </c>
      <c r="E194" s="12" t="str">
        <f>IF($C$8&gt;=A194,$E$1&amp;" "&amp;A194,"")</f>
        <v/>
      </c>
      <c r="J194" s="8"/>
      <c r="M194" s="1"/>
      <c r="N194" s="1"/>
      <c r="O194" s="1"/>
      <c r="P194" s="9"/>
      <c r="Q194" s="9"/>
      <c r="R194" s="8"/>
      <c r="S194" s="8"/>
      <c r="T194" s="1"/>
    </row>
    <row r="195" spans="1:20" x14ac:dyDescent="0.2">
      <c r="A195" s="14">
        <f t="shared" si="2"/>
        <v>183</v>
      </c>
      <c r="E195" s="12" t="str">
        <f>IF($C$8&gt;=A195,$E$1&amp;" "&amp;A195,"")</f>
        <v/>
      </c>
      <c r="J195" s="8"/>
      <c r="M195" s="1"/>
      <c r="N195" s="1"/>
      <c r="O195" s="1"/>
      <c r="P195" s="9"/>
      <c r="Q195" s="9"/>
      <c r="R195" s="8"/>
      <c r="S195" s="8"/>
      <c r="T195" s="1"/>
    </row>
    <row r="196" spans="1:20" x14ac:dyDescent="0.2">
      <c r="A196" s="14">
        <f t="shared" si="2"/>
        <v>184</v>
      </c>
      <c r="E196" s="12" t="str">
        <f>IF($C$8&gt;=A196,$E$1&amp;" "&amp;A196,"")</f>
        <v/>
      </c>
      <c r="J196" s="8"/>
      <c r="M196" s="1"/>
      <c r="N196" s="1"/>
      <c r="O196" s="1"/>
      <c r="P196" s="9"/>
      <c r="Q196" s="9"/>
      <c r="R196" s="8"/>
      <c r="S196" s="8"/>
      <c r="T196" s="1"/>
    </row>
    <row r="197" spans="1:20" x14ac:dyDescent="0.2">
      <c r="A197" s="14">
        <f t="shared" si="2"/>
        <v>185</v>
      </c>
      <c r="E197" s="12" t="str">
        <f>IF($C$8&gt;=A197,$E$1&amp;" "&amp;A197,"")</f>
        <v/>
      </c>
      <c r="J197" s="8"/>
      <c r="M197" s="1"/>
      <c r="N197" s="1"/>
      <c r="O197" s="1"/>
      <c r="P197" s="9"/>
      <c r="Q197" s="9"/>
      <c r="R197" s="8"/>
      <c r="S197" s="8"/>
      <c r="T197" s="1"/>
    </row>
    <row r="198" spans="1:20" x14ac:dyDescent="0.2">
      <c r="A198" s="14">
        <f t="shared" si="2"/>
        <v>186</v>
      </c>
      <c r="E198" s="12" t="str">
        <f>IF($C$8&gt;=A198,$E$1&amp;" "&amp;A198,"")</f>
        <v/>
      </c>
      <c r="J198" s="8"/>
      <c r="M198" s="1"/>
      <c r="N198" s="1"/>
      <c r="O198" s="1"/>
      <c r="P198" s="9"/>
      <c r="Q198" s="9"/>
      <c r="R198" s="8"/>
      <c r="S198" s="8"/>
      <c r="T198" s="1"/>
    </row>
    <row r="199" spans="1:20" x14ac:dyDescent="0.2">
      <c r="A199" s="14">
        <f t="shared" si="2"/>
        <v>187</v>
      </c>
      <c r="E199" s="12" t="str">
        <f>IF($C$8&gt;=A199,$E$1&amp;" "&amp;A199,"")</f>
        <v/>
      </c>
      <c r="J199" s="8"/>
      <c r="M199" s="1"/>
      <c r="N199" s="1"/>
      <c r="O199" s="1"/>
      <c r="P199" s="9"/>
      <c r="Q199" s="9"/>
      <c r="R199" s="8"/>
      <c r="S199" s="8"/>
      <c r="T199" s="1"/>
    </row>
    <row r="200" spans="1:20" x14ac:dyDescent="0.2">
      <c r="A200" s="14">
        <f t="shared" si="2"/>
        <v>188</v>
      </c>
      <c r="E200" s="12" t="str">
        <f>IF($C$8&gt;=A200,$E$1&amp;" "&amp;A200,"")</f>
        <v/>
      </c>
      <c r="J200" s="8"/>
      <c r="M200" s="1"/>
      <c r="N200" s="1"/>
      <c r="O200" s="1"/>
      <c r="P200" s="9"/>
      <c r="Q200" s="9"/>
      <c r="R200" s="8"/>
      <c r="S200" s="8"/>
      <c r="T200" s="1"/>
    </row>
    <row r="201" spans="1:20" x14ac:dyDescent="0.2">
      <c r="A201" s="14">
        <f t="shared" si="2"/>
        <v>189</v>
      </c>
      <c r="E201" s="12" t="str">
        <f>IF($C$8&gt;=A201,$E$1&amp;" "&amp;A201,"")</f>
        <v/>
      </c>
      <c r="J201" s="8"/>
      <c r="M201" s="1"/>
      <c r="N201" s="1"/>
      <c r="O201" s="1"/>
      <c r="P201" s="9"/>
      <c r="Q201" s="9"/>
      <c r="R201" s="8"/>
      <c r="S201" s="8"/>
      <c r="T201" s="1"/>
    </row>
    <row r="202" spans="1:20" x14ac:dyDescent="0.2">
      <c r="A202" s="14">
        <f t="shared" si="2"/>
        <v>190</v>
      </c>
      <c r="E202" s="12" t="str">
        <f>IF($C$8&gt;=A202,$E$1&amp;" "&amp;A202,"")</f>
        <v/>
      </c>
      <c r="J202" s="8"/>
      <c r="M202" s="1"/>
      <c r="N202" s="1"/>
      <c r="O202" s="1"/>
      <c r="P202" s="9"/>
      <c r="Q202" s="9"/>
      <c r="R202" s="8"/>
      <c r="S202" s="8"/>
      <c r="T202" s="1"/>
    </row>
    <row r="203" spans="1:20" x14ac:dyDescent="0.2">
      <c r="A203" s="14">
        <f t="shared" si="2"/>
        <v>191</v>
      </c>
      <c r="E203" s="12" t="str">
        <f>IF($C$8&gt;=A203,$E$1&amp;" "&amp;A203,"")</f>
        <v/>
      </c>
      <c r="J203" s="8"/>
      <c r="M203" s="1"/>
      <c r="N203" s="1"/>
      <c r="O203" s="1"/>
      <c r="P203" s="9"/>
      <c r="Q203" s="9"/>
      <c r="R203" s="8"/>
      <c r="S203" s="8"/>
      <c r="T203" s="1"/>
    </row>
    <row r="204" spans="1:20" x14ac:dyDescent="0.2">
      <c r="A204" s="14">
        <f t="shared" si="2"/>
        <v>192</v>
      </c>
      <c r="E204" s="12" t="str">
        <f>IF($C$8&gt;=A204,$E$1&amp;" "&amp;A204,"")</f>
        <v/>
      </c>
      <c r="J204" s="8"/>
      <c r="M204" s="1"/>
      <c r="N204" s="1"/>
      <c r="O204" s="1"/>
      <c r="P204" s="9"/>
      <c r="Q204" s="9"/>
      <c r="R204" s="8"/>
      <c r="S204" s="8"/>
      <c r="T204" s="1"/>
    </row>
    <row r="205" spans="1:20" x14ac:dyDescent="0.2">
      <c r="A205" s="14">
        <f t="shared" si="2"/>
        <v>193</v>
      </c>
      <c r="E205" s="12" t="str">
        <f>IF($C$8&gt;=A205,$E$1&amp;" "&amp;A205,"")</f>
        <v/>
      </c>
      <c r="J205" s="8"/>
      <c r="M205" s="1"/>
      <c r="N205" s="1"/>
      <c r="O205" s="1"/>
      <c r="P205" s="9"/>
      <c r="Q205" s="9"/>
      <c r="R205" s="8"/>
      <c r="S205" s="8"/>
      <c r="T205" s="1"/>
    </row>
    <row r="206" spans="1:20" x14ac:dyDescent="0.2">
      <c r="A206" s="14">
        <f t="shared" si="2"/>
        <v>194</v>
      </c>
      <c r="E206" s="12" t="str">
        <f>IF($C$8&gt;=A206,$E$1&amp;" "&amp;A206,"")</f>
        <v/>
      </c>
      <c r="J206" s="8"/>
      <c r="M206" s="1"/>
      <c r="N206" s="1"/>
      <c r="O206" s="1"/>
      <c r="P206" s="9"/>
      <c r="Q206" s="9"/>
      <c r="R206" s="8"/>
      <c r="S206" s="8"/>
      <c r="T206" s="1"/>
    </row>
    <row r="207" spans="1:20" x14ac:dyDescent="0.2">
      <c r="A207" s="14">
        <f t="shared" ref="A207:A270" si="3">A206+1</f>
        <v>195</v>
      </c>
      <c r="E207" s="12" t="str">
        <f>IF($C$8&gt;=A207,$E$1&amp;" "&amp;A207,"")</f>
        <v/>
      </c>
      <c r="J207" s="8"/>
      <c r="M207" s="1"/>
      <c r="N207" s="1"/>
      <c r="O207" s="1"/>
      <c r="P207" s="9"/>
      <c r="Q207" s="9"/>
      <c r="R207" s="8"/>
      <c r="S207" s="8"/>
      <c r="T207" s="1"/>
    </row>
    <row r="208" spans="1:20" x14ac:dyDescent="0.2">
      <c r="A208" s="14">
        <f t="shared" si="3"/>
        <v>196</v>
      </c>
      <c r="E208" s="12" t="str">
        <f>IF($C$8&gt;=A208,$E$1&amp;" "&amp;A208,"")</f>
        <v/>
      </c>
      <c r="J208" s="8"/>
      <c r="M208" s="1"/>
      <c r="N208" s="1"/>
      <c r="O208" s="1"/>
      <c r="P208" s="9"/>
      <c r="Q208" s="9"/>
      <c r="R208" s="8"/>
      <c r="S208" s="8"/>
      <c r="T208" s="1"/>
    </row>
    <row r="209" spans="1:20" x14ac:dyDescent="0.2">
      <c r="A209" s="14">
        <f t="shared" si="3"/>
        <v>197</v>
      </c>
      <c r="E209" s="12" t="str">
        <f>IF($C$8&gt;=A209,$E$1&amp;" "&amp;A209,"")</f>
        <v/>
      </c>
      <c r="J209" s="8"/>
      <c r="M209" s="1"/>
      <c r="N209" s="1"/>
      <c r="O209" s="1"/>
      <c r="P209" s="9"/>
      <c r="Q209" s="9"/>
      <c r="R209" s="8"/>
      <c r="S209" s="8"/>
      <c r="T209" s="1"/>
    </row>
    <row r="210" spans="1:20" x14ac:dyDescent="0.2">
      <c r="A210" s="14">
        <f t="shared" si="3"/>
        <v>198</v>
      </c>
      <c r="E210" s="12" t="str">
        <f>IF($C$8&gt;=A210,$E$1&amp;" "&amp;A210,"")</f>
        <v/>
      </c>
      <c r="J210" s="8"/>
      <c r="M210" s="1"/>
      <c r="N210" s="1"/>
      <c r="O210" s="1"/>
      <c r="P210" s="9"/>
      <c r="Q210" s="9"/>
      <c r="R210" s="8"/>
      <c r="S210" s="8"/>
      <c r="T210" s="1"/>
    </row>
    <row r="211" spans="1:20" x14ac:dyDescent="0.2">
      <c r="A211" s="14">
        <f t="shared" si="3"/>
        <v>199</v>
      </c>
      <c r="E211" s="12" t="str">
        <f>IF($C$8&gt;=A211,$E$1&amp;" "&amp;A211,"")</f>
        <v/>
      </c>
      <c r="J211" s="8"/>
      <c r="M211" s="1"/>
      <c r="N211" s="1"/>
      <c r="O211" s="1"/>
      <c r="P211" s="9"/>
      <c r="Q211" s="9"/>
      <c r="R211" s="8"/>
      <c r="S211" s="8"/>
      <c r="T211" s="1"/>
    </row>
    <row r="212" spans="1:20" x14ac:dyDescent="0.2">
      <c r="A212" s="14">
        <f t="shared" si="3"/>
        <v>200</v>
      </c>
      <c r="E212" s="12" t="str">
        <f>IF($C$8&gt;=A212,$E$1&amp;" "&amp;A212,"")</f>
        <v/>
      </c>
      <c r="J212" s="8"/>
      <c r="M212" s="1"/>
      <c r="N212" s="1"/>
      <c r="O212" s="1"/>
      <c r="P212" s="9"/>
      <c r="Q212" s="9"/>
      <c r="R212" s="8"/>
      <c r="S212" s="8"/>
      <c r="T212" s="1"/>
    </row>
    <row r="213" spans="1:20" x14ac:dyDescent="0.2">
      <c r="A213" s="14">
        <f t="shared" si="3"/>
        <v>201</v>
      </c>
      <c r="E213" s="12" t="str">
        <f>IF($C$8&gt;=A213,$E$1&amp;" "&amp;A213,"")</f>
        <v/>
      </c>
      <c r="J213" s="8"/>
      <c r="M213" s="1"/>
      <c r="N213" s="1"/>
      <c r="O213" s="1"/>
      <c r="P213" s="9"/>
      <c r="Q213" s="9"/>
      <c r="R213" s="8"/>
      <c r="S213" s="8"/>
      <c r="T213" s="1"/>
    </row>
    <row r="214" spans="1:20" x14ac:dyDescent="0.2">
      <c r="A214" s="14">
        <f t="shared" si="3"/>
        <v>202</v>
      </c>
      <c r="E214" s="12" t="str">
        <f>IF($C$8&gt;=A214,$E$1&amp;" "&amp;A214,"")</f>
        <v/>
      </c>
      <c r="J214" s="8"/>
      <c r="M214" s="1"/>
      <c r="N214" s="1"/>
      <c r="O214" s="1"/>
      <c r="P214" s="9"/>
      <c r="Q214" s="9"/>
      <c r="R214" s="8"/>
      <c r="S214" s="8"/>
      <c r="T214" s="1"/>
    </row>
    <row r="215" spans="1:20" x14ac:dyDescent="0.2">
      <c r="A215" s="14">
        <f t="shared" si="3"/>
        <v>203</v>
      </c>
      <c r="E215" s="12" t="str">
        <f>IF($C$8&gt;=A215,$E$1&amp;" "&amp;A215,"")</f>
        <v/>
      </c>
      <c r="J215" s="8"/>
      <c r="M215" s="1"/>
      <c r="N215" s="1"/>
      <c r="O215" s="1"/>
      <c r="P215" s="9"/>
      <c r="Q215" s="9"/>
      <c r="R215" s="8"/>
      <c r="S215" s="8"/>
      <c r="T215" s="1"/>
    </row>
    <row r="216" spans="1:20" x14ac:dyDescent="0.2">
      <c r="A216" s="14">
        <f t="shared" si="3"/>
        <v>204</v>
      </c>
      <c r="E216" s="12" t="str">
        <f>IF($C$8&gt;=A216,$E$1&amp;" "&amp;A216,"")</f>
        <v/>
      </c>
      <c r="J216" s="8"/>
      <c r="M216" s="1"/>
      <c r="N216" s="1"/>
      <c r="O216" s="1"/>
      <c r="P216" s="9"/>
      <c r="Q216" s="9"/>
      <c r="R216" s="8"/>
      <c r="S216" s="8"/>
      <c r="T216" s="1"/>
    </row>
    <row r="217" spans="1:20" x14ac:dyDescent="0.2">
      <c r="A217" s="14">
        <f t="shared" si="3"/>
        <v>205</v>
      </c>
      <c r="E217" s="12" t="str">
        <f>IF($C$8&gt;=A217,$E$1&amp;" "&amp;A217,"")</f>
        <v/>
      </c>
      <c r="J217" s="8"/>
      <c r="M217" s="1"/>
      <c r="N217" s="1"/>
      <c r="O217" s="1"/>
      <c r="P217" s="9"/>
      <c r="Q217" s="9"/>
      <c r="R217" s="8"/>
      <c r="S217" s="8"/>
      <c r="T217" s="1"/>
    </row>
    <row r="218" spans="1:20" x14ac:dyDescent="0.2">
      <c r="A218" s="14">
        <f t="shared" si="3"/>
        <v>206</v>
      </c>
      <c r="E218" s="12" t="str">
        <f>IF($C$8&gt;=A218,$E$1&amp;" "&amp;A218,"")</f>
        <v/>
      </c>
      <c r="J218" s="8"/>
      <c r="M218" s="1"/>
      <c r="N218" s="1"/>
      <c r="O218" s="1"/>
      <c r="P218" s="9"/>
      <c r="Q218" s="9"/>
      <c r="R218" s="8"/>
      <c r="S218" s="8"/>
      <c r="T218" s="1"/>
    </row>
    <row r="219" spans="1:20" x14ac:dyDescent="0.2">
      <c r="A219" s="14">
        <f t="shared" si="3"/>
        <v>207</v>
      </c>
      <c r="E219" s="12" t="str">
        <f>IF($C$8&gt;=A219,$E$1&amp;" "&amp;A219,"")</f>
        <v/>
      </c>
      <c r="J219" s="8"/>
      <c r="M219" s="1"/>
      <c r="N219" s="1"/>
      <c r="O219" s="1"/>
      <c r="P219" s="9"/>
      <c r="Q219" s="9"/>
      <c r="R219" s="8"/>
      <c r="S219" s="8"/>
      <c r="T219" s="1"/>
    </row>
    <row r="220" spans="1:20" x14ac:dyDescent="0.2">
      <c r="A220" s="14">
        <f t="shared" si="3"/>
        <v>208</v>
      </c>
      <c r="E220" s="12" t="str">
        <f>IF($C$8&gt;=A220,$E$1&amp;" "&amp;A220,"")</f>
        <v/>
      </c>
      <c r="J220" s="8"/>
      <c r="M220" s="1"/>
      <c r="N220" s="1"/>
      <c r="O220" s="1"/>
      <c r="P220" s="9"/>
      <c r="Q220" s="9"/>
      <c r="R220" s="8"/>
      <c r="S220" s="8"/>
      <c r="T220" s="1"/>
    </row>
    <row r="221" spans="1:20" x14ac:dyDescent="0.2">
      <c r="A221" s="14">
        <f t="shared" si="3"/>
        <v>209</v>
      </c>
      <c r="E221" s="12" t="str">
        <f>IF($C$8&gt;=A221,$E$1&amp;" "&amp;A221,"")</f>
        <v/>
      </c>
      <c r="J221" s="8"/>
      <c r="M221" s="1"/>
      <c r="N221" s="1"/>
      <c r="O221" s="1"/>
      <c r="P221" s="9"/>
      <c r="Q221" s="9"/>
      <c r="R221" s="8"/>
      <c r="S221" s="8"/>
      <c r="T221" s="1"/>
    </row>
    <row r="222" spans="1:20" x14ac:dyDescent="0.2">
      <c r="A222" s="14">
        <f t="shared" si="3"/>
        <v>210</v>
      </c>
      <c r="E222" s="12" t="str">
        <f>IF($C$8&gt;=A222,$E$1&amp;" "&amp;A222,"")</f>
        <v/>
      </c>
      <c r="J222" s="8"/>
      <c r="M222" s="1"/>
      <c r="N222" s="1"/>
      <c r="O222" s="1"/>
      <c r="P222" s="9"/>
      <c r="Q222" s="9"/>
      <c r="R222" s="8"/>
      <c r="S222" s="8"/>
      <c r="T222" s="1"/>
    </row>
    <row r="223" spans="1:20" x14ac:dyDescent="0.2">
      <c r="A223" s="14">
        <f t="shared" si="3"/>
        <v>211</v>
      </c>
      <c r="E223" s="12" t="str">
        <f>IF($C$8&gt;=A223,$E$1&amp;" "&amp;A223,"")</f>
        <v/>
      </c>
      <c r="J223" s="8"/>
      <c r="M223" s="1"/>
      <c r="N223" s="1"/>
      <c r="O223" s="1"/>
      <c r="P223" s="9"/>
      <c r="Q223" s="9"/>
      <c r="R223" s="8"/>
      <c r="S223" s="8"/>
      <c r="T223" s="1"/>
    </row>
    <row r="224" spans="1:20" x14ac:dyDescent="0.2">
      <c r="A224" s="14">
        <f t="shared" si="3"/>
        <v>212</v>
      </c>
      <c r="E224" s="12" t="str">
        <f>IF($C$8&gt;=A224,$E$1&amp;" "&amp;A224,"")</f>
        <v/>
      </c>
      <c r="J224" s="8"/>
      <c r="M224" s="1"/>
      <c r="N224" s="1"/>
      <c r="O224" s="1"/>
      <c r="P224" s="9"/>
      <c r="Q224" s="9"/>
      <c r="R224" s="8"/>
      <c r="S224" s="8"/>
      <c r="T224" s="1"/>
    </row>
    <row r="225" spans="1:20" x14ac:dyDescent="0.2">
      <c r="A225" s="14">
        <f t="shared" si="3"/>
        <v>213</v>
      </c>
      <c r="E225" s="12" t="str">
        <f>IF($C$8&gt;=A225,$E$1&amp;" "&amp;A225,"")</f>
        <v/>
      </c>
      <c r="J225" s="8"/>
      <c r="M225" s="1"/>
      <c r="N225" s="1"/>
      <c r="O225" s="1"/>
      <c r="P225" s="9"/>
      <c r="Q225" s="9"/>
      <c r="R225" s="8"/>
      <c r="S225" s="8"/>
      <c r="T225" s="1"/>
    </row>
    <row r="226" spans="1:20" x14ac:dyDescent="0.2">
      <c r="A226" s="14">
        <f t="shared" si="3"/>
        <v>214</v>
      </c>
      <c r="E226" s="12" t="str">
        <f>IF($C$8&gt;=A226,$E$1&amp;" "&amp;A226,"")</f>
        <v/>
      </c>
      <c r="J226" s="8"/>
      <c r="M226" s="1"/>
      <c r="N226" s="1"/>
      <c r="O226" s="1"/>
      <c r="P226" s="9"/>
      <c r="Q226" s="9"/>
      <c r="R226" s="8"/>
      <c r="S226" s="8"/>
      <c r="T226" s="1"/>
    </row>
    <row r="227" spans="1:20" x14ac:dyDescent="0.2">
      <c r="A227" s="14">
        <f t="shared" si="3"/>
        <v>215</v>
      </c>
      <c r="E227" s="12" t="str">
        <f>IF($C$8&gt;=A227,$E$1&amp;" "&amp;A227,"")</f>
        <v/>
      </c>
      <c r="J227" s="8"/>
      <c r="M227" s="1"/>
      <c r="N227" s="1"/>
      <c r="O227" s="1"/>
      <c r="P227" s="9"/>
      <c r="Q227" s="9"/>
      <c r="R227" s="8"/>
      <c r="S227" s="8"/>
      <c r="T227" s="1"/>
    </row>
    <row r="228" spans="1:20" x14ac:dyDescent="0.2">
      <c r="A228" s="14">
        <f t="shared" si="3"/>
        <v>216</v>
      </c>
      <c r="E228" s="12" t="str">
        <f>IF($C$8&gt;=A228,$E$1&amp;" "&amp;A228,"")</f>
        <v/>
      </c>
      <c r="J228" s="8"/>
      <c r="M228" s="1"/>
      <c r="N228" s="1"/>
      <c r="O228" s="1"/>
      <c r="P228" s="9"/>
      <c r="Q228" s="9"/>
      <c r="R228" s="8"/>
      <c r="S228" s="8"/>
      <c r="T228" s="1"/>
    </row>
    <row r="229" spans="1:20" x14ac:dyDescent="0.2">
      <c r="A229" s="14">
        <f t="shared" si="3"/>
        <v>217</v>
      </c>
      <c r="E229" s="12" t="str">
        <f>IF($C$8&gt;=A229,$E$1&amp;" "&amp;A229,"")</f>
        <v/>
      </c>
      <c r="J229" s="8"/>
      <c r="M229" s="1"/>
      <c r="N229" s="1"/>
      <c r="O229" s="1"/>
      <c r="P229" s="9"/>
      <c r="Q229" s="9"/>
      <c r="R229" s="8"/>
      <c r="S229" s="8"/>
      <c r="T229" s="1"/>
    </row>
    <row r="230" spans="1:20" x14ac:dyDescent="0.2">
      <c r="A230" s="14">
        <f t="shared" si="3"/>
        <v>218</v>
      </c>
      <c r="E230" s="12" t="str">
        <f>IF($C$8&gt;=A230,$E$1&amp;" "&amp;A230,"")</f>
        <v/>
      </c>
      <c r="J230" s="8"/>
      <c r="M230" s="1"/>
      <c r="N230" s="1"/>
      <c r="O230" s="1"/>
      <c r="P230" s="9"/>
      <c r="Q230" s="9"/>
      <c r="R230" s="8"/>
      <c r="S230" s="8"/>
      <c r="T230" s="1"/>
    </row>
    <row r="231" spans="1:20" x14ac:dyDescent="0.2">
      <c r="A231" s="14">
        <f t="shared" si="3"/>
        <v>219</v>
      </c>
      <c r="E231" s="12" t="str">
        <f>IF($C$8&gt;=A231,$E$1&amp;" "&amp;A231,"")</f>
        <v/>
      </c>
      <c r="J231" s="8"/>
      <c r="M231" s="1"/>
      <c r="N231" s="1"/>
      <c r="O231" s="1"/>
      <c r="P231" s="9"/>
      <c r="Q231" s="9"/>
      <c r="R231" s="8"/>
      <c r="S231" s="8"/>
      <c r="T231" s="1"/>
    </row>
    <row r="232" spans="1:20" x14ac:dyDescent="0.2">
      <c r="A232" s="14">
        <f t="shared" si="3"/>
        <v>220</v>
      </c>
      <c r="E232" s="12" t="str">
        <f>IF($C$8&gt;=A232,$E$1&amp;" "&amp;A232,"")</f>
        <v/>
      </c>
      <c r="J232" s="8"/>
      <c r="M232" s="1"/>
      <c r="N232" s="1"/>
      <c r="O232" s="1"/>
      <c r="P232" s="9"/>
      <c r="Q232" s="9"/>
      <c r="R232" s="8"/>
      <c r="S232" s="8"/>
      <c r="T232" s="1"/>
    </row>
    <row r="233" spans="1:20" x14ac:dyDescent="0.2">
      <c r="A233" s="14">
        <f t="shared" si="3"/>
        <v>221</v>
      </c>
      <c r="E233" s="12" t="str">
        <f>IF($C$8&gt;=A233,$E$1&amp;" "&amp;A233,"")</f>
        <v/>
      </c>
      <c r="J233" s="8"/>
      <c r="M233" s="1"/>
      <c r="N233" s="1"/>
      <c r="O233" s="1"/>
      <c r="P233" s="9"/>
      <c r="Q233" s="9"/>
      <c r="R233" s="8"/>
      <c r="S233" s="8"/>
      <c r="T233" s="1"/>
    </row>
    <row r="234" spans="1:20" x14ac:dyDescent="0.2">
      <c r="A234" s="14">
        <f t="shared" si="3"/>
        <v>222</v>
      </c>
      <c r="E234" s="12" t="str">
        <f>IF($C$8&gt;=A234,$E$1&amp;" "&amp;A234,"")</f>
        <v/>
      </c>
      <c r="J234" s="8"/>
      <c r="M234" s="1"/>
      <c r="N234" s="1"/>
      <c r="O234" s="1"/>
      <c r="P234" s="9"/>
      <c r="Q234" s="9"/>
      <c r="R234" s="8"/>
      <c r="S234" s="8"/>
      <c r="T234" s="1"/>
    </row>
    <row r="235" spans="1:20" x14ac:dyDescent="0.2">
      <c r="A235" s="14">
        <f t="shared" si="3"/>
        <v>223</v>
      </c>
      <c r="E235" s="12" t="str">
        <f>IF($C$8&gt;=A235,$E$1&amp;" "&amp;A235,"")</f>
        <v/>
      </c>
      <c r="J235" s="8"/>
      <c r="M235" s="1"/>
      <c r="N235" s="1"/>
      <c r="O235" s="1"/>
      <c r="P235" s="9"/>
      <c r="Q235" s="9"/>
      <c r="R235" s="8"/>
      <c r="S235" s="8"/>
      <c r="T235" s="1"/>
    </row>
    <row r="236" spans="1:20" x14ac:dyDescent="0.2">
      <c r="A236" s="14">
        <f t="shared" si="3"/>
        <v>224</v>
      </c>
      <c r="E236" s="12" t="str">
        <f>IF($C$8&gt;=A236,$E$1&amp;" "&amp;A236,"")</f>
        <v/>
      </c>
      <c r="J236" s="8"/>
      <c r="M236" s="1"/>
      <c r="N236" s="1"/>
      <c r="O236" s="1"/>
      <c r="P236" s="9"/>
      <c r="Q236" s="9"/>
      <c r="R236" s="8"/>
      <c r="S236" s="8"/>
      <c r="T236" s="1"/>
    </row>
    <row r="237" spans="1:20" x14ac:dyDescent="0.2">
      <c r="A237" s="14">
        <f t="shared" si="3"/>
        <v>225</v>
      </c>
      <c r="E237" s="12" t="str">
        <f>IF($C$8&gt;=A237,$E$1&amp;" "&amp;A237,"")</f>
        <v/>
      </c>
      <c r="J237" s="8"/>
      <c r="M237" s="1"/>
      <c r="N237" s="1"/>
      <c r="O237" s="1"/>
      <c r="P237" s="9"/>
      <c r="Q237" s="9"/>
      <c r="R237" s="8"/>
      <c r="S237" s="8"/>
      <c r="T237" s="1"/>
    </row>
    <row r="238" spans="1:20" x14ac:dyDescent="0.2">
      <c r="A238" s="14">
        <f t="shared" si="3"/>
        <v>226</v>
      </c>
      <c r="E238" s="12" t="str">
        <f>IF($C$8&gt;=A238,$E$1&amp;" "&amp;A238,"")</f>
        <v/>
      </c>
      <c r="J238" s="8"/>
      <c r="M238" s="1"/>
      <c r="N238" s="1"/>
      <c r="O238" s="1"/>
      <c r="P238" s="9"/>
      <c r="Q238" s="9"/>
      <c r="R238" s="8"/>
      <c r="S238" s="8"/>
      <c r="T238" s="1"/>
    </row>
    <row r="239" spans="1:20" x14ac:dyDescent="0.2">
      <c r="A239" s="14">
        <f t="shared" si="3"/>
        <v>227</v>
      </c>
      <c r="E239" s="12" t="str">
        <f>IF($C$8&gt;=A239,$E$1&amp;" "&amp;A239,"")</f>
        <v/>
      </c>
      <c r="J239" s="8"/>
      <c r="M239" s="1"/>
      <c r="N239" s="1"/>
      <c r="O239" s="1"/>
      <c r="P239" s="9"/>
      <c r="Q239" s="9"/>
      <c r="R239" s="8"/>
      <c r="S239" s="8"/>
      <c r="T239" s="1"/>
    </row>
    <row r="240" spans="1:20" x14ac:dyDescent="0.2">
      <c r="A240" s="14">
        <f t="shared" si="3"/>
        <v>228</v>
      </c>
      <c r="E240" s="12" t="str">
        <f>IF($C$8&gt;=A240,$E$1&amp;" "&amp;A240,"")</f>
        <v/>
      </c>
      <c r="J240" s="8"/>
      <c r="M240" s="1"/>
      <c r="N240" s="1"/>
      <c r="O240" s="1"/>
      <c r="P240" s="9"/>
      <c r="Q240" s="9"/>
      <c r="R240" s="8"/>
      <c r="S240" s="8"/>
      <c r="T240" s="1"/>
    </row>
    <row r="241" spans="1:20" x14ac:dyDescent="0.2">
      <c r="A241" s="14">
        <f t="shared" si="3"/>
        <v>229</v>
      </c>
      <c r="E241" s="12" t="str">
        <f>IF($C$8&gt;=A241,$E$1&amp;" "&amp;A241,"")</f>
        <v/>
      </c>
      <c r="J241" s="8"/>
      <c r="M241" s="1"/>
      <c r="N241" s="1"/>
      <c r="O241" s="1"/>
      <c r="P241" s="9"/>
      <c r="Q241" s="9"/>
      <c r="R241" s="8"/>
      <c r="S241" s="8"/>
      <c r="T241" s="1"/>
    </row>
    <row r="242" spans="1:20" x14ac:dyDescent="0.2">
      <c r="A242" s="14">
        <f t="shared" si="3"/>
        <v>230</v>
      </c>
      <c r="E242" s="12" t="str">
        <f>IF($C$8&gt;=A242,$E$1&amp;" "&amp;A242,"")</f>
        <v/>
      </c>
      <c r="J242" s="8"/>
      <c r="M242" s="1"/>
      <c r="N242" s="1"/>
      <c r="O242" s="1"/>
      <c r="P242" s="9"/>
      <c r="Q242" s="9"/>
      <c r="R242" s="8"/>
      <c r="S242" s="8"/>
      <c r="T242" s="1"/>
    </row>
    <row r="243" spans="1:20" x14ac:dyDescent="0.2">
      <c r="A243" s="14">
        <f t="shared" si="3"/>
        <v>231</v>
      </c>
      <c r="E243" s="12" t="str">
        <f>IF($C$8&gt;=A243,$E$1&amp;" "&amp;A243,"")</f>
        <v/>
      </c>
      <c r="J243" s="8"/>
      <c r="M243" s="1"/>
      <c r="N243" s="1"/>
      <c r="O243" s="1"/>
      <c r="P243" s="9"/>
      <c r="Q243" s="9"/>
      <c r="R243" s="8"/>
      <c r="S243" s="8"/>
      <c r="T243" s="1"/>
    </row>
    <row r="244" spans="1:20" x14ac:dyDescent="0.2">
      <c r="A244" s="14">
        <f t="shared" si="3"/>
        <v>232</v>
      </c>
      <c r="E244" s="12" t="str">
        <f>IF($C$8&gt;=A244,$E$1&amp;" "&amp;A244,"")</f>
        <v/>
      </c>
      <c r="J244" s="8"/>
      <c r="M244" s="1"/>
      <c r="N244" s="1"/>
      <c r="O244" s="1"/>
      <c r="P244" s="9"/>
      <c r="Q244" s="9"/>
      <c r="R244" s="8"/>
      <c r="S244" s="8"/>
      <c r="T244" s="1"/>
    </row>
    <row r="245" spans="1:20" x14ac:dyDescent="0.2">
      <c r="A245" s="14">
        <f t="shared" si="3"/>
        <v>233</v>
      </c>
      <c r="E245" s="12" t="str">
        <f>IF($C$8&gt;=A245,$E$1&amp;" "&amp;A245,"")</f>
        <v/>
      </c>
      <c r="J245" s="8"/>
      <c r="M245" s="1"/>
      <c r="N245" s="1"/>
      <c r="O245" s="1"/>
      <c r="P245" s="9"/>
      <c r="Q245" s="9"/>
      <c r="R245" s="8"/>
      <c r="S245" s="8"/>
      <c r="T245" s="1"/>
    </row>
    <row r="246" spans="1:20" x14ac:dyDescent="0.2">
      <c r="A246" s="14">
        <f t="shared" si="3"/>
        <v>234</v>
      </c>
      <c r="E246" s="12" t="str">
        <f>IF($C$8&gt;=A246,$E$1&amp;" "&amp;A246,"")</f>
        <v/>
      </c>
      <c r="J246" s="8"/>
      <c r="M246" s="1"/>
      <c r="N246" s="1"/>
      <c r="O246" s="1"/>
      <c r="P246" s="9"/>
      <c r="Q246" s="9"/>
      <c r="R246" s="8"/>
      <c r="S246" s="8"/>
      <c r="T246" s="1"/>
    </row>
    <row r="247" spans="1:20" x14ac:dyDescent="0.2">
      <c r="A247" s="14">
        <f t="shared" si="3"/>
        <v>235</v>
      </c>
      <c r="E247" s="12" t="str">
        <f>IF($C$8&gt;=A247,$E$1&amp;" "&amp;A247,"")</f>
        <v/>
      </c>
      <c r="J247" s="8"/>
      <c r="M247" s="1"/>
      <c r="N247" s="1"/>
      <c r="O247" s="1"/>
      <c r="P247" s="9"/>
      <c r="Q247" s="9"/>
      <c r="R247" s="8"/>
      <c r="S247" s="8"/>
      <c r="T247" s="1"/>
    </row>
    <row r="248" spans="1:20" x14ac:dyDescent="0.2">
      <c r="A248" s="14">
        <f t="shared" si="3"/>
        <v>236</v>
      </c>
      <c r="E248" s="12" t="str">
        <f>IF($C$8&gt;=A248,$E$1&amp;" "&amp;A248,"")</f>
        <v/>
      </c>
      <c r="J248" s="8"/>
      <c r="M248" s="1"/>
      <c r="N248" s="1"/>
      <c r="O248" s="1"/>
      <c r="P248" s="9"/>
      <c r="Q248" s="9"/>
      <c r="R248" s="8"/>
      <c r="S248" s="8"/>
      <c r="T248" s="1"/>
    </row>
    <row r="249" spans="1:20" x14ac:dyDescent="0.2">
      <c r="A249" s="14">
        <f t="shared" si="3"/>
        <v>237</v>
      </c>
      <c r="E249" s="12" t="str">
        <f>IF($C$8&gt;=A249,$E$1&amp;" "&amp;A249,"")</f>
        <v/>
      </c>
      <c r="J249" s="8"/>
      <c r="M249" s="1"/>
      <c r="N249" s="1"/>
      <c r="O249" s="1"/>
      <c r="P249" s="9"/>
      <c r="Q249" s="9"/>
      <c r="R249" s="8"/>
      <c r="S249" s="8"/>
      <c r="T249" s="1"/>
    </row>
    <row r="250" spans="1:20" x14ac:dyDescent="0.2">
      <c r="A250" s="14">
        <f t="shared" si="3"/>
        <v>238</v>
      </c>
      <c r="E250" s="12" t="str">
        <f>IF($C$8&gt;=A250,$E$1&amp;" "&amp;A250,"")</f>
        <v/>
      </c>
      <c r="J250" s="8"/>
      <c r="M250" s="1"/>
      <c r="N250" s="1"/>
      <c r="O250" s="1"/>
      <c r="P250" s="9"/>
      <c r="Q250" s="9"/>
      <c r="R250" s="8"/>
      <c r="S250" s="8"/>
      <c r="T250" s="1"/>
    </row>
    <row r="251" spans="1:20" x14ac:dyDescent="0.2">
      <c r="A251" s="14">
        <f t="shared" si="3"/>
        <v>239</v>
      </c>
      <c r="E251" s="12" t="str">
        <f>IF($C$8&gt;=A251,$E$1&amp;" "&amp;A251,"")</f>
        <v/>
      </c>
      <c r="J251" s="8"/>
      <c r="M251" s="1"/>
      <c r="N251" s="1"/>
      <c r="O251" s="1"/>
      <c r="P251" s="9"/>
      <c r="Q251" s="9"/>
      <c r="R251" s="8"/>
      <c r="S251" s="8"/>
      <c r="T251" s="1"/>
    </row>
    <row r="252" spans="1:20" x14ac:dyDescent="0.2">
      <c r="A252" s="14">
        <f t="shared" si="3"/>
        <v>240</v>
      </c>
      <c r="E252" s="12" t="str">
        <f>IF($C$8&gt;=A252,$E$1&amp;" "&amp;A252,"")</f>
        <v/>
      </c>
      <c r="J252" s="8"/>
      <c r="M252" s="1"/>
      <c r="N252" s="1"/>
      <c r="O252" s="1"/>
      <c r="P252" s="9"/>
      <c r="Q252" s="9"/>
      <c r="R252" s="8"/>
      <c r="S252" s="8"/>
      <c r="T252" s="1"/>
    </row>
    <row r="253" spans="1:20" x14ac:dyDescent="0.2">
      <c r="A253" s="14">
        <f t="shared" si="3"/>
        <v>241</v>
      </c>
      <c r="E253" s="12" t="str">
        <f>IF($C$8&gt;=A253,$E$1&amp;" "&amp;A253,"")</f>
        <v/>
      </c>
      <c r="J253" s="8"/>
      <c r="M253" s="1"/>
      <c r="N253" s="1"/>
      <c r="O253" s="1"/>
      <c r="P253" s="9"/>
      <c r="Q253" s="9"/>
      <c r="R253" s="8"/>
      <c r="S253" s="8"/>
      <c r="T253" s="1"/>
    </row>
    <row r="254" spans="1:20" x14ac:dyDescent="0.2">
      <c r="A254" s="14">
        <f t="shared" si="3"/>
        <v>242</v>
      </c>
      <c r="E254" s="12" t="str">
        <f>IF($C$8&gt;=A254,$E$1&amp;" "&amp;A254,"")</f>
        <v/>
      </c>
      <c r="J254" s="8"/>
      <c r="M254" s="1"/>
      <c r="N254" s="1"/>
      <c r="O254" s="1"/>
      <c r="P254" s="9"/>
      <c r="Q254" s="9"/>
      <c r="R254" s="8"/>
      <c r="S254" s="8"/>
      <c r="T254" s="1"/>
    </row>
    <row r="255" spans="1:20" x14ac:dyDescent="0.2">
      <c r="A255" s="14">
        <f t="shared" si="3"/>
        <v>243</v>
      </c>
      <c r="E255" s="12" t="str">
        <f>IF($C$8&gt;=A255,$E$1&amp;" "&amp;A255,"")</f>
        <v/>
      </c>
      <c r="J255" s="8"/>
      <c r="M255" s="1"/>
      <c r="N255" s="1"/>
      <c r="O255" s="1"/>
      <c r="P255" s="9"/>
      <c r="Q255" s="9"/>
      <c r="R255" s="8"/>
      <c r="S255" s="8"/>
      <c r="T255" s="1"/>
    </row>
    <row r="256" spans="1:20" x14ac:dyDescent="0.2">
      <c r="A256" s="14">
        <f t="shared" si="3"/>
        <v>244</v>
      </c>
      <c r="E256" s="12" t="str">
        <f>IF($C$8&gt;=A256,$E$1&amp;" "&amp;A256,"")</f>
        <v/>
      </c>
      <c r="J256" s="8"/>
      <c r="M256" s="1"/>
      <c r="N256" s="1"/>
      <c r="O256" s="1"/>
      <c r="P256" s="9"/>
      <c r="Q256" s="9"/>
      <c r="R256" s="8"/>
      <c r="S256" s="8"/>
      <c r="T256" s="1"/>
    </row>
    <row r="257" spans="1:20" x14ac:dyDescent="0.2">
      <c r="A257" s="14">
        <f t="shared" si="3"/>
        <v>245</v>
      </c>
      <c r="E257" s="12" t="str">
        <f>IF($C$8&gt;=A257,$E$1&amp;" "&amp;A257,"")</f>
        <v/>
      </c>
      <c r="J257" s="8"/>
      <c r="M257" s="1"/>
      <c r="N257" s="1"/>
      <c r="O257" s="1"/>
      <c r="P257" s="9"/>
      <c r="Q257" s="9"/>
      <c r="R257" s="8"/>
      <c r="S257" s="8"/>
      <c r="T257" s="1"/>
    </row>
    <row r="258" spans="1:20" x14ac:dyDescent="0.2">
      <c r="A258" s="14">
        <f t="shared" si="3"/>
        <v>246</v>
      </c>
      <c r="E258" s="12" t="str">
        <f>IF($C$8&gt;=A258,$E$1&amp;" "&amp;A258,"")</f>
        <v/>
      </c>
      <c r="J258" s="8"/>
      <c r="M258" s="1"/>
      <c r="N258" s="1"/>
      <c r="O258" s="1"/>
      <c r="P258" s="9"/>
      <c r="Q258" s="9"/>
      <c r="R258" s="8"/>
      <c r="S258" s="8"/>
      <c r="T258" s="1"/>
    </row>
    <row r="259" spans="1:20" x14ac:dyDescent="0.2">
      <c r="A259" s="14">
        <f t="shared" si="3"/>
        <v>247</v>
      </c>
      <c r="E259" s="12" t="str">
        <f>IF($C$8&gt;=A259,$E$1&amp;" "&amp;A259,"")</f>
        <v/>
      </c>
      <c r="J259" s="8"/>
      <c r="M259" s="1"/>
      <c r="N259" s="1"/>
      <c r="O259" s="1"/>
      <c r="P259" s="9"/>
      <c r="Q259" s="9"/>
      <c r="R259" s="8"/>
      <c r="S259" s="8"/>
      <c r="T259" s="1"/>
    </row>
    <row r="260" spans="1:20" x14ac:dyDescent="0.2">
      <c r="A260" s="14">
        <f t="shared" si="3"/>
        <v>248</v>
      </c>
      <c r="E260" s="12" t="str">
        <f>IF($C$8&gt;=A260,$E$1&amp;" "&amp;A260,"")</f>
        <v/>
      </c>
      <c r="J260" s="8"/>
      <c r="M260" s="1"/>
      <c r="N260" s="1"/>
      <c r="O260" s="1"/>
      <c r="P260" s="9"/>
      <c r="Q260" s="9"/>
      <c r="R260" s="8"/>
      <c r="S260" s="8"/>
      <c r="T260" s="1"/>
    </row>
    <row r="261" spans="1:20" x14ac:dyDescent="0.2">
      <c r="A261" s="14">
        <f t="shared" si="3"/>
        <v>249</v>
      </c>
      <c r="E261" s="12" t="str">
        <f>IF($C$8&gt;=A261,$E$1&amp;" "&amp;A261,"")</f>
        <v/>
      </c>
      <c r="J261" s="8"/>
      <c r="M261" s="1"/>
      <c r="N261" s="1"/>
      <c r="O261" s="1"/>
      <c r="P261" s="9"/>
      <c r="Q261" s="9"/>
      <c r="R261" s="8"/>
      <c r="S261" s="8"/>
      <c r="T261" s="1"/>
    </row>
    <row r="262" spans="1:20" x14ac:dyDescent="0.2">
      <c r="A262" s="14">
        <f t="shared" si="3"/>
        <v>250</v>
      </c>
      <c r="E262" s="12" t="str">
        <f>IF($C$8&gt;=A262,$E$1&amp;" "&amp;A262,"")</f>
        <v/>
      </c>
      <c r="J262" s="8"/>
      <c r="M262" s="1"/>
      <c r="N262" s="1"/>
      <c r="O262" s="1"/>
      <c r="P262" s="9"/>
      <c r="Q262" s="9"/>
      <c r="R262" s="8"/>
      <c r="S262" s="8"/>
      <c r="T262" s="1"/>
    </row>
    <row r="263" spans="1:20" x14ac:dyDescent="0.2">
      <c r="A263" s="14">
        <f t="shared" si="3"/>
        <v>251</v>
      </c>
      <c r="E263" s="12" t="str">
        <f>IF($C$8&gt;=A263,$E$1&amp;" "&amp;A263,"")</f>
        <v/>
      </c>
      <c r="J263" s="8"/>
      <c r="M263" s="1"/>
      <c r="N263" s="1"/>
      <c r="O263" s="1"/>
      <c r="P263" s="9"/>
      <c r="Q263" s="9"/>
      <c r="R263" s="8"/>
      <c r="S263" s="8"/>
      <c r="T263" s="1"/>
    </row>
    <row r="264" spans="1:20" x14ac:dyDescent="0.2">
      <c r="A264" s="14">
        <f t="shared" si="3"/>
        <v>252</v>
      </c>
      <c r="E264" s="12" t="str">
        <f>IF($C$8&gt;=A264,$E$1&amp;" "&amp;A264,"")</f>
        <v/>
      </c>
      <c r="J264" s="8"/>
      <c r="M264" s="1"/>
      <c r="N264" s="1"/>
      <c r="O264" s="1"/>
      <c r="P264" s="9"/>
      <c r="Q264" s="9"/>
      <c r="R264" s="8"/>
      <c r="S264" s="8"/>
      <c r="T264" s="1"/>
    </row>
    <row r="265" spans="1:20" x14ac:dyDescent="0.2">
      <c r="A265" s="14">
        <f t="shared" si="3"/>
        <v>253</v>
      </c>
      <c r="E265" s="12" t="str">
        <f>IF($C$8&gt;=A265,$E$1&amp;" "&amp;A265,"")</f>
        <v/>
      </c>
      <c r="J265" s="8"/>
      <c r="M265" s="1"/>
      <c r="N265" s="1"/>
      <c r="O265" s="1"/>
      <c r="P265" s="9"/>
      <c r="Q265" s="9"/>
      <c r="R265" s="8"/>
      <c r="S265" s="8"/>
      <c r="T265" s="1"/>
    </row>
    <row r="266" spans="1:20" x14ac:dyDescent="0.2">
      <c r="A266" s="14">
        <f t="shared" si="3"/>
        <v>254</v>
      </c>
      <c r="E266" s="12" t="str">
        <f>IF($C$8&gt;=A266,$E$1&amp;" "&amp;A266,"")</f>
        <v/>
      </c>
      <c r="J266" s="8"/>
      <c r="M266" s="1"/>
      <c r="N266" s="1"/>
      <c r="O266" s="1"/>
      <c r="P266" s="9"/>
      <c r="Q266" s="9"/>
      <c r="R266" s="8"/>
      <c r="S266" s="8"/>
      <c r="T266" s="1"/>
    </row>
    <row r="267" spans="1:20" x14ac:dyDescent="0.2">
      <c r="A267" s="14">
        <f t="shared" si="3"/>
        <v>255</v>
      </c>
      <c r="E267" s="12" t="str">
        <f>IF($C$8&gt;=A267,$E$1&amp;" "&amp;A267,"")</f>
        <v/>
      </c>
      <c r="J267" s="8"/>
      <c r="M267" s="1"/>
      <c r="N267" s="1"/>
      <c r="O267" s="1"/>
      <c r="P267" s="9"/>
      <c r="Q267" s="9"/>
      <c r="R267" s="8"/>
      <c r="S267" s="8"/>
      <c r="T267" s="1"/>
    </row>
    <row r="268" spans="1:20" x14ac:dyDescent="0.2">
      <c r="A268" s="14">
        <f t="shared" si="3"/>
        <v>256</v>
      </c>
      <c r="E268" s="12" t="str">
        <f>IF($C$8&gt;=A268,$E$1&amp;" "&amp;A268,"")</f>
        <v/>
      </c>
      <c r="J268" s="8"/>
      <c r="M268" s="1"/>
      <c r="N268" s="1"/>
      <c r="O268" s="1"/>
      <c r="P268" s="9"/>
      <c r="Q268" s="9"/>
      <c r="R268" s="8"/>
      <c r="S268" s="8"/>
      <c r="T268" s="1"/>
    </row>
    <row r="269" spans="1:20" x14ac:dyDescent="0.2">
      <c r="A269" s="14">
        <f t="shared" si="3"/>
        <v>257</v>
      </c>
      <c r="E269" s="12" t="str">
        <f>IF($C$8&gt;=A269,$E$1&amp;" "&amp;A269,"")</f>
        <v/>
      </c>
      <c r="J269" s="8"/>
      <c r="M269" s="1"/>
      <c r="N269" s="1"/>
      <c r="O269" s="1"/>
      <c r="P269" s="9"/>
      <c r="Q269" s="9"/>
      <c r="R269" s="8"/>
      <c r="S269" s="8"/>
      <c r="T269" s="1"/>
    </row>
    <row r="270" spans="1:20" x14ac:dyDescent="0.2">
      <c r="A270" s="14">
        <f t="shared" si="3"/>
        <v>258</v>
      </c>
      <c r="E270" s="12" t="str">
        <f>IF($C$8&gt;=A270,$E$1&amp;" "&amp;A270,"")</f>
        <v/>
      </c>
      <c r="J270" s="8"/>
      <c r="M270" s="1"/>
      <c r="N270" s="1"/>
      <c r="O270" s="1"/>
      <c r="P270" s="9"/>
      <c r="Q270" s="9"/>
      <c r="R270" s="8"/>
      <c r="S270" s="8"/>
      <c r="T270" s="1"/>
    </row>
    <row r="271" spans="1:20" x14ac:dyDescent="0.2">
      <c r="A271" s="14">
        <f t="shared" ref="A271:A334" si="4">A270+1</f>
        <v>259</v>
      </c>
      <c r="E271" s="12" t="str">
        <f>IF($C$8&gt;=A271,$E$1&amp;" "&amp;A271,"")</f>
        <v/>
      </c>
      <c r="J271" s="8"/>
      <c r="M271" s="1"/>
      <c r="N271" s="1"/>
      <c r="O271" s="1"/>
      <c r="P271" s="9"/>
      <c r="Q271" s="9"/>
      <c r="R271" s="8"/>
      <c r="S271" s="8"/>
      <c r="T271" s="1"/>
    </row>
    <row r="272" spans="1:20" x14ac:dyDescent="0.2">
      <c r="A272" s="14">
        <f t="shared" si="4"/>
        <v>260</v>
      </c>
      <c r="E272" s="12" t="str">
        <f>IF($C$8&gt;=A272,$E$1&amp;" "&amp;A272,"")</f>
        <v/>
      </c>
      <c r="J272" s="8"/>
      <c r="M272" s="1"/>
      <c r="N272" s="1"/>
      <c r="O272" s="1"/>
      <c r="P272" s="9"/>
      <c r="Q272" s="9"/>
      <c r="R272" s="8"/>
      <c r="S272" s="8"/>
      <c r="T272" s="1"/>
    </row>
    <row r="273" spans="1:20" x14ac:dyDescent="0.2">
      <c r="A273" s="14">
        <f t="shared" si="4"/>
        <v>261</v>
      </c>
      <c r="E273" s="12" t="str">
        <f>IF($C$8&gt;=A273,$E$1&amp;" "&amp;A273,"")</f>
        <v/>
      </c>
      <c r="J273" s="8"/>
      <c r="M273" s="1"/>
      <c r="N273" s="1"/>
      <c r="O273" s="1"/>
      <c r="P273" s="9"/>
      <c r="Q273" s="9"/>
      <c r="R273" s="8"/>
      <c r="S273" s="8"/>
      <c r="T273" s="1"/>
    </row>
    <row r="274" spans="1:20" x14ac:dyDescent="0.2">
      <c r="A274" s="14">
        <f t="shared" si="4"/>
        <v>262</v>
      </c>
      <c r="E274" s="12" t="str">
        <f>IF($C$8&gt;=A274,$E$1&amp;" "&amp;A274,"")</f>
        <v/>
      </c>
      <c r="J274" s="8"/>
      <c r="M274" s="1"/>
      <c r="N274" s="1"/>
      <c r="O274" s="1"/>
      <c r="P274" s="9"/>
      <c r="Q274" s="9"/>
      <c r="R274" s="8"/>
      <c r="S274" s="8"/>
      <c r="T274" s="1"/>
    </row>
    <row r="275" spans="1:20" x14ac:dyDescent="0.2">
      <c r="A275" s="14">
        <f t="shared" si="4"/>
        <v>263</v>
      </c>
      <c r="E275" s="12" t="str">
        <f>IF($C$8&gt;=A275,$E$1&amp;" "&amp;A275,"")</f>
        <v/>
      </c>
      <c r="J275" s="8"/>
      <c r="M275" s="1"/>
      <c r="N275" s="1"/>
      <c r="O275" s="1"/>
      <c r="P275" s="9"/>
      <c r="Q275" s="9"/>
      <c r="R275" s="8"/>
      <c r="S275" s="8"/>
      <c r="T275" s="1"/>
    </row>
    <row r="276" spans="1:20" x14ac:dyDescent="0.2">
      <c r="A276" s="14">
        <f t="shared" si="4"/>
        <v>264</v>
      </c>
      <c r="E276" s="12" t="str">
        <f>IF($C$8&gt;=A276,$E$1&amp;" "&amp;A276,"")</f>
        <v/>
      </c>
      <c r="J276" s="8"/>
      <c r="M276" s="1"/>
      <c r="N276" s="1"/>
      <c r="O276" s="1"/>
      <c r="P276" s="9"/>
      <c r="Q276" s="9"/>
      <c r="R276" s="8"/>
      <c r="S276" s="8"/>
      <c r="T276" s="1"/>
    </row>
    <row r="277" spans="1:20" x14ac:dyDescent="0.2">
      <c r="A277" s="14">
        <f t="shared" si="4"/>
        <v>265</v>
      </c>
      <c r="E277" s="12" t="str">
        <f>IF($C$8&gt;=A277,$E$1&amp;" "&amp;A277,"")</f>
        <v/>
      </c>
      <c r="J277" s="8"/>
      <c r="M277" s="1"/>
      <c r="N277" s="1"/>
      <c r="O277" s="1"/>
      <c r="P277" s="9"/>
      <c r="Q277" s="9"/>
      <c r="R277" s="8"/>
      <c r="S277" s="8"/>
      <c r="T277" s="1"/>
    </row>
    <row r="278" spans="1:20" x14ac:dyDescent="0.2">
      <c r="A278" s="14">
        <f t="shared" si="4"/>
        <v>266</v>
      </c>
      <c r="E278" s="12" t="str">
        <f>IF($C$8&gt;=A278,$E$1&amp;" "&amp;A278,"")</f>
        <v/>
      </c>
      <c r="J278" s="8"/>
      <c r="M278" s="1"/>
      <c r="N278" s="1"/>
      <c r="O278" s="1"/>
      <c r="P278" s="9"/>
      <c r="Q278" s="9"/>
      <c r="R278" s="8"/>
      <c r="S278" s="8"/>
      <c r="T278" s="1"/>
    </row>
    <row r="279" spans="1:20" x14ac:dyDescent="0.2">
      <c r="A279" s="14">
        <f t="shared" si="4"/>
        <v>267</v>
      </c>
      <c r="E279" s="12" t="str">
        <f>IF($C$8&gt;=A279,$E$1&amp;" "&amp;A279,"")</f>
        <v/>
      </c>
      <c r="J279" s="8"/>
      <c r="M279" s="1"/>
      <c r="N279" s="1"/>
      <c r="O279" s="1"/>
      <c r="P279" s="9"/>
      <c r="Q279" s="9"/>
      <c r="R279" s="8"/>
      <c r="S279" s="8"/>
      <c r="T279" s="1"/>
    </row>
    <row r="280" spans="1:20" x14ac:dyDescent="0.2">
      <c r="A280" s="14">
        <f t="shared" si="4"/>
        <v>268</v>
      </c>
      <c r="E280" s="12" t="str">
        <f>IF($C$8&gt;=A280,$E$1&amp;" "&amp;A280,"")</f>
        <v/>
      </c>
      <c r="J280" s="8"/>
      <c r="M280" s="1"/>
      <c r="N280" s="1"/>
      <c r="O280" s="1"/>
      <c r="P280" s="9"/>
      <c r="Q280" s="9"/>
      <c r="R280" s="8"/>
      <c r="S280" s="8"/>
      <c r="T280" s="1"/>
    </row>
    <row r="281" spans="1:20" x14ac:dyDescent="0.2">
      <c r="A281" s="14">
        <f t="shared" si="4"/>
        <v>269</v>
      </c>
      <c r="E281" s="12" t="str">
        <f>IF($C$8&gt;=A281,$E$1&amp;" "&amp;A281,"")</f>
        <v/>
      </c>
      <c r="J281" s="8"/>
      <c r="M281" s="1"/>
      <c r="N281" s="1"/>
      <c r="O281" s="1"/>
      <c r="P281" s="9"/>
      <c r="Q281" s="9"/>
      <c r="R281" s="8"/>
      <c r="S281" s="8"/>
      <c r="T281" s="1"/>
    </row>
    <row r="282" spans="1:20" x14ac:dyDescent="0.2">
      <c r="A282" s="14">
        <f t="shared" si="4"/>
        <v>270</v>
      </c>
      <c r="E282" s="12" t="str">
        <f>IF($C$8&gt;=A282,$E$1&amp;" "&amp;A282,"")</f>
        <v/>
      </c>
      <c r="J282" s="8"/>
      <c r="M282" s="1"/>
      <c r="N282" s="1"/>
      <c r="O282" s="1"/>
      <c r="P282" s="9"/>
      <c r="Q282" s="9"/>
      <c r="R282" s="8"/>
      <c r="S282" s="8"/>
      <c r="T282" s="1"/>
    </row>
    <row r="283" spans="1:20" x14ac:dyDescent="0.2">
      <c r="A283" s="14">
        <f t="shared" si="4"/>
        <v>271</v>
      </c>
      <c r="E283" s="12" t="str">
        <f>IF($C$8&gt;=A283,$E$1&amp;" "&amp;A283,"")</f>
        <v/>
      </c>
      <c r="J283" s="8"/>
      <c r="M283" s="1"/>
      <c r="N283" s="1"/>
      <c r="O283" s="1"/>
      <c r="P283" s="9"/>
      <c r="Q283" s="9"/>
      <c r="R283" s="8"/>
      <c r="S283" s="8"/>
      <c r="T283" s="1"/>
    </row>
    <row r="284" spans="1:20" x14ac:dyDescent="0.2">
      <c r="A284" s="14">
        <f t="shared" si="4"/>
        <v>272</v>
      </c>
      <c r="E284" s="12" t="str">
        <f>IF($C$8&gt;=A284,$E$1&amp;" "&amp;A284,"")</f>
        <v/>
      </c>
      <c r="J284" s="8"/>
      <c r="M284" s="1"/>
      <c r="N284" s="1"/>
      <c r="O284" s="1"/>
      <c r="P284" s="9"/>
      <c r="Q284" s="9"/>
      <c r="R284" s="8"/>
      <c r="S284" s="8"/>
      <c r="T284" s="1"/>
    </row>
    <row r="285" spans="1:20" x14ac:dyDescent="0.2">
      <c r="A285" s="14">
        <f t="shared" si="4"/>
        <v>273</v>
      </c>
      <c r="E285" s="12" t="str">
        <f>IF($C$8&gt;=A285,$E$1&amp;" "&amp;A285,"")</f>
        <v/>
      </c>
      <c r="J285" s="8"/>
      <c r="M285" s="1"/>
      <c r="N285" s="1"/>
      <c r="O285" s="1"/>
      <c r="P285" s="9"/>
      <c r="Q285" s="9"/>
      <c r="R285" s="8"/>
      <c r="S285" s="8"/>
      <c r="T285" s="1"/>
    </row>
    <row r="286" spans="1:20" x14ac:dyDescent="0.2">
      <c r="A286" s="14">
        <f t="shared" si="4"/>
        <v>274</v>
      </c>
      <c r="E286" s="12" t="str">
        <f>IF($C$8&gt;=A286,$E$1&amp;" "&amp;A286,"")</f>
        <v/>
      </c>
      <c r="J286" s="8"/>
      <c r="M286" s="1"/>
      <c r="N286" s="1"/>
      <c r="O286" s="1"/>
      <c r="P286" s="9"/>
      <c r="Q286" s="9"/>
      <c r="R286" s="8"/>
      <c r="S286" s="8"/>
      <c r="T286" s="1"/>
    </row>
    <row r="287" spans="1:20" x14ac:dyDescent="0.2">
      <c r="A287" s="14">
        <f t="shared" si="4"/>
        <v>275</v>
      </c>
      <c r="E287" s="12" t="str">
        <f>IF($C$8&gt;=A287,$E$1&amp;" "&amp;A287,"")</f>
        <v/>
      </c>
      <c r="J287" s="8"/>
      <c r="M287" s="1"/>
      <c r="N287" s="1"/>
      <c r="O287" s="1"/>
      <c r="P287" s="9"/>
      <c r="Q287" s="9"/>
      <c r="R287" s="8"/>
      <c r="S287" s="8"/>
      <c r="T287" s="1"/>
    </row>
    <row r="288" spans="1:20" x14ac:dyDescent="0.2">
      <c r="A288" s="14">
        <f t="shared" si="4"/>
        <v>276</v>
      </c>
      <c r="E288" s="12" t="str">
        <f>IF($C$8&gt;=A288,$E$1&amp;" "&amp;A288,"")</f>
        <v/>
      </c>
      <c r="J288" s="8"/>
      <c r="M288" s="1"/>
      <c r="N288" s="1"/>
      <c r="O288" s="1"/>
      <c r="P288" s="9"/>
      <c r="Q288" s="9"/>
      <c r="R288" s="8"/>
      <c r="S288" s="8"/>
      <c r="T288" s="1"/>
    </row>
    <row r="289" spans="1:20" x14ac:dyDescent="0.2">
      <c r="A289" s="14">
        <f t="shared" si="4"/>
        <v>277</v>
      </c>
      <c r="E289" s="12" t="str">
        <f>IF($C$8&gt;=A289,$E$1&amp;" "&amp;A289,"")</f>
        <v/>
      </c>
      <c r="J289" s="8"/>
      <c r="M289" s="1"/>
      <c r="N289" s="1"/>
      <c r="O289" s="1"/>
      <c r="P289" s="9"/>
      <c r="Q289" s="9"/>
      <c r="R289" s="8"/>
      <c r="S289" s="8"/>
      <c r="T289" s="1"/>
    </row>
    <row r="290" spans="1:20" x14ac:dyDescent="0.2">
      <c r="A290" s="14">
        <f t="shared" si="4"/>
        <v>278</v>
      </c>
      <c r="E290" s="12" t="str">
        <f>IF($C$8&gt;=A290,$E$1&amp;" "&amp;A290,"")</f>
        <v/>
      </c>
      <c r="J290" s="8"/>
      <c r="M290" s="1"/>
      <c r="N290" s="1"/>
      <c r="O290" s="1"/>
      <c r="P290" s="9"/>
      <c r="Q290" s="9"/>
      <c r="R290" s="8"/>
      <c r="S290" s="8"/>
      <c r="T290" s="1"/>
    </row>
    <row r="291" spans="1:20" x14ac:dyDescent="0.2">
      <c r="A291" s="14">
        <f t="shared" si="4"/>
        <v>279</v>
      </c>
      <c r="E291" s="12" t="str">
        <f>IF($C$8&gt;=A291,$E$1&amp;" "&amp;A291,"")</f>
        <v/>
      </c>
      <c r="J291" s="8"/>
      <c r="M291" s="1"/>
      <c r="N291" s="1"/>
      <c r="O291" s="1"/>
      <c r="P291" s="9"/>
      <c r="Q291" s="9"/>
      <c r="R291" s="8"/>
      <c r="S291" s="8"/>
      <c r="T291" s="1"/>
    </row>
    <row r="292" spans="1:20" x14ac:dyDescent="0.2">
      <c r="A292" s="14">
        <f t="shared" si="4"/>
        <v>280</v>
      </c>
      <c r="E292" s="12" t="str">
        <f>IF($C$8&gt;=A292,$E$1&amp;" "&amp;A292,"")</f>
        <v/>
      </c>
      <c r="J292" s="8"/>
      <c r="M292" s="1"/>
      <c r="N292" s="1"/>
      <c r="O292" s="1"/>
      <c r="P292" s="9"/>
      <c r="Q292" s="9"/>
      <c r="R292" s="8"/>
      <c r="S292" s="8"/>
      <c r="T292" s="1"/>
    </row>
    <row r="293" spans="1:20" x14ac:dyDescent="0.2">
      <c r="A293" s="14">
        <f t="shared" si="4"/>
        <v>281</v>
      </c>
      <c r="E293" s="12" t="str">
        <f>IF($C$8&gt;=A293,$E$1&amp;" "&amp;A293,"")</f>
        <v/>
      </c>
      <c r="J293" s="8"/>
      <c r="M293" s="1"/>
      <c r="N293" s="1"/>
      <c r="O293" s="1"/>
      <c r="P293" s="9"/>
      <c r="Q293" s="9"/>
      <c r="R293" s="8"/>
      <c r="S293" s="8"/>
      <c r="T293" s="1"/>
    </row>
    <row r="294" spans="1:20" x14ac:dyDescent="0.2">
      <c r="A294" s="14">
        <f t="shared" si="4"/>
        <v>282</v>
      </c>
      <c r="E294" s="12" t="str">
        <f>IF($C$8&gt;=A294,$E$1&amp;" "&amp;A294,"")</f>
        <v/>
      </c>
      <c r="J294" s="8"/>
      <c r="M294" s="1"/>
      <c r="N294" s="1"/>
      <c r="O294" s="1"/>
      <c r="P294" s="9"/>
      <c r="Q294" s="9"/>
      <c r="R294" s="8"/>
      <c r="S294" s="8"/>
      <c r="T294" s="1"/>
    </row>
    <row r="295" spans="1:20" x14ac:dyDescent="0.2">
      <c r="A295" s="14">
        <f t="shared" si="4"/>
        <v>283</v>
      </c>
      <c r="E295" s="12" t="str">
        <f>IF($C$8&gt;=A295,$E$1&amp;" "&amp;A295,"")</f>
        <v/>
      </c>
      <c r="J295" s="8"/>
      <c r="M295" s="1"/>
      <c r="N295" s="1"/>
      <c r="O295" s="1"/>
      <c r="P295" s="9"/>
      <c r="Q295" s="9"/>
      <c r="R295" s="8"/>
      <c r="S295" s="8"/>
      <c r="T295" s="1"/>
    </row>
    <row r="296" spans="1:20" x14ac:dyDescent="0.2">
      <c r="A296" s="14">
        <f t="shared" si="4"/>
        <v>284</v>
      </c>
      <c r="E296" s="12" t="str">
        <f>IF($C$8&gt;=A296,$E$1&amp;" "&amp;A296,"")</f>
        <v/>
      </c>
      <c r="J296" s="8"/>
      <c r="M296" s="1"/>
      <c r="N296" s="1"/>
      <c r="O296" s="1"/>
      <c r="P296" s="9"/>
      <c r="Q296" s="9"/>
      <c r="R296" s="8"/>
      <c r="S296" s="8"/>
      <c r="T296" s="1"/>
    </row>
    <row r="297" spans="1:20" x14ac:dyDescent="0.2">
      <c r="A297" s="14">
        <f t="shared" si="4"/>
        <v>285</v>
      </c>
      <c r="E297" s="12" t="str">
        <f>IF($C$8&gt;=A297,$E$1&amp;" "&amp;A297,"")</f>
        <v/>
      </c>
      <c r="J297" s="8"/>
      <c r="M297" s="1"/>
      <c r="N297" s="1"/>
      <c r="O297" s="1"/>
      <c r="P297" s="9"/>
      <c r="Q297" s="9"/>
      <c r="R297" s="8"/>
      <c r="S297" s="8"/>
      <c r="T297" s="1"/>
    </row>
    <row r="298" spans="1:20" x14ac:dyDescent="0.2">
      <c r="A298" s="14">
        <f t="shared" si="4"/>
        <v>286</v>
      </c>
      <c r="E298" s="12" t="str">
        <f>IF($C$8&gt;=A298,$E$1&amp;" "&amp;A298,"")</f>
        <v/>
      </c>
      <c r="J298" s="8"/>
      <c r="M298" s="1"/>
      <c r="N298" s="1"/>
      <c r="O298" s="1"/>
      <c r="P298" s="9"/>
      <c r="Q298" s="9"/>
      <c r="R298" s="8"/>
      <c r="S298" s="8"/>
      <c r="T298" s="1"/>
    </row>
    <row r="299" spans="1:20" x14ac:dyDescent="0.2">
      <c r="A299" s="14">
        <f t="shared" si="4"/>
        <v>287</v>
      </c>
      <c r="E299" s="12" t="str">
        <f>IF($C$8&gt;=A299,$E$1&amp;" "&amp;A299,"")</f>
        <v/>
      </c>
      <c r="J299" s="8"/>
      <c r="M299" s="1"/>
      <c r="N299" s="1"/>
      <c r="O299" s="1"/>
      <c r="P299" s="9"/>
      <c r="Q299" s="9"/>
      <c r="R299" s="8"/>
      <c r="S299" s="8"/>
      <c r="T299" s="1"/>
    </row>
    <row r="300" spans="1:20" x14ac:dyDescent="0.2">
      <c r="A300" s="14">
        <f t="shared" si="4"/>
        <v>288</v>
      </c>
      <c r="E300" s="12" t="str">
        <f>IF($C$8&gt;=A300,$E$1&amp;" "&amp;A300,"")</f>
        <v/>
      </c>
      <c r="J300" s="8"/>
      <c r="M300" s="1"/>
      <c r="N300" s="1"/>
      <c r="O300" s="1"/>
      <c r="P300" s="9"/>
      <c r="Q300" s="9"/>
      <c r="R300" s="8"/>
      <c r="S300" s="8"/>
      <c r="T300" s="1"/>
    </row>
    <row r="301" spans="1:20" x14ac:dyDescent="0.2">
      <c r="A301" s="14">
        <f t="shared" si="4"/>
        <v>289</v>
      </c>
      <c r="E301" s="12" t="str">
        <f>IF($C$8&gt;=A301,$E$1&amp;" "&amp;A301,"")</f>
        <v/>
      </c>
      <c r="J301" s="8"/>
      <c r="M301" s="1"/>
      <c r="N301" s="1"/>
      <c r="O301" s="1"/>
      <c r="P301" s="9"/>
      <c r="Q301" s="9"/>
      <c r="R301" s="8"/>
      <c r="S301" s="8"/>
      <c r="T301" s="1"/>
    </row>
    <row r="302" spans="1:20" x14ac:dyDescent="0.2">
      <c r="A302" s="14">
        <f t="shared" si="4"/>
        <v>290</v>
      </c>
      <c r="E302" s="12" t="str">
        <f>IF($C$8&gt;=A302,$E$1&amp;" "&amp;A302,"")</f>
        <v/>
      </c>
      <c r="J302" s="8"/>
      <c r="M302" s="1"/>
      <c r="N302" s="1"/>
      <c r="O302" s="1"/>
      <c r="P302" s="9"/>
      <c r="Q302" s="9"/>
      <c r="R302" s="8"/>
      <c r="S302" s="8"/>
      <c r="T302" s="1"/>
    </row>
    <row r="303" spans="1:20" x14ac:dyDescent="0.2">
      <c r="A303" s="14">
        <f t="shared" si="4"/>
        <v>291</v>
      </c>
      <c r="E303" s="12" t="str">
        <f>IF($C$8&gt;=A303,$E$1&amp;" "&amp;A303,"")</f>
        <v/>
      </c>
      <c r="J303" s="8"/>
      <c r="M303" s="1"/>
      <c r="N303" s="1"/>
      <c r="O303" s="1"/>
      <c r="P303" s="9"/>
      <c r="Q303" s="9"/>
      <c r="R303" s="8"/>
      <c r="S303" s="8"/>
      <c r="T303" s="1"/>
    </row>
    <row r="304" spans="1:20" x14ac:dyDescent="0.2">
      <c r="A304" s="14">
        <f t="shared" si="4"/>
        <v>292</v>
      </c>
      <c r="E304" s="12" t="str">
        <f>IF($C$8&gt;=A304,$E$1&amp;" "&amp;A304,"")</f>
        <v/>
      </c>
      <c r="J304" s="8"/>
      <c r="M304" s="1"/>
      <c r="N304" s="1"/>
      <c r="O304" s="1"/>
      <c r="P304" s="9"/>
      <c r="Q304" s="9"/>
      <c r="R304" s="8"/>
      <c r="S304" s="8"/>
      <c r="T304" s="1"/>
    </row>
    <row r="305" spans="1:20" x14ac:dyDescent="0.2">
      <c r="A305" s="14">
        <f t="shared" si="4"/>
        <v>293</v>
      </c>
      <c r="E305" s="12" t="str">
        <f>IF($C$8&gt;=A305,$E$1&amp;" "&amp;A305,"")</f>
        <v/>
      </c>
      <c r="J305" s="8"/>
      <c r="M305" s="1"/>
      <c r="N305" s="1"/>
      <c r="O305" s="1"/>
      <c r="P305" s="9"/>
      <c r="Q305" s="9"/>
      <c r="R305" s="8"/>
      <c r="S305" s="8"/>
      <c r="T305" s="1"/>
    </row>
    <row r="306" spans="1:20" x14ac:dyDescent="0.2">
      <c r="A306" s="14">
        <f t="shared" si="4"/>
        <v>294</v>
      </c>
      <c r="E306" s="12" t="str">
        <f>IF($C$8&gt;=A306,$E$1&amp;" "&amp;A306,"")</f>
        <v/>
      </c>
      <c r="J306" s="8"/>
      <c r="M306" s="1"/>
      <c r="N306" s="1"/>
      <c r="O306" s="1"/>
      <c r="P306" s="9"/>
      <c r="Q306" s="9"/>
      <c r="R306" s="8"/>
      <c r="S306" s="8"/>
      <c r="T306" s="1"/>
    </row>
    <row r="307" spans="1:20" x14ac:dyDescent="0.2">
      <c r="A307" s="14">
        <f t="shared" si="4"/>
        <v>295</v>
      </c>
      <c r="E307" s="12" t="str">
        <f>IF($C$8&gt;=A307,$E$1&amp;" "&amp;A307,"")</f>
        <v/>
      </c>
      <c r="J307" s="8"/>
      <c r="M307" s="1"/>
      <c r="N307" s="1"/>
      <c r="O307" s="1"/>
      <c r="P307" s="9"/>
      <c r="Q307" s="9"/>
      <c r="R307" s="8"/>
      <c r="S307" s="8"/>
      <c r="T307" s="1"/>
    </row>
    <row r="308" spans="1:20" x14ac:dyDescent="0.2">
      <c r="A308" s="14">
        <f t="shared" si="4"/>
        <v>296</v>
      </c>
      <c r="E308" s="12" t="str">
        <f>IF($C$8&gt;=A308,$E$1&amp;" "&amp;A308,"")</f>
        <v/>
      </c>
      <c r="J308" s="8"/>
      <c r="M308" s="1"/>
      <c r="N308" s="1"/>
      <c r="O308" s="1"/>
      <c r="P308" s="9"/>
      <c r="Q308" s="9"/>
      <c r="R308" s="8"/>
      <c r="S308" s="8"/>
      <c r="T308" s="1"/>
    </row>
    <row r="309" spans="1:20" x14ac:dyDescent="0.2">
      <c r="A309" s="14">
        <f t="shared" si="4"/>
        <v>297</v>
      </c>
      <c r="E309" s="12" t="str">
        <f>IF($C$8&gt;=A309,$E$1&amp;" "&amp;A309,"")</f>
        <v/>
      </c>
      <c r="J309" s="8"/>
      <c r="M309" s="1"/>
      <c r="N309" s="1"/>
      <c r="O309" s="1"/>
      <c r="P309" s="9"/>
      <c r="Q309" s="9"/>
      <c r="R309" s="8"/>
      <c r="S309" s="8"/>
      <c r="T309" s="1"/>
    </row>
    <row r="310" spans="1:20" x14ac:dyDescent="0.2">
      <c r="A310" s="14">
        <f t="shared" si="4"/>
        <v>298</v>
      </c>
      <c r="E310" s="12" t="str">
        <f>IF($C$8&gt;=A310,$E$1&amp;" "&amp;A310,"")</f>
        <v/>
      </c>
      <c r="J310" s="8"/>
      <c r="M310" s="1"/>
      <c r="N310" s="1"/>
      <c r="O310" s="1"/>
      <c r="P310" s="9"/>
      <c r="Q310" s="9"/>
      <c r="R310" s="8"/>
      <c r="S310" s="8"/>
      <c r="T310" s="1"/>
    </row>
    <row r="311" spans="1:20" x14ac:dyDescent="0.2">
      <c r="A311" s="14">
        <f t="shared" si="4"/>
        <v>299</v>
      </c>
      <c r="E311" s="12" t="str">
        <f>IF($C$8&gt;=A311,$E$1&amp;" "&amp;A311,"")</f>
        <v/>
      </c>
      <c r="J311" s="8"/>
      <c r="M311" s="1"/>
      <c r="N311" s="1"/>
      <c r="O311" s="1"/>
      <c r="P311" s="9"/>
      <c r="Q311" s="9"/>
      <c r="R311" s="8"/>
      <c r="S311" s="8"/>
      <c r="T311" s="1"/>
    </row>
    <row r="312" spans="1:20" x14ac:dyDescent="0.2">
      <c r="A312" s="14">
        <f t="shared" si="4"/>
        <v>300</v>
      </c>
      <c r="E312" s="12" t="str">
        <f>IF($C$8&gt;=A312,$E$1&amp;" "&amp;A312,"")</f>
        <v/>
      </c>
      <c r="J312" s="8"/>
      <c r="M312" s="1"/>
      <c r="N312" s="1"/>
      <c r="O312" s="1"/>
      <c r="P312" s="9"/>
      <c r="Q312" s="9"/>
      <c r="R312" s="8"/>
      <c r="S312" s="8"/>
      <c r="T312" s="1"/>
    </row>
    <row r="313" spans="1:20" x14ac:dyDescent="0.2">
      <c r="A313" s="14">
        <f t="shared" si="4"/>
        <v>301</v>
      </c>
      <c r="E313" s="12" t="str">
        <f>IF($C$8&gt;=A313,$E$1&amp;" "&amp;A313,"")</f>
        <v/>
      </c>
      <c r="J313" s="8"/>
      <c r="M313" s="1"/>
      <c r="N313" s="1"/>
      <c r="O313" s="1"/>
      <c r="P313" s="9"/>
      <c r="Q313" s="9"/>
      <c r="R313" s="8"/>
      <c r="S313" s="8"/>
      <c r="T313" s="1"/>
    </row>
    <row r="314" spans="1:20" x14ac:dyDescent="0.2">
      <c r="A314" s="14">
        <f t="shared" si="4"/>
        <v>302</v>
      </c>
      <c r="E314" s="12" t="str">
        <f>IF($C$8&gt;=A314,$E$1&amp;" "&amp;A314,"")</f>
        <v/>
      </c>
      <c r="J314" s="8"/>
      <c r="M314" s="1"/>
      <c r="N314" s="1"/>
      <c r="O314" s="1"/>
      <c r="P314" s="9"/>
      <c r="Q314" s="9"/>
      <c r="R314" s="8"/>
      <c r="S314" s="8"/>
      <c r="T314" s="1"/>
    </row>
    <row r="315" spans="1:20" x14ac:dyDescent="0.2">
      <c r="A315" s="14">
        <f t="shared" si="4"/>
        <v>303</v>
      </c>
      <c r="E315" s="12" t="str">
        <f>IF($C$8&gt;=A315,$E$1&amp;" "&amp;A315,"")</f>
        <v/>
      </c>
      <c r="J315" s="8"/>
      <c r="M315" s="1"/>
      <c r="N315" s="1"/>
      <c r="O315" s="1"/>
      <c r="P315" s="9"/>
      <c r="Q315" s="9"/>
      <c r="R315" s="8"/>
      <c r="S315" s="8"/>
      <c r="T315" s="1"/>
    </row>
    <row r="316" spans="1:20" x14ac:dyDescent="0.2">
      <c r="A316" s="14">
        <f t="shared" si="4"/>
        <v>304</v>
      </c>
      <c r="E316" s="12" t="str">
        <f>IF($C$8&gt;=A316,$E$1&amp;" "&amp;A316,"")</f>
        <v/>
      </c>
      <c r="J316" s="8"/>
      <c r="M316" s="1"/>
      <c r="N316" s="1"/>
      <c r="O316" s="1"/>
      <c r="P316" s="9"/>
      <c r="Q316" s="9"/>
      <c r="R316" s="8"/>
      <c r="S316" s="8"/>
      <c r="T316" s="1"/>
    </row>
    <row r="317" spans="1:20" x14ac:dyDescent="0.2">
      <c r="A317" s="14">
        <f t="shared" si="4"/>
        <v>305</v>
      </c>
      <c r="E317" s="12" t="str">
        <f>IF($C$8&gt;=A317,$E$1&amp;" "&amp;A317,"")</f>
        <v/>
      </c>
      <c r="J317" s="8"/>
      <c r="M317" s="1"/>
      <c r="N317" s="1"/>
      <c r="O317" s="1"/>
      <c r="P317" s="9"/>
      <c r="Q317" s="9"/>
      <c r="R317" s="8"/>
      <c r="S317" s="8"/>
      <c r="T317" s="1"/>
    </row>
    <row r="318" spans="1:20" x14ac:dyDescent="0.2">
      <c r="A318" s="14">
        <f t="shared" si="4"/>
        <v>306</v>
      </c>
      <c r="E318" s="12" t="str">
        <f>IF($C$8&gt;=A318,$E$1&amp;" "&amp;A318,"")</f>
        <v/>
      </c>
      <c r="J318" s="8"/>
      <c r="M318" s="1"/>
      <c r="N318" s="1"/>
      <c r="O318" s="1"/>
      <c r="P318" s="9"/>
      <c r="Q318" s="9"/>
      <c r="R318" s="8"/>
      <c r="S318" s="8"/>
      <c r="T318" s="1"/>
    </row>
    <row r="319" spans="1:20" x14ac:dyDescent="0.2">
      <c r="A319" s="14">
        <f t="shared" si="4"/>
        <v>307</v>
      </c>
      <c r="E319" s="12" t="str">
        <f>IF($C$8&gt;=A319,$E$1&amp;" "&amp;A319,"")</f>
        <v/>
      </c>
      <c r="J319" s="8"/>
      <c r="M319" s="1"/>
      <c r="N319" s="1"/>
      <c r="O319" s="1"/>
      <c r="P319" s="9"/>
      <c r="Q319" s="9"/>
      <c r="R319" s="8"/>
      <c r="S319" s="8"/>
      <c r="T319" s="1"/>
    </row>
    <row r="320" spans="1:20" x14ac:dyDescent="0.2">
      <c r="A320" s="14">
        <f t="shared" si="4"/>
        <v>308</v>
      </c>
      <c r="E320" s="12" t="str">
        <f>IF($C$8&gt;=A320,$E$1&amp;" "&amp;A320,"")</f>
        <v/>
      </c>
      <c r="J320" s="8"/>
      <c r="M320" s="1"/>
      <c r="N320" s="1"/>
      <c r="O320" s="1"/>
      <c r="P320" s="9"/>
      <c r="Q320" s="9"/>
      <c r="R320" s="8"/>
      <c r="S320" s="8"/>
      <c r="T320" s="1"/>
    </row>
    <row r="321" spans="1:20" x14ac:dyDescent="0.2">
      <c r="A321" s="14">
        <f t="shared" si="4"/>
        <v>309</v>
      </c>
      <c r="E321" s="12" t="str">
        <f>IF($C$8&gt;=A321,$E$1&amp;" "&amp;A321,"")</f>
        <v/>
      </c>
      <c r="J321" s="8"/>
      <c r="M321" s="1"/>
      <c r="N321" s="1"/>
      <c r="O321" s="1"/>
      <c r="P321" s="9"/>
      <c r="Q321" s="9"/>
      <c r="R321" s="8"/>
      <c r="S321" s="8"/>
      <c r="T321" s="1"/>
    </row>
    <row r="322" spans="1:20" x14ac:dyDescent="0.2">
      <c r="A322" s="14">
        <f t="shared" si="4"/>
        <v>310</v>
      </c>
      <c r="E322" s="12" t="str">
        <f>IF($C$8&gt;=A322,$E$1&amp;" "&amp;A322,"")</f>
        <v/>
      </c>
      <c r="J322" s="8"/>
      <c r="M322" s="1"/>
      <c r="N322" s="1"/>
      <c r="O322" s="1"/>
      <c r="P322" s="9"/>
      <c r="Q322" s="9"/>
      <c r="R322" s="8"/>
      <c r="S322" s="8"/>
      <c r="T322" s="1"/>
    </row>
    <row r="323" spans="1:20" x14ac:dyDescent="0.2">
      <c r="A323" s="14">
        <f t="shared" si="4"/>
        <v>311</v>
      </c>
      <c r="E323" s="12" t="str">
        <f>IF($C$8&gt;=A323,$E$1&amp;" "&amp;A323,"")</f>
        <v/>
      </c>
      <c r="J323" s="8"/>
      <c r="M323" s="1"/>
      <c r="N323" s="1"/>
      <c r="O323" s="1"/>
      <c r="P323" s="9"/>
      <c r="Q323" s="9"/>
      <c r="R323" s="8"/>
      <c r="S323" s="8"/>
      <c r="T323" s="1"/>
    </row>
    <row r="324" spans="1:20" x14ac:dyDescent="0.2">
      <c r="A324" s="14">
        <f t="shared" si="4"/>
        <v>312</v>
      </c>
      <c r="E324" s="12" t="str">
        <f>IF($C$8&gt;=A324,$E$1&amp;" "&amp;A324,"")</f>
        <v/>
      </c>
      <c r="J324" s="8"/>
      <c r="M324" s="1"/>
      <c r="N324" s="1"/>
      <c r="O324" s="1"/>
      <c r="P324" s="9"/>
      <c r="Q324" s="9"/>
      <c r="R324" s="8"/>
      <c r="S324" s="8"/>
      <c r="T324" s="1"/>
    </row>
    <row r="325" spans="1:20" x14ac:dyDescent="0.2">
      <c r="A325" s="14">
        <f t="shared" si="4"/>
        <v>313</v>
      </c>
      <c r="E325" s="12" t="str">
        <f>IF($C$8&gt;=A325,$E$1&amp;" "&amp;A325,"")</f>
        <v/>
      </c>
      <c r="J325" s="8"/>
      <c r="M325" s="1"/>
      <c r="N325" s="1"/>
      <c r="O325" s="1"/>
      <c r="P325" s="9"/>
      <c r="Q325" s="9"/>
      <c r="R325" s="8"/>
      <c r="S325" s="8"/>
      <c r="T325" s="1"/>
    </row>
    <row r="326" spans="1:20" x14ac:dyDescent="0.2">
      <c r="A326" s="14">
        <f t="shared" si="4"/>
        <v>314</v>
      </c>
      <c r="E326" s="12" t="str">
        <f>IF($C$8&gt;=A326,$E$1&amp;" "&amp;A326,"")</f>
        <v/>
      </c>
      <c r="J326" s="8"/>
      <c r="M326" s="1"/>
      <c r="N326" s="1"/>
      <c r="O326" s="1"/>
      <c r="P326" s="9"/>
      <c r="Q326" s="9"/>
      <c r="R326" s="8"/>
      <c r="S326" s="8"/>
      <c r="T326" s="1"/>
    </row>
    <row r="327" spans="1:20" x14ac:dyDescent="0.2">
      <c r="A327" s="14">
        <f t="shared" si="4"/>
        <v>315</v>
      </c>
      <c r="E327" s="12" t="str">
        <f>IF($C$8&gt;=A327,$E$1&amp;" "&amp;A327,"")</f>
        <v/>
      </c>
      <c r="J327" s="8"/>
      <c r="M327" s="1"/>
      <c r="N327" s="1"/>
      <c r="O327" s="1"/>
      <c r="P327" s="9"/>
      <c r="Q327" s="9"/>
      <c r="R327" s="8"/>
      <c r="S327" s="8"/>
      <c r="T327" s="1"/>
    </row>
    <row r="328" spans="1:20" x14ac:dyDescent="0.2">
      <c r="A328" s="14">
        <f t="shared" si="4"/>
        <v>316</v>
      </c>
      <c r="E328" s="12" t="str">
        <f>IF($C$8&gt;=A328,$E$1&amp;" "&amp;A328,"")</f>
        <v/>
      </c>
      <c r="J328" s="8"/>
      <c r="M328" s="1"/>
      <c r="N328" s="1"/>
      <c r="O328" s="1"/>
      <c r="P328" s="9"/>
      <c r="Q328" s="9"/>
      <c r="R328" s="8"/>
      <c r="S328" s="8"/>
      <c r="T328" s="1"/>
    </row>
    <row r="329" spans="1:20" x14ac:dyDescent="0.2">
      <c r="A329" s="14">
        <f t="shared" si="4"/>
        <v>317</v>
      </c>
      <c r="E329" s="12" t="str">
        <f>IF($C$8&gt;=A329,$E$1&amp;" "&amp;A329,"")</f>
        <v/>
      </c>
      <c r="J329" s="8"/>
      <c r="M329" s="1"/>
      <c r="N329" s="1"/>
      <c r="O329" s="1"/>
      <c r="P329" s="9"/>
      <c r="Q329" s="9"/>
      <c r="R329" s="8"/>
      <c r="S329" s="8"/>
      <c r="T329" s="1"/>
    </row>
    <row r="330" spans="1:20" x14ac:dyDescent="0.2">
      <c r="A330" s="14">
        <f t="shared" si="4"/>
        <v>318</v>
      </c>
      <c r="E330" s="12" t="str">
        <f>IF($C$8&gt;=A330,$E$1&amp;" "&amp;A330,"")</f>
        <v/>
      </c>
      <c r="J330" s="8"/>
      <c r="M330" s="1"/>
      <c r="N330" s="1"/>
      <c r="O330" s="1"/>
      <c r="P330" s="9"/>
      <c r="Q330" s="9"/>
      <c r="R330" s="8"/>
      <c r="S330" s="8"/>
      <c r="T330" s="1"/>
    </row>
    <row r="331" spans="1:20" x14ac:dyDescent="0.2">
      <c r="A331" s="14">
        <f t="shared" si="4"/>
        <v>319</v>
      </c>
      <c r="E331" s="12" t="str">
        <f>IF($C$8&gt;=A331,$E$1&amp;" "&amp;A331,"")</f>
        <v/>
      </c>
      <c r="J331" s="8"/>
      <c r="M331" s="1"/>
      <c r="N331" s="1"/>
      <c r="O331" s="1"/>
      <c r="P331" s="9"/>
      <c r="Q331" s="9"/>
      <c r="R331" s="8"/>
      <c r="S331" s="8"/>
      <c r="T331" s="1"/>
    </row>
    <row r="332" spans="1:20" x14ac:dyDescent="0.2">
      <c r="A332" s="14">
        <f t="shared" si="4"/>
        <v>320</v>
      </c>
      <c r="E332" s="12" t="str">
        <f>IF($C$8&gt;=A332,$E$1&amp;" "&amp;A332,"")</f>
        <v/>
      </c>
      <c r="J332" s="8"/>
      <c r="M332" s="1"/>
      <c r="N332" s="1"/>
      <c r="O332" s="1"/>
      <c r="P332" s="9"/>
      <c r="Q332" s="9"/>
      <c r="R332" s="8"/>
      <c r="S332" s="8"/>
      <c r="T332" s="1"/>
    </row>
    <row r="333" spans="1:20" x14ac:dyDescent="0.2">
      <c r="A333" s="14">
        <f t="shared" si="4"/>
        <v>321</v>
      </c>
      <c r="E333" s="12" t="str">
        <f>IF($C$8&gt;=A333,$E$1&amp;" "&amp;A333,"")</f>
        <v/>
      </c>
      <c r="J333" s="8"/>
      <c r="M333" s="1"/>
      <c r="N333" s="1"/>
      <c r="O333" s="1"/>
      <c r="P333" s="9"/>
      <c r="Q333" s="9"/>
      <c r="R333" s="8"/>
      <c r="S333" s="8"/>
      <c r="T333" s="1"/>
    </row>
    <row r="334" spans="1:20" x14ac:dyDescent="0.2">
      <c r="A334" s="14">
        <f t="shared" si="4"/>
        <v>322</v>
      </c>
      <c r="E334" s="12" t="str">
        <f>IF($C$8&gt;=A334,$E$1&amp;" "&amp;A334,"")</f>
        <v/>
      </c>
      <c r="J334" s="8"/>
      <c r="M334" s="1"/>
      <c r="N334" s="1"/>
      <c r="O334" s="1"/>
      <c r="P334" s="9"/>
      <c r="Q334" s="9"/>
      <c r="R334" s="8"/>
      <c r="S334" s="8"/>
      <c r="T334" s="1"/>
    </row>
    <row r="335" spans="1:20" x14ac:dyDescent="0.2">
      <c r="A335" s="14">
        <f t="shared" ref="A335:A398" si="5">A334+1</f>
        <v>323</v>
      </c>
      <c r="E335" s="12" t="str">
        <f>IF($C$8&gt;=A335,$E$1&amp;" "&amp;A335,"")</f>
        <v/>
      </c>
      <c r="J335" s="8"/>
      <c r="M335" s="1"/>
      <c r="N335" s="1"/>
      <c r="O335" s="1"/>
      <c r="P335" s="9"/>
      <c r="Q335" s="9"/>
      <c r="R335" s="8"/>
      <c r="S335" s="8"/>
      <c r="T335" s="1"/>
    </row>
    <row r="336" spans="1:20" x14ac:dyDescent="0.2">
      <c r="A336" s="14">
        <f t="shared" si="5"/>
        <v>324</v>
      </c>
      <c r="E336" s="12" t="str">
        <f>IF($C$8&gt;=A336,$E$1&amp;" "&amp;A336,"")</f>
        <v/>
      </c>
      <c r="J336" s="8"/>
      <c r="M336" s="1"/>
      <c r="N336" s="1"/>
      <c r="O336" s="1"/>
      <c r="P336" s="9"/>
      <c r="Q336" s="9"/>
      <c r="R336" s="8"/>
      <c r="S336" s="8"/>
      <c r="T336" s="1"/>
    </row>
    <row r="337" spans="1:20" x14ac:dyDescent="0.2">
      <c r="A337" s="14">
        <f t="shared" si="5"/>
        <v>325</v>
      </c>
      <c r="E337" s="12" t="str">
        <f>IF($C$8&gt;=A337,$E$1&amp;" "&amp;A337,"")</f>
        <v/>
      </c>
      <c r="J337" s="8"/>
      <c r="M337" s="1"/>
      <c r="N337" s="1"/>
      <c r="O337" s="1"/>
      <c r="P337" s="9"/>
      <c r="Q337" s="9"/>
      <c r="R337" s="8"/>
      <c r="S337" s="8"/>
      <c r="T337" s="1"/>
    </row>
    <row r="338" spans="1:20" x14ac:dyDescent="0.2">
      <c r="A338" s="14">
        <f t="shared" si="5"/>
        <v>326</v>
      </c>
      <c r="E338" s="12" t="str">
        <f>IF($C$8&gt;=A338,$E$1&amp;" "&amp;A338,"")</f>
        <v/>
      </c>
      <c r="J338" s="8"/>
      <c r="M338" s="1"/>
      <c r="N338" s="1"/>
      <c r="O338" s="1"/>
      <c r="P338" s="9"/>
      <c r="Q338" s="9"/>
      <c r="R338" s="8"/>
      <c r="S338" s="8"/>
      <c r="T338" s="1"/>
    </row>
    <row r="339" spans="1:20" x14ac:dyDescent="0.2">
      <c r="A339" s="14">
        <f t="shared" si="5"/>
        <v>327</v>
      </c>
      <c r="E339" s="12" t="str">
        <f>IF($C$8&gt;=A339,$E$1&amp;" "&amp;A339,"")</f>
        <v/>
      </c>
      <c r="J339" s="8"/>
      <c r="M339" s="1"/>
      <c r="N339" s="1"/>
      <c r="O339" s="1"/>
      <c r="P339" s="9"/>
      <c r="Q339" s="9"/>
      <c r="R339" s="8"/>
      <c r="S339" s="8"/>
      <c r="T339" s="1"/>
    </row>
    <row r="340" spans="1:20" x14ac:dyDescent="0.2">
      <c r="A340" s="14">
        <f t="shared" si="5"/>
        <v>328</v>
      </c>
      <c r="E340" s="12" t="str">
        <f>IF($C$8&gt;=A340,$E$1&amp;" "&amp;A340,"")</f>
        <v/>
      </c>
      <c r="J340" s="8"/>
      <c r="M340" s="1"/>
      <c r="N340" s="1"/>
      <c r="O340" s="1"/>
      <c r="P340" s="9"/>
      <c r="Q340" s="9"/>
      <c r="R340" s="8"/>
      <c r="S340" s="8"/>
      <c r="T340" s="1"/>
    </row>
    <row r="341" spans="1:20" x14ac:dyDescent="0.2">
      <c r="A341" s="14">
        <f t="shared" si="5"/>
        <v>329</v>
      </c>
      <c r="E341" s="12" t="str">
        <f>IF($C$8&gt;=A341,$E$1&amp;" "&amp;A341,"")</f>
        <v/>
      </c>
      <c r="J341" s="8"/>
      <c r="M341" s="1"/>
      <c r="N341" s="1"/>
      <c r="O341" s="1"/>
      <c r="P341" s="9"/>
      <c r="Q341" s="9"/>
      <c r="R341" s="8"/>
      <c r="S341" s="8"/>
      <c r="T341" s="1"/>
    </row>
    <row r="342" spans="1:20" x14ac:dyDescent="0.2">
      <c r="A342" s="14">
        <f t="shared" si="5"/>
        <v>330</v>
      </c>
      <c r="E342" s="12" t="str">
        <f>IF($C$8&gt;=A342,$E$1&amp;" "&amp;A342,"")</f>
        <v/>
      </c>
      <c r="J342" s="8"/>
      <c r="M342" s="1"/>
      <c r="N342" s="1"/>
      <c r="O342" s="1"/>
      <c r="P342" s="9"/>
      <c r="Q342" s="9"/>
      <c r="R342" s="8"/>
      <c r="S342" s="8"/>
      <c r="T342" s="1"/>
    </row>
    <row r="343" spans="1:20" x14ac:dyDescent="0.2">
      <c r="A343" s="14">
        <f t="shared" si="5"/>
        <v>331</v>
      </c>
      <c r="E343" s="12" t="str">
        <f>IF($C$8&gt;=A343,$E$1&amp;" "&amp;A343,"")</f>
        <v/>
      </c>
      <c r="J343" s="8"/>
      <c r="M343" s="1"/>
      <c r="N343" s="1"/>
      <c r="O343" s="1"/>
      <c r="P343" s="9"/>
      <c r="Q343" s="9"/>
      <c r="R343" s="8"/>
      <c r="S343" s="8"/>
      <c r="T343" s="1"/>
    </row>
    <row r="344" spans="1:20" x14ac:dyDescent="0.2">
      <c r="A344" s="14">
        <f t="shared" si="5"/>
        <v>332</v>
      </c>
      <c r="E344" s="12" t="str">
        <f>IF($C$8&gt;=A344,$E$1&amp;" "&amp;A344,"")</f>
        <v/>
      </c>
      <c r="J344" s="8"/>
      <c r="M344" s="1"/>
      <c r="N344" s="1"/>
      <c r="O344" s="1"/>
      <c r="P344" s="9"/>
      <c r="Q344" s="9"/>
      <c r="R344" s="8"/>
      <c r="S344" s="8"/>
      <c r="T344" s="1"/>
    </row>
    <row r="345" spans="1:20" x14ac:dyDescent="0.2">
      <c r="A345" s="14">
        <f t="shared" si="5"/>
        <v>333</v>
      </c>
      <c r="E345" s="12" t="str">
        <f>IF($C$8&gt;=A345,$E$1&amp;" "&amp;A345,"")</f>
        <v/>
      </c>
      <c r="J345" s="8"/>
      <c r="M345" s="1"/>
      <c r="N345" s="1"/>
      <c r="O345" s="1"/>
      <c r="P345" s="9"/>
      <c r="Q345" s="9"/>
      <c r="R345" s="8"/>
      <c r="S345" s="8"/>
      <c r="T345" s="1"/>
    </row>
    <row r="346" spans="1:20" x14ac:dyDescent="0.2">
      <c r="A346" s="14">
        <f t="shared" si="5"/>
        <v>334</v>
      </c>
      <c r="E346" s="12" t="str">
        <f>IF($C$8&gt;=A346,$E$1&amp;" "&amp;A346,"")</f>
        <v/>
      </c>
      <c r="J346" s="8"/>
      <c r="M346" s="1"/>
      <c r="N346" s="1"/>
      <c r="O346" s="1"/>
      <c r="P346" s="9"/>
      <c r="Q346" s="9"/>
      <c r="R346" s="8"/>
      <c r="S346" s="8"/>
      <c r="T346" s="1"/>
    </row>
    <row r="347" spans="1:20" x14ac:dyDescent="0.2">
      <c r="A347" s="14">
        <f t="shared" si="5"/>
        <v>335</v>
      </c>
      <c r="E347" s="12" t="str">
        <f>IF($C$8&gt;=A347,$E$1&amp;" "&amp;A347,"")</f>
        <v/>
      </c>
      <c r="J347" s="8"/>
      <c r="M347" s="1"/>
      <c r="N347" s="1"/>
      <c r="O347" s="1"/>
      <c r="P347" s="9"/>
      <c r="Q347" s="9"/>
      <c r="R347" s="8"/>
      <c r="S347" s="8"/>
      <c r="T347" s="1"/>
    </row>
    <row r="348" spans="1:20" x14ac:dyDescent="0.2">
      <c r="A348" s="14">
        <f t="shared" si="5"/>
        <v>336</v>
      </c>
      <c r="E348" s="12" t="str">
        <f>IF($C$8&gt;=A348,$E$1&amp;" "&amp;A348,"")</f>
        <v/>
      </c>
      <c r="J348" s="8"/>
      <c r="M348" s="1"/>
      <c r="N348" s="1"/>
      <c r="O348" s="1"/>
      <c r="P348" s="9"/>
      <c r="Q348" s="9"/>
      <c r="R348" s="8"/>
      <c r="S348" s="8"/>
      <c r="T348" s="1"/>
    </row>
    <row r="349" spans="1:20" x14ac:dyDescent="0.2">
      <c r="A349" s="14">
        <f t="shared" si="5"/>
        <v>337</v>
      </c>
      <c r="E349" s="12" t="str">
        <f>IF($C$8&gt;=A349,$E$1&amp;" "&amp;A349,"")</f>
        <v/>
      </c>
      <c r="J349" s="8"/>
      <c r="M349" s="1"/>
      <c r="N349" s="1"/>
      <c r="O349" s="1"/>
      <c r="P349" s="9"/>
      <c r="Q349" s="9"/>
      <c r="R349" s="8"/>
      <c r="S349" s="8"/>
      <c r="T349" s="1"/>
    </row>
    <row r="350" spans="1:20" x14ac:dyDescent="0.2">
      <c r="A350" s="14">
        <f t="shared" si="5"/>
        <v>338</v>
      </c>
      <c r="E350" s="12" t="str">
        <f>IF($C$8&gt;=A350,$E$1&amp;" "&amp;A350,"")</f>
        <v/>
      </c>
      <c r="J350" s="8"/>
      <c r="M350" s="1"/>
      <c r="N350" s="1"/>
      <c r="O350" s="1"/>
      <c r="P350" s="9"/>
      <c r="Q350" s="9"/>
      <c r="R350" s="8"/>
      <c r="S350" s="8"/>
      <c r="T350" s="1"/>
    </row>
    <row r="351" spans="1:20" x14ac:dyDescent="0.2">
      <c r="A351" s="14">
        <f t="shared" si="5"/>
        <v>339</v>
      </c>
      <c r="E351" s="12" t="str">
        <f>IF($C$8&gt;=A351,$E$1&amp;" "&amp;A351,"")</f>
        <v/>
      </c>
      <c r="J351" s="8"/>
      <c r="M351" s="1"/>
      <c r="N351" s="1"/>
      <c r="O351" s="1"/>
      <c r="P351" s="9"/>
      <c r="Q351" s="9"/>
      <c r="R351" s="8"/>
      <c r="S351" s="8"/>
      <c r="T351" s="1"/>
    </row>
    <row r="352" spans="1:20" x14ac:dyDescent="0.2">
      <c r="A352" s="14">
        <f t="shared" si="5"/>
        <v>340</v>
      </c>
      <c r="E352" s="12" t="str">
        <f>IF($C$8&gt;=A352,$E$1&amp;" "&amp;A352,"")</f>
        <v/>
      </c>
      <c r="J352" s="8"/>
      <c r="M352" s="1"/>
      <c r="N352" s="1"/>
      <c r="O352" s="1"/>
      <c r="P352" s="9"/>
      <c r="Q352" s="9"/>
      <c r="R352" s="8"/>
      <c r="S352" s="8"/>
      <c r="T352" s="1"/>
    </row>
    <row r="353" spans="1:20" x14ac:dyDescent="0.2">
      <c r="A353" s="14">
        <f t="shared" si="5"/>
        <v>341</v>
      </c>
      <c r="E353" s="12" t="str">
        <f>IF($C$8&gt;=A353,$E$1&amp;" "&amp;A353,"")</f>
        <v/>
      </c>
      <c r="J353" s="8"/>
      <c r="M353" s="1"/>
      <c r="N353" s="1"/>
      <c r="O353" s="1"/>
      <c r="P353" s="9"/>
      <c r="Q353" s="9"/>
      <c r="R353" s="8"/>
      <c r="S353" s="8"/>
      <c r="T353" s="1"/>
    </row>
    <row r="354" spans="1:20" x14ac:dyDescent="0.2">
      <c r="A354" s="14">
        <f t="shared" si="5"/>
        <v>342</v>
      </c>
      <c r="E354" s="12" t="str">
        <f>IF($C$8&gt;=A354,$E$1&amp;" "&amp;A354,"")</f>
        <v/>
      </c>
      <c r="J354" s="8"/>
      <c r="M354" s="1"/>
      <c r="N354" s="1"/>
      <c r="O354" s="1"/>
      <c r="P354" s="9"/>
      <c r="Q354" s="9"/>
      <c r="R354" s="8"/>
      <c r="S354" s="8"/>
      <c r="T354" s="1"/>
    </row>
    <row r="355" spans="1:20" x14ac:dyDescent="0.2">
      <c r="A355" s="14">
        <f t="shared" si="5"/>
        <v>343</v>
      </c>
      <c r="E355" s="12" t="str">
        <f>IF($C$8&gt;=A355,$E$1&amp;" "&amp;A355,"")</f>
        <v/>
      </c>
      <c r="J355" s="8"/>
      <c r="M355" s="1"/>
      <c r="N355" s="1"/>
      <c r="O355" s="1"/>
      <c r="P355" s="9"/>
      <c r="Q355" s="9"/>
      <c r="R355" s="8"/>
      <c r="S355" s="8"/>
      <c r="T355" s="1"/>
    </row>
    <row r="356" spans="1:20" x14ac:dyDescent="0.2">
      <c r="A356" s="14">
        <f t="shared" si="5"/>
        <v>344</v>
      </c>
      <c r="E356" s="12" t="str">
        <f>IF($C$8&gt;=A356,$E$1&amp;" "&amp;A356,"")</f>
        <v/>
      </c>
      <c r="J356" s="8"/>
      <c r="M356" s="1"/>
      <c r="N356" s="1"/>
      <c r="O356" s="1"/>
      <c r="P356" s="9"/>
      <c r="Q356" s="9"/>
      <c r="R356" s="8"/>
      <c r="S356" s="8"/>
      <c r="T356" s="1"/>
    </row>
    <row r="357" spans="1:20" x14ac:dyDescent="0.2">
      <c r="A357" s="14">
        <f t="shared" si="5"/>
        <v>345</v>
      </c>
      <c r="E357" s="12" t="str">
        <f>IF($C$8&gt;=A357,$E$1&amp;" "&amp;A357,"")</f>
        <v/>
      </c>
      <c r="J357" s="8"/>
      <c r="M357" s="1"/>
      <c r="N357" s="1"/>
      <c r="O357" s="1"/>
      <c r="P357" s="9"/>
      <c r="Q357" s="9"/>
      <c r="R357" s="8"/>
      <c r="S357" s="8"/>
      <c r="T357" s="1"/>
    </row>
    <row r="358" spans="1:20" x14ac:dyDescent="0.2">
      <c r="A358" s="14">
        <f t="shared" si="5"/>
        <v>346</v>
      </c>
      <c r="E358" s="12" t="str">
        <f>IF($C$8&gt;=A358,$E$1&amp;" "&amp;A358,"")</f>
        <v/>
      </c>
      <c r="J358" s="8"/>
      <c r="M358" s="1"/>
      <c r="N358" s="1"/>
      <c r="O358" s="1"/>
      <c r="P358" s="9"/>
      <c r="Q358" s="9"/>
      <c r="R358" s="8"/>
      <c r="S358" s="8"/>
      <c r="T358" s="1"/>
    </row>
    <row r="359" spans="1:20" x14ac:dyDescent="0.2">
      <c r="A359" s="14">
        <f t="shared" si="5"/>
        <v>347</v>
      </c>
      <c r="E359" s="12" t="str">
        <f>IF($C$8&gt;=A359,$E$1&amp;" "&amp;A359,"")</f>
        <v/>
      </c>
      <c r="J359" s="8"/>
      <c r="M359" s="1"/>
      <c r="N359" s="1"/>
      <c r="O359" s="1"/>
      <c r="P359" s="9"/>
      <c r="Q359" s="9"/>
      <c r="R359" s="8"/>
      <c r="S359" s="8"/>
      <c r="T359" s="1"/>
    </row>
    <row r="360" spans="1:20" x14ac:dyDescent="0.2">
      <c r="A360" s="14">
        <f t="shared" si="5"/>
        <v>348</v>
      </c>
      <c r="E360" s="12" t="str">
        <f>IF($C$8&gt;=A360,$E$1&amp;" "&amp;A360,"")</f>
        <v/>
      </c>
      <c r="J360" s="8"/>
      <c r="M360" s="1"/>
      <c r="N360" s="1"/>
      <c r="O360" s="1"/>
      <c r="P360" s="9"/>
      <c r="Q360" s="9"/>
      <c r="R360" s="8"/>
      <c r="S360" s="8"/>
      <c r="T360" s="1"/>
    </row>
    <row r="361" spans="1:20" x14ac:dyDescent="0.2">
      <c r="A361" s="14">
        <f t="shared" si="5"/>
        <v>349</v>
      </c>
      <c r="E361" s="12" t="str">
        <f>IF($C$8&gt;=A361,$E$1&amp;" "&amp;A361,"")</f>
        <v/>
      </c>
      <c r="J361" s="8"/>
      <c r="M361" s="1"/>
      <c r="N361" s="1"/>
      <c r="O361" s="1"/>
      <c r="P361" s="9"/>
      <c r="Q361" s="9"/>
      <c r="R361" s="8"/>
      <c r="S361" s="8"/>
      <c r="T361" s="1"/>
    </row>
    <row r="362" spans="1:20" x14ac:dyDescent="0.2">
      <c r="A362" s="14">
        <f t="shared" si="5"/>
        <v>350</v>
      </c>
      <c r="E362" s="12" t="str">
        <f>IF($C$8&gt;=A362,$E$1&amp;" "&amp;A362,"")</f>
        <v/>
      </c>
      <c r="J362" s="8"/>
      <c r="M362" s="1"/>
      <c r="N362" s="1"/>
      <c r="O362" s="1"/>
      <c r="P362" s="9"/>
      <c r="Q362" s="9"/>
      <c r="R362" s="8"/>
      <c r="S362" s="8"/>
      <c r="T362" s="1"/>
    </row>
    <row r="363" spans="1:20" x14ac:dyDescent="0.2">
      <c r="A363" s="14">
        <f t="shared" si="5"/>
        <v>351</v>
      </c>
      <c r="E363" s="12" t="str">
        <f>IF($C$8&gt;=A363,$E$1&amp;" "&amp;A363,"")</f>
        <v/>
      </c>
      <c r="J363" s="8"/>
      <c r="M363" s="1"/>
      <c r="N363" s="1"/>
      <c r="O363" s="1"/>
      <c r="P363" s="9"/>
      <c r="Q363" s="9"/>
      <c r="R363" s="8"/>
      <c r="S363" s="8"/>
      <c r="T363" s="1"/>
    </row>
    <row r="364" spans="1:20" x14ac:dyDescent="0.2">
      <c r="A364" s="14">
        <f t="shared" si="5"/>
        <v>352</v>
      </c>
      <c r="E364" s="12" t="str">
        <f>IF($C$8&gt;=A364,$E$1&amp;" "&amp;A364,"")</f>
        <v/>
      </c>
      <c r="J364" s="8"/>
      <c r="M364" s="1"/>
      <c r="N364" s="1"/>
      <c r="O364" s="1"/>
      <c r="P364" s="9"/>
      <c r="Q364" s="9"/>
      <c r="R364" s="8"/>
      <c r="S364" s="8"/>
      <c r="T364" s="1"/>
    </row>
    <row r="365" spans="1:20" x14ac:dyDescent="0.2">
      <c r="A365" s="14">
        <f t="shared" si="5"/>
        <v>353</v>
      </c>
      <c r="E365" s="12" t="str">
        <f>IF($C$8&gt;=A365,$E$1&amp;" "&amp;A365,"")</f>
        <v/>
      </c>
      <c r="J365" s="8"/>
      <c r="M365" s="1"/>
      <c r="N365" s="1"/>
      <c r="O365" s="1"/>
      <c r="P365" s="9"/>
      <c r="Q365" s="9"/>
      <c r="R365" s="8"/>
      <c r="S365" s="8"/>
      <c r="T365" s="1"/>
    </row>
    <row r="366" spans="1:20" x14ac:dyDescent="0.2">
      <c r="A366" s="14">
        <f t="shared" si="5"/>
        <v>354</v>
      </c>
      <c r="E366" s="12" t="str">
        <f>IF($C$8&gt;=A366,$E$1&amp;" "&amp;A366,"")</f>
        <v/>
      </c>
      <c r="J366" s="8"/>
      <c r="M366" s="1"/>
      <c r="N366" s="1"/>
      <c r="O366" s="1"/>
      <c r="P366" s="9"/>
      <c r="Q366" s="9"/>
      <c r="R366" s="8"/>
      <c r="S366" s="8"/>
      <c r="T366" s="1"/>
    </row>
    <row r="367" spans="1:20" x14ac:dyDescent="0.2">
      <c r="A367" s="14">
        <f t="shared" si="5"/>
        <v>355</v>
      </c>
      <c r="E367" s="12" t="str">
        <f>IF($C$8&gt;=A367,$E$1&amp;" "&amp;A367,"")</f>
        <v/>
      </c>
      <c r="J367" s="8"/>
      <c r="M367" s="1"/>
      <c r="N367" s="1"/>
      <c r="O367" s="1"/>
      <c r="P367" s="9"/>
      <c r="Q367" s="9"/>
      <c r="R367" s="8"/>
      <c r="S367" s="8"/>
      <c r="T367" s="1"/>
    </row>
    <row r="368" spans="1:20" x14ac:dyDescent="0.2">
      <c r="A368" s="14">
        <f t="shared" si="5"/>
        <v>356</v>
      </c>
      <c r="E368" s="12" t="str">
        <f>IF($C$8&gt;=A368,$E$1&amp;" "&amp;A368,"")</f>
        <v/>
      </c>
      <c r="J368" s="8"/>
      <c r="M368" s="1"/>
      <c r="N368" s="1"/>
      <c r="O368" s="1"/>
      <c r="P368" s="9"/>
      <c r="Q368" s="9"/>
      <c r="R368" s="8"/>
      <c r="S368" s="8"/>
      <c r="T368" s="1"/>
    </row>
    <row r="369" spans="1:20" x14ac:dyDescent="0.2">
      <c r="A369" s="14">
        <f t="shared" si="5"/>
        <v>357</v>
      </c>
      <c r="E369" s="12" t="str">
        <f>IF($C$8&gt;=A369,$E$1&amp;" "&amp;A369,"")</f>
        <v/>
      </c>
      <c r="J369" s="8"/>
      <c r="M369" s="1"/>
      <c r="N369" s="1"/>
      <c r="O369" s="1"/>
      <c r="P369" s="9"/>
      <c r="Q369" s="9"/>
      <c r="R369" s="8"/>
      <c r="S369" s="8"/>
      <c r="T369" s="1"/>
    </row>
    <row r="370" spans="1:20" x14ac:dyDescent="0.2">
      <c r="A370" s="14">
        <f t="shared" si="5"/>
        <v>358</v>
      </c>
      <c r="E370" s="12" t="str">
        <f>IF($C$8&gt;=A370,$E$1&amp;" "&amp;A370,"")</f>
        <v/>
      </c>
      <c r="J370" s="8"/>
      <c r="M370" s="1"/>
      <c r="N370" s="1"/>
      <c r="O370" s="1"/>
      <c r="P370" s="9"/>
      <c r="Q370" s="9"/>
      <c r="R370" s="8"/>
      <c r="S370" s="8"/>
      <c r="T370" s="1"/>
    </row>
    <row r="371" spans="1:20" x14ac:dyDescent="0.2">
      <c r="A371" s="14">
        <f t="shared" si="5"/>
        <v>359</v>
      </c>
      <c r="E371" s="12" t="str">
        <f>IF($C$8&gt;=A371,$E$1&amp;" "&amp;A371,"")</f>
        <v/>
      </c>
      <c r="J371" s="8"/>
      <c r="M371" s="1"/>
      <c r="N371" s="1"/>
      <c r="O371" s="1"/>
      <c r="P371" s="9"/>
      <c r="Q371" s="9"/>
      <c r="R371" s="8"/>
      <c r="S371" s="8"/>
      <c r="T371" s="1"/>
    </row>
    <row r="372" spans="1:20" x14ac:dyDescent="0.2">
      <c r="A372" s="14">
        <f t="shared" si="5"/>
        <v>360</v>
      </c>
      <c r="E372" s="12" t="str">
        <f>IF($C$8&gt;=A372,$E$1&amp;" "&amp;A372,"")</f>
        <v/>
      </c>
      <c r="J372" s="8"/>
      <c r="M372" s="1"/>
      <c r="N372" s="1"/>
      <c r="O372" s="1"/>
      <c r="P372" s="9"/>
      <c r="Q372" s="9"/>
      <c r="R372" s="8"/>
      <c r="S372" s="8"/>
      <c r="T372" s="1"/>
    </row>
    <row r="373" spans="1:20" x14ac:dyDescent="0.2">
      <c r="A373" s="14">
        <f t="shared" si="5"/>
        <v>361</v>
      </c>
      <c r="E373" s="12" t="str">
        <f>IF($C$8&gt;=A373,$E$1&amp;" "&amp;A373,"")</f>
        <v/>
      </c>
      <c r="J373" s="8"/>
      <c r="M373" s="1"/>
      <c r="N373" s="1"/>
      <c r="O373" s="1"/>
      <c r="P373" s="9"/>
      <c r="Q373" s="9"/>
      <c r="R373" s="8"/>
      <c r="S373" s="8"/>
      <c r="T373" s="1"/>
    </row>
    <row r="374" spans="1:20" x14ac:dyDescent="0.2">
      <c r="A374" s="14">
        <f t="shared" si="5"/>
        <v>362</v>
      </c>
      <c r="E374" s="12" t="str">
        <f>IF($C$8&gt;=A374,$E$1&amp;" "&amp;A374,"")</f>
        <v/>
      </c>
      <c r="J374" s="8"/>
      <c r="M374" s="1"/>
      <c r="N374" s="1"/>
      <c r="O374" s="1"/>
      <c r="P374" s="9"/>
      <c r="Q374" s="9"/>
      <c r="R374" s="8"/>
      <c r="S374" s="8"/>
      <c r="T374" s="1"/>
    </row>
    <row r="375" spans="1:20" x14ac:dyDescent="0.2">
      <c r="A375" s="14">
        <f t="shared" si="5"/>
        <v>363</v>
      </c>
      <c r="E375" s="12" t="str">
        <f>IF($C$8&gt;=A375,$E$1&amp;" "&amp;A375,"")</f>
        <v/>
      </c>
      <c r="J375" s="8"/>
      <c r="M375" s="1"/>
      <c r="N375" s="1"/>
      <c r="O375" s="1"/>
      <c r="P375" s="9"/>
      <c r="Q375" s="9"/>
      <c r="R375" s="8"/>
      <c r="S375" s="8"/>
      <c r="T375" s="1"/>
    </row>
    <row r="376" spans="1:20" x14ac:dyDescent="0.2">
      <c r="A376" s="14">
        <f t="shared" si="5"/>
        <v>364</v>
      </c>
      <c r="E376" s="12" t="str">
        <f>IF($C$8&gt;=A376,$E$1&amp;" "&amp;A376,"")</f>
        <v/>
      </c>
      <c r="J376" s="8"/>
      <c r="M376" s="1"/>
      <c r="N376" s="1"/>
      <c r="O376" s="1"/>
      <c r="P376" s="9"/>
      <c r="Q376" s="9"/>
      <c r="R376" s="8"/>
      <c r="S376" s="8"/>
      <c r="T376" s="1"/>
    </row>
    <row r="377" spans="1:20" x14ac:dyDescent="0.2">
      <c r="A377" s="14">
        <f t="shared" si="5"/>
        <v>365</v>
      </c>
      <c r="E377" s="12" t="str">
        <f>IF($C$8&gt;=A377,$E$1&amp;" "&amp;A377,"")</f>
        <v/>
      </c>
      <c r="J377" s="8"/>
      <c r="M377" s="1"/>
      <c r="N377" s="1"/>
      <c r="O377" s="1"/>
      <c r="P377" s="9"/>
      <c r="Q377" s="9"/>
      <c r="R377" s="8"/>
      <c r="S377" s="8"/>
      <c r="T377" s="1"/>
    </row>
    <row r="378" spans="1:20" x14ac:dyDescent="0.2">
      <c r="A378" s="14">
        <f t="shared" si="5"/>
        <v>366</v>
      </c>
      <c r="E378" s="12" t="str">
        <f>IF($C$8&gt;=A378,$E$1&amp;" "&amp;A378,"")</f>
        <v/>
      </c>
      <c r="J378" s="8"/>
      <c r="M378" s="1"/>
      <c r="N378" s="1"/>
      <c r="O378" s="1"/>
      <c r="P378" s="9"/>
      <c r="Q378" s="9"/>
      <c r="R378" s="8"/>
      <c r="S378" s="8"/>
      <c r="T378" s="1"/>
    </row>
    <row r="379" spans="1:20" x14ac:dyDescent="0.2">
      <c r="A379" s="14">
        <f t="shared" si="5"/>
        <v>367</v>
      </c>
      <c r="E379" s="12" t="str">
        <f>IF($C$8&gt;=A379,$E$1&amp;" "&amp;A379,"")</f>
        <v/>
      </c>
      <c r="J379" s="8"/>
      <c r="M379" s="1"/>
      <c r="N379" s="1"/>
      <c r="O379" s="1"/>
      <c r="P379" s="9"/>
      <c r="Q379" s="9"/>
      <c r="R379" s="8"/>
      <c r="S379" s="8"/>
      <c r="T379" s="1"/>
    </row>
    <row r="380" spans="1:20" x14ac:dyDescent="0.2">
      <c r="A380" s="14">
        <f t="shared" si="5"/>
        <v>368</v>
      </c>
      <c r="E380" s="12" t="str">
        <f>IF($C$8&gt;=A380,$E$1&amp;" "&amp;A380,"")</f>
        <v/>
      </c>
      <c r="J380" s="8"/>
      <c r="M380" s="1"/>
      <c r="N380" s="1"/>
      <c r="O380" s="1"/>
      <c r="P380" s="9"/>
      <c r="Q380" s="9"/>
      <c r="R380" s="8"/>
      <c r="S380" s="8"/>
      <c r="T380" s="1"/>
    </row>
    <row r="381" spans="1:20" x14ac:dyDescent="0.2">
      <c r="A381" s="14">
        <f t="shared" si="5"/>
        <v>369</v>
      </c>
      <c r="E381" s="12" t="str">
        <f>IF($C$8&gt;=A381,$E$1&amp;" "&amp;A381,"")</f>
        <v/>
      </c>
      <c r="J381" s="8"/>
      <c r="M381" s="1"/>
      <c r="N381" s="1"/>
      <c r="O381" s="1"/>
      <c r="P381" s="9"/>
      <c r="Q381" s="9"/>
      <c r="R381" s="8"/>
      <c r="S381" s="8"/>
      <c r="T381" s="1"/>
    </row>
    <row r="382" spans="1:20" x14ac:dyDescent="0.2">
      <c r="A382" s="14">
        <f t="shared" si="5"/>
        <v>370</v>
      </c>
      <c r="E382" s="12" t="str">
        <f>IF($C$8&gt;=A382,$E$1&amp;" "&amp;A382,"")</f>
        <v/>
      </c>
      <c r="J382" s="8"/>
      <c r="M382" s="1"/>
      <c r="N382" s="1"/>
      <c r="O382" s="1"/>
      <c r="P382" s="9"/>
      <c r="Q382" s="9"/>
      <c r="R382" s="8"/>
      <c r="S382" s="8"/>
      <c r="T382" s="1"/>
    </row>
    <row r="383" spans="1:20" x14ac:dyDescent="0.2">
      <c r="A383" s="14">
        <f t="shared" si="5"/>
        <v>371</v>
      </c>
      <c r="E383" s="12" t="str">
        <f>IF($C$8&gt;=A383,$E$1&amp;" "&amp;A383,"")</f>
        <v/>
      </c>
      <c r="J383" s="8"/>
      <c r="M383" s="1"/>
      <c r="N383" s="1"/>
      <c r="O383" s="1"/>
      <c r="P383" s="9"/>
      <c r="Q383" s="9"/>
      <c r="R383" s="8"/>
      <c r="S383" s="8"/>
      <c r="T383" s="1"/>
    </row>
    <row r="384" spans="1:20" x14ac:dyDescent="0.2">
      <c r="A384" s="14">
        <f t="shared" si="5"/>
        <v>372</v>
      </c>
      <c r="E384" s="12" t="str">
        <f>IF($C$8&gt;=A384,$E$1&amp;" "&amp;A384,"")</f>
        <v/>
      </c>
      <c r="J384" s="8"/>
      <c r="M384" s="1"/>
      <c r="N384" s="1"/>
      <c r="O384" s="1"/>
      <c r="P384" s="9"/>
      <c r="Q384" s="9"/>
      <c r="R384" s="8"/>
      <c r="S384" s="8"/>
      <c r="T384" s="1"/>
    </row>
    <row r="385" spans="1:20" x14ac:dyDescent="0.2">
      <c r="A385" s="14">
        <f t="shared" si="5"/>
        <v>373</v>
      </c>
      <c r="E385" s="12" t="str">
        <f>IF($C$8&gt;=A385,$E$1&amp;" "&amp;A385,"")</f>
        <v/>
      </c>
      <c r="J385" s="8"/>
      <c r="M385" s="1"/>
      <c r="N385" s="1"/>
      <c r="O385" s="1"/>
      <c r="P385" s="9"/>
      <c r="Q385" s="9"/>
      <c r="R385" s="8"/>
      <c r="S385" s="8"/>
      <c r="T385" s="1"/>
    </row>
    <row r="386" spans="1:20" x14ac:dyDescent="0.2">
      <c r="A386" s="14">
        <f t="shared" si="5"/>
        <v>374</v>
      </c>
      <c r="E386" s="12" t="str">
        <f>IF($C$8&gt;=A386,$E$1&amp;" "&amp;A386,"")</f>
        <v/>
      </c>
      <c r="J386" s="8"/>
      <c r="M386" s="1"/>
      <c r="N386" s="1"/>
      <c r="O386" s="1"/>
      <c r="P386" s="9"/>
      <c r="Q386" s="9"/>
      <c r="R386" s="8"/>
      <c r="S386" s="8"/>
      <c r="T386" s="1"/>
    </row>
    <row r="387" spans="1:20" x14ac:dyDescent="0.2">
      <c r="A387" s="14">
        <f t="shared" si="5"/>
        <v>375</v>
      </c>
      <c r="E387" s="12" t="str">
        <f>IF($C$8&gt;=A387,$E$1&amp;" "&amp;A387,"")</f>
        <v/>
      </c>
      <c r="J387" s="8"/>
      <c r="M387" s="1"/>
      <c r="N387" s="1"/>
      <c r="O387" s="1"/>
      <c r="P387" s="9"/>
      <c r="Q387" s="9"/>
      <c r="R387" s="8"/>
      <c r="S387" s="8"/>
      <c r="T387" s="1"/>
    </row>
    <row r="388" spans="1:20" x14ac:dyDescent="0.2">
      <c r="A388" s="14">
        <f t="shared" si="5"/>
        <v>376</v>
      </c>
      <c r="E388" s="12" t="str">
        <f>IF($C$8&gt;=A388,$E$1&amp;" "&amp;A388,"")</f>
        <v/>
      </c>
      <c r="J388" s="8"/>
      <c r="M388" s="1"/>
      <c r="N388" s="1"/>
      <c r="O388" s="1"/>
      <c r="P388" s="9"/>
      <c r="Q388" s="9"/>
      <c r="R388" s="8"/>
      <c r="S388" s="8"/>
      <c r="T388" s="1"/>
    </row>
    <row r="389" spans="1:20" x14ac:dyDescent="0.2">
      <c r="A389" s="14">
        <f t="shared" si="5"/>
        <v>377</v>
      </c>
      <c r="E389" s="12" t="str">
        <f>IF($C$8&gt;=A389,$E$1&amp;" "&amp;A389,"")</f>
        <v/>
      </c>
      <c r="J389" s="8"/>
      <c r="M389" s="1"/>
      <c r="N389" s="1"/>
      <c r="O389" s="1"/>
      <c r="P389" s="9"/>
      <c r="Q389" s="9"/>
      <c r="R389" s="8"/>
      <c r="S389" s="8"/>
      <c r="T389" s="1"/>
    </row>
    <row r="390" spans="1:20" x14ac:dyDescent="0.2">
      <c r="A390" s="14">
        <f t="shared" si="5"/>
        <v>378</v>
      </c>
      <c r="E390" s="12" t="str">
        <f>IF($C$8&gt;=A390,$E$1&amp;" "&amp;A390,"")</f>
        <v/>
      </c>
      <c r="J390" s="8"/>
      <c r="M390" s="1"/>
      <c r="N390" s="1"/>
      <c r="O390" s="1"/>
      <c r="P390" s="9"/>
      <c r="Q390" s="9"/>
      <c r="R390" s="8"/>
      <c r="S390" s="8"/>
      <c r="T390" s="1"/>
    </row>
    <row r="391" spans="1:20" x14ac:dyDescent="0.2">
      <c r="A391" s="14">
        <f t="shared" si="5"/>
        <v>379</v>
      </c>
      <c r="E391" s="12" t="str">
        <f>IF($C$8&gt;=A391,$E$1&amp;" "&amp;A391,"")</f>
        <v/>
      </c>
      <c r="J391" s="8"/>
      <c r="M391" s="1"/>
      <c r="N391" s="1"/>
      <c r="O391" s="1"/>
      <c r="P391" s="9"/>
      <c r="Q391" s="9"/>
      <c r="R391" s="8"/>
      <c r="S391" s="8"/>
      <c r="T391" s="1"/>
    </row>
    <row r="392" spans="1:20" x14ac:dyDescent="0.2">
      <c r="A392" s="14">
        <f t="shared" si="5"/>
        <v>380</v>
      </c>
      <c r="E392" s="12" t="str">
        <f>IF($C$8&gt;=A392,$E$1&amp;" "&amp;A392,"")</f>
        <v/>
      </c>
      <c r="J392" s="8"/>
      <c r="M392" s="1"/>
      <c r="N392" s="1"/>
      <c r="O392" s="1"/>
      <c r="P392" s="9"/>
      <c r="Q392" s="9"/>
      <c r="R392" s="8"/>
      <c r="S392" s="8"/>
      <c r="T392" s="1"/>
    </row>
    <row r="393" spans="1:20" x14ac:dyDescent="0.2">
      <c r="A393" s="14">
        <f t="shared" si="5"/>
        <v>381</v>
      </c>
      <c r="E393" s="12" t="str">
        <f>IF($C$8&gt;=A393,$E$1&amp;" "&amp;A393,"")</f>
        <v/>
      </c>
      <c r="J393" s="8"/>
      <c r="M393" s="1"/>
      <c r="N393" s="1"/>
      <c r="O393" s="1"/>
      <c r="P393" s="9"/>
      <c r="Q393" s="9"/>
      <c r="R393" s="8"/>
      <c r="S393" s="8"/>
      <c r="T393" s="1"/>
    </row>
    <row r="394" spans="1:20" x14ac:dyDescent="0.2">
      <c r="A394" s="14">
        <f t="shared" si="5"/>
        <v>382</v>
      </c>
      <c r="E394" s="12" t="str">
        <f>IF($C$8&gt;=A394,$E$1&amp;" "&amp;A394,"")</f>
        <v/>
      </c>
      <c r="J394" s="8"/>
      <c r="M394" s="1"/>
      <c r="N394" s="1"/>
      <c r="O394" s="1"/>
      <c r="P394" s="9"/>
      <c r="Q394" s="9"/>
      <c r="R394" s="8"/>
      <c r="S394" s="8"/>
      <c r="T394" s="1"/>
    </row>
    <row r="395" spans="1:20" x14ac:dyDescent="0.2">
      <c r="A395" s="14">
        <f t="shared" si="5"/>
        <v>383</v>
      </c>
      <c r="E395" s="12" t="str">
        <f>IF($C$8&gt;=A395,$E$1&amp;" "&amp;A395,"")</f>
        <v/>
      </c>
      <c r="J395" s="8"/>
      <c r="M395" s="1"/>
      <c r="N395" s="1"/>
      <c r="O395" s="1"/>
      <c r="P395" s="9"/>
      <c r="Q395" s="9"/>
      <c r="R395" s="8"/>
      <c r="S395" s="8"/>
      <c r="T395" s="1"/>
    </row>
    <row r="396" spans="1:20" x14ac:dyDescent="0.2">
      <c r="A396" s="14">
        <f t="shared" si="5"/>
        <v>384</v>
      </c>
      <c r="E396" s="12" t="str">
        <f>IF($C$8&gt;=A396,$E$1&amp;" "&amp;A396,"")</f>
        <v/>
      </c>
      <c r="J396" s="8"/>
      <c r="M396" s="1"/>
      <c r="N396" s="1"/>
      <c r="O396" s="1"/>
      <c r="P396" s="9"/>
      <c r="Q396" s="9"/>
      <c r="R396" s="8"/>
      <c r="S396" s="8"/>
      <c r="T396" s="1"/>
    </row>
    <row r="397" spans="1:20" x14ac:dyDescent="0.2">
      <c r="A397" s="14">
        <f t="shared" si="5"/>
        <v>385</v>
      </c>
      <c r="E397" s="12" t="str">
        <f>IF($C$8&gt;=A397,$E$1&amp;" "&amp;A397,"")</f>
        <v/>
      </c>
      <c r="J397" s="8"/>
      <c r="M397" s="1"/>
      <c r="N397" s="1"/>
      <c r="O397" s="1"/>
      <c r="P397" s="9"/>
      <c r="Q397" s="9"/>
      <c r="R397" s="8"/>
      <c r="S397" s="8"/>
      <c r="T397" s="1"/>
    </row>
    <row r="398" spans="1:20" x14ac:dyDescent="0.2">
      <c r="A398" s="14">
        <f t="shared" si="5"/>
        <v>386</v>
      </c>
      <c r="E398" s="12" t="str">
        <f>IF($C$8&gt;=A398,$E$1&amp;" "&amp;A398,"")</f>
        <v/>
      </c>
      <c r="J398" s="8"/>
      <c r="M398" s="1"/>
      <c r="N398" s="1"/>
      <c r="O398" s="1"/>
      <c r="P398" s="9"/>
      <c r="Q398" s="9"/>
      <c r="R398" s="8"/>
      <c r="S398" s="8"/>
      <c r="T398" s="1"/>
    </row>
    <row r="399" spans="1:20" x14ac:dyDescent="0.2">
      <c r="A399" s="14">
        <f t="shared" ref="A399:A462" si="6">A398+1</f>
        <v>387</v>
      </c>
      <c r="E399" s="12" t="str">
        <f>IF($C$8&gt;=A399,$E$1&amp;" "&amp;A399,"")</f>
        <v/>
      </c>
      <c r="J399" s="8"/>
      <c r="M399" s="1"/>
      <c r="N399" s="1"/>
      <c r="O399" s="1"/>
      <c r="P399" s="9"/>
      <c r="Q399" s="9"/>
      <c r="R399" s="8"/>
      <c r="S399" s="8"/>
      <c r="T399" s="1"/>
    </row>
    <row r="400" spans="1:20" x14ac:dyDescent="0.2">
      <c r="A400" s="14">
        <f t="shared" si="6"/>
        <v>388</v>
      </c>
      <c r="E400" s="12" t="str">
        <f>IF($C$8&gt;=A400,$E$1&amp;" "&amp;A400,"")</f>
        <v/>
      </c>
      <c r="J400" s="8"/>
      <c r="M400" s="1"/>
      <c r="N400" s="1"/>
      <c r="O400" s="1"/>
      <c r="P400" s="9"/>
      <c r="Q400" s="9"/>
      <c r="R400" s="8"/>
      <c r="S400" s="8"/>
      <c r="T400" s="1"/>
    </row>
    <row r="401" spans="1:20" x14ac:dyDescent="0.2">
      <c r="A401" s="14">
        <f t="shared" si="6"/>
        <v>389</v>
      </c>
      <c r="E401" s="12" t="str">
        <f>IF($C$8&gt;=A401,$E$1&amp;" "&amp;A401,"")</f>
        <v/>
      </c>
      <c r="J401" s="8"/>
      <c r="M401" s="1"/>
      <c r="N401" s="1"/>
      <c r="O401" s="1"/>
      <c r="P401" s="9"/>
      <c r="Q401" s="9"/>
      <c r="R401" s="8"/>
      <c r="S401" s="8"/>
      <c r="T401" s="1"/>
    </row>
    <row r="402" spans="1:20" x14ac:dyDescent="0.2">
      <c r="A402" s="14">
        <f t="shared" si="6"/>
        <v>390</v>
      </c>
      <c r="E402" s="12" t="str">
        <f>IF($C$8&gt;=A402,$E$1&amp;" "&amp;A402,"")</f>
        <v/>
      </c>
      <c r="J402" s="8"/>
      <c r="M402" s="1"/>
      <c r="N402" s="1"/>
      <c r="O402" s="1"/>
      <c r="P402" s="9"/>
      <c r="Q402" s="9"/>
      <c r="R402" s="8"/>
      <c r="S402" s="8"/>
      <c r="T402" s="1"/>
    </row>
    <row r="403" spans="1:20" x14ac:dyDescent="0.2">
      <c r="A403" s="14">
        <f t="shared" si="6"/>
        <v>391</v>
      </c>
      <c r="E403" s="12" t="str">
        <f>IF($C$8&gt;=A403,$E$1&amp;" "&amp;A403,"")</f>
        <v/>
      </c>
      <c r="J403" s="8"/>
      <c r="M403" s="1"/>
      <c r="N403" s="1"/>
      <c r="O403" s="1"/>
      <c r="P403" s="9"/>
      <c r="Q403" s="9"/>
      <c r="R403" s="8"/>
      <c r="S403" s="8"/>
      <c r="T403" s="1"/>
    </row>
    <row r="404" spans="1:20" x14ac:dyDescent="0.2">
      <c r="A404" s="14">
        <f t="shared" si="6"/>
        <v>392</v>
      </c>
      <c r="E404" s="12" t="str">
        <f>IF($C$8&gt;=A404,$E$1&amp;" "&amp;A404,"")</f>
        <v/>
      </c>
      <c r="J404" s="8"/>
      <c r="M404" s="1"/>
      <c r="N404" s="1"/>
      <c r="O404" s="1"/>
      <c r="P404" s="9"/>
      <c r="Q404" s="9"/>
      <c r="R404" s="8"/>
      <c r="S404" s="8"/>
      <c r="T404" s="1"/>
    </row>
    <row r="405" spans="1:20" x14ac:dyDescent="0.2">
      <c r="A405" s="14">
        <f t="shared" si="6"/>
        <v>393</v>
      </c>
      <c r="E405" s="12" t="str">
        <f>IF($C$8&gt;=A405,$E$1&amp;" "&amp;A405,"")</f>
        <v/>
      </c>
      <c r="J405" s="8"/>
      <c r="M405" s="1"/>
      <c r="N405" s="1"/>
      <c r="O405" s="1"/>
      <c r="P405" s="9"/>
      <c r="Q405" s="9"/>
      <c r="R405" s="8"/>
      <c r="S405" s="8"/>
      <c r="T405" s="1"/>
    </row>
    <row r="406" spans="1:20" x14ac:dyDescent="0.2">
      <c r="A406" s="14">
        <f t="shared" si="6"/>
        <v>394</v>
      </c>
      <c r="E406" s="12" t="str">
        <f>IF($C$8&gt;=A406,$E$1&amp;" "&amp;A406,"")</f>
        <v/>
      </c>
      <c r="J406" s="8"/>
      <c r="M406" s="1"/>
      <c r="N406" s="1"/>
      <c r="O406" s="1"/>
      <c r="P406" s="9"/>
      <c r="Q406" s="9"/>
      <c r="R406" s="8"/>
      <c r="S406" s="8"/>
      <c r="T406" s="1"/>
    </row>
    <row r="407" spans="1:20" x14ac:dyDescent="0.2">
      <c r="A407" s="14">
        <f t="shared" si="6"/>
        <v>395</v>
      </c>
      <c r="E407" s="12" t="str">
        <f>IF($C$8&gt;=A407,$E$1&amp;" "&amp;A407,"")</f>
        <v/>
      </c>
      <c r="J407" s="8"/>
      <c r="M407" s="1"/>
      <c r="N407" s="1"/>
      <c r="O407" s="1"/>
      <c r="P407" s="9"/>
      <c r="Q407" s="9"/>
      <c r="R407" s="8"/>
      <c r="S407" s="8"/>
      <c r="T407" s="1"/>
    </row>
    <row r="408" spans="1:20" x14ac:dyDescent="0.2">
      <c r="A408" s="14">
        <f t="shared" si="6"/>
        <v>396</v>
      </c>
      <c r="E408" s="12" t="str">
        <f>IF($C$8&gt;=A408,$E$1&amp;" "&amp;A408,"")</f>
        <v/>
      </c>
      <c r="J408" s="8"/>
      <c r="M408" s="1"/>
      <c r="N408" s="1"/>
      <c r="O408" s="1"/>
      <c r="P408" s="9"/>
      <c r="Q408" s="9"/>
      <c r="R408" s="8"/>
      <c r="S408" s="8"/>
      <c r="T408" s="1"/>
    </row>
    <row r="409" spans="1:20" x14ac:dyDescent="0.2">
      <c r="A409" s="14">
        <f t="shared" si="6"/>
        <v>397</v>
      </c>
      <c r="E409" s="12" t="str">
        <f>IF($C$8&gt;=A409,$E$1&amp;" "&amp;A409,"")</f>
        <v/>
      </c>
      <c r="J409" s="8"/>
      <c r="M409" s="1"/>
      <c r="N409" s="1"/>
      <c r="O409" s="1"/>
      <c r="P409" s="9"/>
      <c r="Q409" s="9"/>
      <c r="R409" s="8"/>
      <c r="S409" s="8"/>
      <c r="T409" s="1"/>
    </row>
    <row r="410" spans="1:20" x14ac:dyDescent="0.2">
      <c r="A410" s="14">
        <f t="shared" si="6"/>
        <v>398</v>
      </c>
      <c r="E410" s="12" t="str">
        <f>IF($C$8&gt;=A410,$E$1&amp;" "&amp;A410,"")</f>
        <v/>
      </c>
      <c r="J410" s="8"/>
      <c r="M410" s="1"/>
      <c r="N410" s="1"/>
      <c r="O410" s="1"/>
      <c r="P410" s="9"/>
      <c r="Q410" s="9"/>
      <c r="R410" s="8"/>
      <c r="S410" s="8"/>
      <c r="T410" s="1"/>
    </row>
    <row r="411" spans="1:20" x14ac:dyDescent="0.2">
      <c r="A411" s="14">
        <f t="shared" si="6"/>
        <v>399</v>
      </c>
      <c r="E411" s="12" t="str">
        <f>IF($C$8&gt;=A411,$E$1&amp;" "&amp;A411,"")</f>
        <v/>
      </c>
      <c r="J411" s="8"/>
      <c r="M411" s="1"/>
      <c r="N411" s="1"/>
      <c r="O411" s="1"/>
      <c r="P411" s="9"/>
      <c r="Q411" s="9"/>
      <c r="R411" s="8"/>
      <c r="S411" s="8"/>
      <c r="T411" s="1"/>
    </row>
    <row r="412" spans="1:20" x14ac:dyDescent="0.2">
      <c r="A412" s="14">
        <f t="shared" si="6"/>
        <v>400</v>
      </c>
      <c r="E412" s="12" t="str">
        <f>IF($C$8&gt;=A412,$E$1&amp;" "&amp;A412,"")</f>
        <v/>
      </c>
      <c r="J412" s="8"/>
      <c r="M412" s="1"/>
      <c r="N412" s="1"/>
      <c r="O412" s="1"/>
      <c r="P412" s="9"/>
      <c r="Q412" s="9"/>
      <c r="R412" s="8"/>
      <c r="S412" s="8"/>
      <c r="T412" s="1"/>
    </row>
    <row r="413" spans="1:20" x14ac:dyDescent="0.2">
      <c r="A413" s="14">
        <f t="shared" si="6"/>
        <v>401</v>
      </c>
      <c r="E413" s="12" t="str">
        <f>IF($C$8&gt;=A413,$E$1&amp;" "&amp;A413,"")</f>
        <v/>
      </c>
      <c r="J413" s="8"/>
      <c r="M413" s="1"/>
      <c r="N413" s="1"/>
      <c r="O413" s="1"/>
      <c r="P413" s="9"/>
      <c r="Q413" s="9"/>
      <c r="R413" s="8"/>
      <c r="S413" s="8"/>
      <c r="T413" s="1"/>
    </row>
    <row r="414" spans="1:20" x14ac:dyDescent="0.2">
      <c r="A414" s="14">
        <f t="shared" si="6"/>
        <v>402</v>
      </c>
      <c r="E414" s="12" t="str">
        <f>IF($C$8&gt;=A414,$E$1&amp;" "&amp;A414,"")</f>
        <v/>
      </c>
      <c r="J414" s="8"/>
      <c r="M414" s="1"/>
      <c r="N414" s="1"/>
      <c r="O414" s="1"/>
      <c r="P414" s="9"/>
      <c r="Q414" s="9"/>
      <c r="R414" s="8"/>
      <c r="S414" s="8"/>
      <c r="T414" s="1"/>
    </row>
    <row r="415" spans="1:20" x14ac:dyDescent="0.2">
      <c r="A415" s="14">
        <f t="shared" si="6"/>
        <v>403</v>
      </c>
      <c r="E415" s="12" t="str">
        <f>IF($C$8&gt;=A415,$E$1&amp;" "&amp;A415,"")</f>
        <v/>
      </c>
      <c r="J415" s="8"/>
      <c r="M415" s="1"/>
      <c r="N415" s="1"/>
      <c r="O415" s="1"/>
      <c r="P415" s="9"/>
      <c r="Q415" s="9"/>
      <c r="R415" s="8"/>
      <c r="S415" s="8"/>
      <c r="T415" s="1"/>
    </row>
    <row r="416" spans="1:20" x14ac:dyDescent="0.2">
      <c r="A416" s="14">
        <f t="shared" si="6"/>
        <v>404</v>
      </c>
      <c r="E416" s="12" t="str">
        <f>IF($C$8&gt;=A416,$E$1&amp;" "&amp;A416,"")</f>
        <v/>
      </c>
      <c r="J416" s="8"/>
      <c r="M416" s="1"/>
      <c r="N416" s="1"/>
      <c r="O416" s="1"/>
      <c r="P416" s="9"/>
      <c r="Q416" s="9"/>
      <c r="R416" s="8"/>
      <c r="S416" s="8"/>
      <c r="T416" s="1"/>
    </row>
    <row r="417" spans="1:20" x14ac:dyDescent="0.2">
      <c r="A417" s="14">
        <f t="shared" si="6"/>
        <v>405</v>
      </c>
      <c r="E417" s="12" t="str">
        <f>IF($C$8&gt;=A417,$E$1&amp;" "&amp;A417,"")</f>
        <v/>
      </c>
      <c r="J417" s="8"/>
      <c r="M417" s="1"/>
      <c r="N417" s="1"/>
      <c r="O417" s="1"/>
      <c r="P417" s="9"/>
      <c r="Q417" s="9"/>
      <c r="R417" s="8"/>
      <c r="S417" s="8"/>
      <c r="T417" s="1"/>
    </row>
    <row r="418" spans="1:20" x14ac:dyDescent="0.2">
      <c r="A418" s="14">
        <f t="shared" si="6"/>
        <v>406</v>
      </c>
      <c r="E418" s="12" t="str">
        <f>IF($C$8&gt;=A418,$E$1&amp;" "&amp;A418,"")</f>
        <v/>
      </c>
      <c r="J418" s="8"/>
      <c r="M418" s="1"/>
      <c r="N418" s="1"/>
      <c r="O418" s="1"/>
      <c r="P418" s="9"/>
      <c r="Q418" s="9"/>
      <c r="R418" s="8"/>
      <c r="S418" s="8"/>
      <c r="T418" s="1"/>
    </row>
    <row r="419" spans="1:20" x14ac:dyDescent="0.2">
      <c r="A419" s="14">
        <f t="shared" si="6"/>
        <v>407</v>
      </c>
      <c r="E419" s="12" t="str">
        <f>IF($C$8&gt;=A419,$E$1&amp;" "&amp;A419,"")</f>
        <v/>
      </c>
      <c r="J419" s="8"/>
      <c r="M419" s="1"/>
      <c r="N419" s="1"/>
      <c r="O419" s="1"/>
      <c r="P419" s="9"/>
      <c r="Q419" s="9"/>
      <c r="R419" s="8"/>
      <c r="S419" s="8"/>
      <c r="T419" s="1"/>
    </row>
    <row r="420" spans="1:20" x14ac:dyDescent="0.2">
      <c r="A420" s="14">
        <f t="shared" si="6"/>
        <v>408</v>
      </c>
      <c r="E420" s="12" t="str">
        <f>IF($C$8&gt;=A420,$E$1&amp;" "&amp;A420,"")</f>
        <v/>
      </c>
      <c r="J420" s="8"/>
      <c r="M420" s="1"/>
      <c r="N420" s="1"/>
      <c r="O420" s="1"/>
      <c r="P420" s="9"/>
      <c r="Q420" s="9"/>
      <c r="R420" s="8"/>
      <c r="S420" s="8"/>
      <c r="T420" s="1"/>
    </row>
    <row r="421" spans="1:20" x14ac:dyDescent="0.2">
      <c r="A421" s="14">
        <f t="shared" si="6"/>
        <v>409</v>
      </c>
      <c r="E421" s="12" t="str">
        <f>IF($C$8&gt;=A421,$E$1&amp;" "&amp;A421,"")</f>
        <v/>
      </c>
      <c r="J421" s="8"/>
      <c r="M421" s="1"/>
      <c r="N421" s="1"/>
      <c r="O421" s="1"/>
      <c r="P421" s="9"/>
      <c r="Q421" s="9"/>
      <c r="R421" s="8"/>
      <c r="S421" s="8"/>
      <c r="T421" s="1"/>
    </row>
    <row r="422" spans="1:20" x14ac:dyDescent="0.2">
      <c r="A422" s="14">
        <f t="shared" si="6"/>
        <v>410</v>
      </c>
      <c r="E422" s="12" t="str">
        <f>IF($C$8&gt;=A422,$E$1&amp;" "&amp;A422,"")</f>
        <v/>
      </c>
      <c r="J422" s="8"/>
      <c r="M422" s="1"/>
      <c r="N422" s="1"/>
      <c r="O422" s="1"/>
      <c r="P422" s="9"/>
      <c r="Q422" s="9"/>
      <c r="R422" s="8"/>
      <c r="S422" s="8"/>
      <c r="T422" s="1"/>
    </row>
    <row r="423" spans="1:20" x14ac:dyDescent="0.2">
      <c r="A423" s="14">
        <f t="shared" si="6"/>
        <v>411</v>
      </c>
      <c r="E423" s="12" t="str">
        <f>IF($C$8&gt;=A423,$E$1&amp;" "&amp;A423,"")</f>
        <v/>
      </c>
      <c r="J423" s="8"/>
      <c r="M423" s="1"/>
      <c r="N423" s="1"/>
      <c r="O423" s="1"/>
      <c r="P423" s="9"/>
      <c r="Q423" s="9"/>
      <c r="R423" s="8"/>
      <c r="S423" s="8"/>
      <c r="T423" s="1"/>
    </row>
    <row r="424" spans="1:20" x14ac:dyDescent="0.2">
      <c r="A424" s="14">
        <f t="shared" si="6"/>
        <v>412</v>
      </c>
      <c r="E424" s="12" t="str">
        <f>IF($C$8&gt;=A424,$E$1&amp;" "&amp;A424,"")</f>
        <v/>
      </c>
      <c r="J424" s="8"/>
      <c r="M424" s="1"/>
      <c r="N424" s="1"/>
      <c r="O424" s="1"/>
      <c r="P424" s="9"/>
      <c r="Q424" s="9"/>
      <c r="R424" s="8"/>
      <c r="S424" s="8"/>
      <c r="T424" s="1"/>
    </row>
    <row r="425" spans="1:20" x14ac:dyDescent="0.2">
      <c r="A425" s="14">
        <f t="shared" si="6"/>
        <v>413</v>
      </c>
      <c r="E425" s="12" t="str">
        <f>IF($C$8&gt;=A425,$E$1&amp;" "&amp;A425,"")</f>
        <v/>
      </c>
      <c r="J425" s="8"/>
      <c r="M425" s="1"/>
      <c r="N425" s="1"/>
      <c r="O425" s="1"/>
      <c r="P425" s="9"/>
      <c r="Q425" s="9"/>
      <c r="R425" s="8"/>
      <c r="S425" s="8"/>
      <c r="T425" s="1"/>
    </row>
    <row r="426" spans="1:20" x14ac:dyDescent="0.2">
      <c r="A426" s="14">
        <f t="shared" si="6"/>
        <v>414</v>
      </c>
      <c r="E426" s="12" t="str">
        <f>IF($C$8&gt;=A426,$E$1&amp;" "&amp;A426,"")</f>
        <v/>
      </c>
      <c r="J426" s="8"/>
      <c r="M426" s="1"/>
      <c r="N426" s="1"/>
      <c r="O426" s="1"/>
      <c r="P426" s="9"/>
      <c r="Q426" s="9"/>
      <c r="R426" s="8"/>
      <c r="S426" s="8"/>
      <c r="T426" s="1"/>
    </row>
    <row r="427" spans="1:20" x14ac:dyDescent="0.2">
      <c r="A427" s="14">
        <f t="shared" si="6"/>
        <v>415</v>
      </c>
      <c r="E427" s="12" t="str">
        <f>IF($C$8&gt;=A427,$E$1&amp;" "&amp;A427,"")</f>
        <v/>
      </c>
      <c r="J427" s="8"/>
      <c r="M427" s="1"/>
      <c r="N427" s="1"/>
      <c r="O427" s="1"/>
      <c r="P427" s="9"/>
      <c r="Q427" s="9"/>
      <c r="R427" s="8"/>
      <c r="S427" s="8"/>
      <c r="T427" s="1"/>
    </row>
    <row r="428" spans="1:20" x14ac:dyDescent="0.2">
      <c r="A428" s="14">
        <f t="shared" si="6"/>
        <v>416</v>
      </c>
      <c r="E428" s="12" t="str">
        <f>IF($C$8&gt;=A428,$E$1&amp;" "&amp;A428,"")</f>
        <v/>
      </c>
      <c r="J428" s="8"/>
      <c r="M428" s="1"/>
      <c r="N428" s="1"/>
      <c r="O428" s="1"/>
      <c r="P428" s="9"/>
      <c r="Q428" s="9"/>
      <c r="R428" s="8"/>
      <c r="S428" s="8"/>
      <c r="T428" s="1"/>
    </row>
    <row r="429" spans="1:20" x14ac:dyDescent="0.2">
      <c r="A429" s="14">
        <f t="shared" si="6"/>
        <v>417</v>
      </c>
      <c r="E429" s="12" t="str">
        <f>IF($C$8&gt;=A429,$E$1&amp;" "&amp;A429,"")</f>
        <v/>
      </c>
      <c r="J429" s="8"/>
      <c r="M429" s="1"/>
      <c r="N429" s="1"/>
      <c r="O429" s="1"/>
      <c r="P429" s="9"/>
      <c r="Q429" s="9"/>
      <c r="R429" s="8"/>
      <c r="S429" s="8"/>
      <c r="T429" s="1"/>
    </row>
    <row r="430" spans="1:20" x14ac:dyDescent="0.2">
      <c r="A430" s="14">
        <f t="shared" si="6"/>
        <v>418</v>
      </c>
      <c r="E430" s="12" t="str">
        <f>IF($C$8&gt;=A430,$E$1&amp;" "&amp;A430,"")</f>
        <v/>
      </c>
      <c r="J430" s="8"/>
      <c r="M430" s="1"/>
      <c r="N430" s="1"/>
      <c r="O430" s="1"/>
      <c r="P430" s="9"/>
      <c r="Q430" s="9"/>
      <c r="R430" s="8"/>
      <c r="S430" s="8"/>
      <c r="T430" s="1"/>
    </row>
    <row r="431" spans="1:20" x14ac:dyDescent="0.2">
      <c r="A431" s="14">
        <f t="shared" si="6"/>
        <v>419</v>
      </c>
      <c r="E431" s="12" t="str">
        <f>IF($C$8&gt;=A431,$E$1&amp;" "&amp;A431,"")</f>
        <v/>
      </c>
      <c r="J431" s="8"/>
      <c r="M431" s="1"/>
      <c r="N431" s="1"/>
      <c r="O431" s="1"/>
      <c r="P431" s="9"/>
      <c r="Q431" s="9"/>
      <c r="R431" s="8"/>
      <c r="S431" s="8"/>
      <c r="T431" s="1"/>
    </row>
    <row r="432" spans="1:20" x14ac:dyDescent="0.2">
      <c r="A432" s="14">
        <f t="shared" si="6"/>
        <v>420</v>
      </c>
      <c r="E432" s="12" t="str">
        <f>IF($C$8&gt;=A432,$E$1&amp;" "&amp;A432,"")</f>
        <v/>
      </c>
      <c r="J432" s="8"/>
      <c r="M432" s="1"/>
      <c r="N432" s="1"/>
      <c r="O432" s="1"/>
      <c r="P432" s="9"/>
      <c r="Q432" s="9"/>
      <c r="R432" s="8"/>
      <c r="S432" s="8"/>
      <c r="T432" s="1"/>
    </row>
    <row r="433" spans="1:20" x14ac:dyDescent="0.2">
      <c r="A433" s="14">
        <f t="shared" si="6"/>
        <v>421</v>
      </c>
      <c r="E433" s="12" t="str">
        <f>IF($C$8&gt;=A433,$E$1&amp;" "&amp;A433,"")</f>
        <v/>
      </c>
      <c r="J433" s="8"/>
      <c r="M433" s="1"/>
      <c r="N433" s="1"/>
      <c r="O433" s="1"/>
      <c r="P433" s="9"/>
      <c r="Q433" s="9"/>
      <c r="R433" s="8"/>
      <c r="S433" s="8"/>
      <c r="T433" s="1"/>
    </row>
    <row r="434" spans="1:20" x14ac:dyDescent="0.2">
      <c r="A434" s="14">
        <f t="shared" si="6"/>
        <v>422</v>
      </c>
      <c r="E434" s="12" t="str">
        <f>IF($C$8&gt;=A434,$E$1&amp;" "&amp;A434,"")</f>
        <v/>
      </c>
      <c r="J434" s="8"/>
      <c r="M434" s="1"/>
      <c r="N434" s="1"/>
      <c r="O434" s="1"/>
      <c r="P434" s="9"/>
      <c r="Q434" s="9"/>
      <c r="R434" s="8"/>
      <c r="S434" s="8"/>
      <c r="T434" s="1"/>
    </row>
    <row r="435" spans="1:20" x14ac:dyDescent="0.2">
      <c r="A435" s="14">
        <f t="shared" si="6"/>
        <v>423</v>
      </c>
      <c r="E435" s="12" t="str">
        <f>IF($C$8&gt;=A435,$E$1&amp;" "&amp;A435,"")</f>
        <v/>
      </c>
      <c r="J435" s="8"/>
      <c r="M435" s="1"/>
      <c r="N435" s="1"/>
      <c r="O435" s="1"/>
      <c r="P435" s="9"/>
      <c r="Q435" s="9"/>
      <c r="R435" s="8"/>
      <c r="S435" s="8"/>
      <c r="T435" s="1"/>
    </row>
    <row r="436" spans="1:20" x14ac:dyDescent="0.2">
      <c r="A436" s="14">
        <f t="shared" si="6"/>
        <v>424</v>
      </c>
      <c r="E436" s="12" t="str">
        <f>IF($C$8&gt;=A436,$E$1&amp;" "&amp;A436,"")</f>
        <v/>
      </c>
      <c r="J436" s="8"/>
      <c r="M436" s="1"/>
      <c r="N436" s="1"/>
      <c r="O436" s="1"/>
      <c r="P436" s="9"/>
      <c r="Q436" s="9"/>
      <c r="R436" s="8"/>
      <c r="S436" s="8"/>
      <c r="T436" s="1"/>
    </row>
    <row r="437" spans="1:20" x14ac:dyDescent="0.2">
      <c r="A437" s="14">
        <f t="shared" si="6"/>
        <v>425</v>
      </c>
      <c r="E437" s="12" t="str">
        <f>IF($C$8&gt;=A437,$E$1&amp;" "&amp;A437,"")</f>
        <v/>
      </c>
      <c r="J437" s="8"/>
      <c r="M437" s="1"/>
      <c r="N437" s="1"/>
      <c r="O437" s="1"/>
      <c r="P437" s="9"/>
      <c r="Q437" s="9"/>
      <c r="R437" s="8"/>
      <c r="S437" s="8"/>
      <c r="T437" s="1"/>
    </row>
    <row r="438" spans="1:20" x14ac:dyDescent="0.2">
      <c r="A438" s="14">
        <f t="shared" si="6"/>
        <v>426</v>
      </c>
      <c r="E438" s="12" t="str">
        <f>IF($C$8&gt;=A438,$E$1&amp;" "&amp;A438,"")</f>
        <v/>
      </c>
      <c r="J438" s="8"/>
      <c r="M438" s="1"/>
      <c r="N438" s="1"/>
      <c r="O438" s="1"/>
      <c r="P438" s="9"/>
      <c r="Q438" s="9"/>
      <c r="R438" s="8"/>
      <c r="S438" s="8"/>
      <c r="T438" s="1"/>
    </row>
    <row r="439" spans="1:20" x14ac:dyDescent="0.2">
      <c r="A439" s="14">
        <f t="shared" si="6"/>
        <v>427</v>
      </c>
      <c r="E439" s="12" t="str">
        <f>IF($C$8&gt;=A439,$E$1&amp;" "&amp;A439,"")</f>
        <v/>
      </c>
      <c r="J439" s="8"/>
      <c r="M439" s="1"/>
      <c r="N439" s="1"/>
      <c r="O439" s="1"/>
      <c r="P439" s="9"/>
      <c r="Q439" s="9"/>
      <c r="R439" s="8"/>
      <c r="S439" s="8"/>
      <c r="T439" s="1"/>
    </row>
    <row r="440" spans="1:20" x14ac:dyDescent="0.2">
      <c r="A440" s="14">
        <f t="shared" si="6"/>
        <v>428</v>
      </c>
      <c r="E440" s="12" t="str">
        <f>IF($C$8&gt;=A440,$E$1&amp;" "&amp;A440,"")</f>
        <v/>
      </c>
      <c r="J440" s="8"/>
      <c r="M440" s="1"/>
      <c r="N440" s="1"/>
      <c r="O440" s="1"/>
      <c r="P440" s="9"/>
      <c r="Q440" s="9"/>
      <c r="R440" s="8"/>
      <c r="S440" s="8"/>
      <c r="T440" s="1"/>
    </row>
    <row r="441" spans="1:20" x14ac:dyDescent="0.2">
      <c r="A441" s="14">
        <f t="shared" si="6"/>
        <v>429</v>
      </c>
      <c r="E441" s="12" t="str">
        <f>IF($C$8&gt;=A441,$E$1&amp;" "&amp;A441,"")</f>
        <v/>
      </c>
      <c r="J441" s="8"/>
      <c r="M441" s="1"/>
      <c r="N441" s="1"/>
      <c r="O441" s="1"/>
      <c r="P441" s="9"/>
      <c r="Q441" s="9"/>
      <c r="R441" s="8"/>
      <c r="S441" s="8"/>
      <c r="T441" s="1"/>
    </row>
    <row r="442" spans="1:20" x14ac:dyDescent="0.2">
      <c r="A442" s="14">
        <f t="shared" si="6"/>
        <v>430</v>
      </c>
      <c r="E442" s="12" t="str">
        <f>IF($C$8&gt;=A442,$E$1&amp;" "&amp;A442,"")</f>
        <v/>
      </c>
      <c r="J442" s="8"/>
      <c r="M442" s="1"/>
      <c r="N442" s="1"/>
      <c r="O442" s="1"/>
      <c r="P442" s="9"/>
      <c r="Q442" s="9"/>
      <c r="R442" s="8"/>
      <c r="S442" s="8"/>
      <c r="T442" s="1"/>
    </row>
    <row r="443" spans="1:20" x14ac:dyDescent="0.2">
      <c r="A443" s="14">
        <f t="shared" si="6"/>
        <v>431</v>
      </c>
      <c r="E443" s="12" t="str">
        <f>IF($C$8&gt;=A443,$E$1&amp;" "&amp;A443,"")</f>
        <v/>
      </c>
      <c r="J443" s="8"/>
      <c r="M443" s="1"/>
      <c r="N443" s="1"/>
      <c r="O443" s="1"/>
      <c r="P443" s="9"/>
      <c r="Q443" s="9"/>
      <c r="R443" s="8"/>
      <c r="S443" s="8"/>
      <c r="T443" s="1"/>
    </row>
    <row r="444" spans="1:20" x14ac:dyDescent="0.2">
      <c r="A444" s="14">
        <f t="shared" si="6"/>
        <v>432</v>
      </c>
      <c r="E444" s="12" t="str">
        <f>IF($C$8&gt;=A444,$E$1&amp;" "&amp;A444,"")</f>
        <v/>
      </c>
      <c r="J444" s="8"/>
      <c r="M444" s="1"/>
      <c r="N444" s="1"/>
      <c r="O444" s="1"/>
      <c r="P444" s="9"/>
      <c r="Q444" s="9"/>
      <c r="R444" s="8"/>
      <c r="S444" s="8"/>
      <c r="T444" s="1"/>
    </row>
    <row r="445" spans="1:20" x14ac:dyDescent="0.2">
      <c r="A445" s="14">
        <f t="shared" si="6"/>
        <v>433</v>
      </c>
      <c r="E445" s="12" t="str">
        <f>IF($C$8&gt;=A445,$E$1&amp;" "&amp;A445,"")</f>
        <v/>
      </c>
      <c r="J445" s="8"/>
      <c r="M445" s="1"/>
      <c r="N445" s="1"/>
      <c r="O445" s="1"/>
      <c r="P445" s="9"/>
      <c r="Q445" s="9"/>
      <c r="R445" s="8"/>
      <c r="S445" s="8"/>
      <c r="T445" s="1"/>
    </row>
    <row r="446" spans="1:20" x14ac:dyDescent="0.2">
      <c r="A446" s="14">
        <f t="shared" si="6"/>
        <v>434</v>
      </c>
      <c r="E446" s="12" t="str">
        <f>IF($C$8&gt;=A446,$E$1&amp;" "&amp;A446,"")</f>
        <v/>
      </c>
      <c r="J446" s="8"/>
      <c r="M446" s="1"/>
      <c r="N446" s="1"/>
      <c r="O446" s="1"/>
      <c r="P446" s="9"/>
      <c r="Q446" s="9"/>
      <c r="R446" s="8"/>
      <c r="S446" s="8"/>
      <c r="T446" s="1"/>
    </row>
    <row r="447" spans="1:20" x14ac:dyDescent="0.2">
      <c r="A447" s="14">
        <f t="shared" si="6"/>
        <v>435</v>
      </c>
      <c r="E447" s="12" t="str">
        <f>IF($C$8&gt;=A447,$E$1&amp;" "&amp;A447,"")</f>
        <v/>
      </c>
      <c r="J447" s="8"/>
      <c r="M447" s="1"/>
      <c r="N447" s="1"/>
      <c r="O447" s="1"/>
      <c r="P447" s="9"/>
      <c r="Q447" s="9"/>
      <c r="R447" s="8"/>
      <c r="S447" s="8"/>
      <c r="T447" s="1"/>
    </row>
    <row r="448" spans="1:20" x14ac:dyDescent="0.2">
      <c r="A448" s="14">
        <f t="shared" si="6"/>
        <v>436</v>
      </c>
      <c r="E448" s="12" t="str">
        <f>IF($C$8&gt;=A448,$E$1&amp;" "&amp;A448,"")</f>
        <v/>
      </c>
      <c r="J448" s="8"/>
      <c r="M448" s="1"/>
      <c r="N448" s="1"/>
      <c r="O448" s="1"/>
      <c r="P448" s="9"/>
      <c r="Q448" s="9"/>
      <c r="R448" s="8"/>
      <c r="S448" s="8"/>
      <c r="T448" s="1"/>
    </row>
    <row r="449" spans="1:20" x14ac:dyDescent="0.2">
      <c r="A449" s="14">
        <f t="shared" si="6"/>
        <v>437</v>
      </c>
      <c r="E449" s="12" t="str">
        <f>IF($C$8&gt;=A449,$E$1&amp;" "&amp;A449,"")</f>
        <v/>
      </c>
      <c r="J449" s="8"/>
      <c r="M449" s="1"/>
      <c r="N449" s="1"/>
      <c r="O449" s="1"/>
      <c r="P449" s="9"/>
      <c r="Q449" s="9"/>
      <c r="R449" s="8"/>
      <c r="S449" s="8"/>
      <c r="T449" s="1"/>
    </row>
    <row r="450" spans="1:20" x14ac:dyDescent="0.2">
      <c r="A450" s="14">
        <f t="shared" si="6"/>
        <v>438</v>
      </c>
      <c r="E450" s="12" t="str">
        <f>IF($C$8&gt;=A450,$E$1&amp;" "&amp;A450,"")</f>
        <v/>
      </c>
      <c r="J450" s="8"/>
      <c r="M450" s="1"/>
      <c r="N450" s="1"/>
      <c r="O450" s="1"/>
      <c r="P450" s="9"/>
      <c r="Q450" s="9"/>
      <c r="R450" s="8"/>
      <c r="S450" s="8"/>
      <c r="T450" s="1"/>
    </row>
    <row r="451" spans="1:20" x14ac:dyDescent="0.2">
      <c r="A451" s="14">
        <f t="shared" si="6"/>
        <v>439</v>
      </c>
      <c r="E451" s="12" t="str">
        <f>IF($C$8&gt;=A451,$E$1&amp;" "&amp;A451,"")</f>
        <v/>
      </c>
      <c r="J451" s="8"/>
      <c r="M451" s="1"/>
      <c r="N451" s="1"/>
      <c r="O451" s="1"/>
      <c r="P451" s="9"/>
      <c r="Q451" s="9"/>
      <c r="R451" s="8"/>
      <c r="S451" s="8"/>
      <c r="T451" s="1"/>
    </row>
    <row r="452" spans="1:20" x14ac:dyDescent="0.2">
      <c r="A452" s="14">
        <f t="shared" si="6"/>
        <v>440</v>
      </c>
      <c r="E452" s="12" t="str">
        <f>IF($C$8&gt;=A452,$E$1&amp;" "&amp;A452,"")</f>
        <v/>
      </c>
      <c r="J452" s="8"/>
      <c r="M452" s="1"/>
      <c r="N452" s="1"/>
      <c r="O452" s="1"/>
      <c r="P452" s="9"/>
      <c r="Q452" s="9"/>
      <c r="R452" s="8"/>
      <c r="S452" s="8"/>
      <c r="T452" s="1"/>
    </row>
    <row r="453" spans="1:20" x14ac:dyDescent="0.2">
      <c r="A453" s="14">
        <f t="shared" si="6"/>
        <v>441</v>
      </c>
      <c r="E453" s="12" t="str">
        <f>IF($C$8&gt;=A453,$E$1&amp;" "&amp;A453,"")</f>
        <v/>
      </c>
      <c r="J453" s="8"/>
      <c r="M453" s="1"/>
      <c r="N453" s="1"/>
      <c r="O453" s="1"/>
      <c r="P453" s="9"/>
      <c r="Q453" s="9"/>
      <c r="R453" s="8"/>
      <c r="S453" s="8"/>
      <c r="T453" s="1"/>
    </row>
    <row r="454" spans="1:20" x14ac:dyDescent="0.2">
      <c r="A454" s="14">
        <f t="shared" si="6"/>
        <v>442</v>
      </c>
      <c r="E454" s="12" t="str">
        <f>IF($C$8&gt;=A454,$E$1&amp;" "&amp;A454,"")</f>
        <v/>
      </c>
      <c r="J454" s="8"/>
      <c r="M454" s="1"/>
      <c r="N454" s="1"/>
      <c r="O454" s="1"/>
      <c r="P454" s="9"/>
      <c r="Q454" s="9"/>
      <c r="R454" s="8"/>
      <c r="S454" s="8"/>
      <c r="T454" s="1"/>
    </row>
    <row r="455" spans="1:20" x14ac:dyDescent="0.2">
      <c r="A455" s="14">
        <f t="shared" si="6"/>
        <v>443</v>
      </c>
      <c r="E455" s="12" t="str">
        <f>IF($C$8&gt;=A455,$E$1&amp;" "&amp;A455,"")</f>
        <v/>
      </c>
      <c r="J455" s="8"/>
      <c r="M455" s="1"/>
      <c r="N455" s="1"/>
      <c r="O455" s="1"/>
      <c r="P455" s="9"/>
      <c r="Q455" s="9"/>
      <c r="R455" s="8"/>
      <c r="S455" s="8"/>
      <c r="T455" s="1"/>
    </row>
    <row r="456" spans="1:20" x14ac:dyDescent="0.2">
      <c r="A456" s="14">
        <f t="shared" si="6"/>
        <v>444</v>
      </c>
      <c r="E456" s="12" t="str">
        <f>IF($C$8&gt;=A456,$E$1&amp;" "&amp;A456,"")</f>
        <v/>
      </c>
      <c r="J456" s="8"/>
      <c r="M456" s="1"/>
      <c r="N456" s="1"/>
      <c r="O456" s="1"/>
      <c r="P456" s="9"/>
      <c r="Q456" s="9"/>
      <c r="R456" s="8"/>
      <c r="S456" s="8"/>
      <c r="T456" s="1"/>
    </row>
    <row r="457" spans="1:20" x14ac:dyDescent="0.2">
      <c r="A457" s="14">
        <f t="shared" si="6"/>
        <v>445</v>
      </c>
      <c r="E457" s="12" t="str">
        <f>IF($C$8&gt;=A457,$E$1&amp;" "&amp;A457,"")</f>
        <v/>
      </c>
      <c r="J457" s="8"/>
      <c r="M457" s="1"/>
      <c r="N457" s="1"/>
      <c r="O457" s="1"/>
      <c r="P457" s="9"/>
      <c r="Q457" s="9"/>
      <c r="R457" s="8"/>
      <c r="S457" s="8"/>
      <c r="T457" s="1"/>
    </row>
    <row r="458" spans="1:20" x14ac:dyDescent="0.2">
      <c r="A458" s="14">
        <f t="shared" si="6"/>
        <v>446</v>
      </c>
      <c r="E458" s="12" t="str">
        <f>IF($C$8&gt;=A458,$E$1&amp;" "&amp;A458,"")</f>
        <v/>
      </c>
      <c r="J458" s="8"/>
      <c r="M458" s="1"/>
      <c r="N458" s="1"/>
      <c r="O458" s="1"/>
      <c r="P458" s="9"/>
      <c r="Q458" s="9"/>
      <c r="R458" s="8"/>
      <c r="S458" s="8"/>
      <c r="T458" s="1"/>
    </row>
    <row r="459" spans="1:20" x14ac:dyDescent="0.2">
      <c r="A459" s="14">
        <f t="shared" si="6"/>
        <v>447</v>
      </c>
      <c r="E459" s="12" t="str">
        <f>IF($C$8&gt;=A459,$E$1&amp;" "&amp;A459,"")</f>
        <v/>
      </c>
      <c r="J459" s="8"/>
      <c r="M459" s="1"/>
      <c r="N459" s="1"/>
      <c r="O459" s="1"/>
      <c r="P459" s="9"/>
      <c r="Q459" s="9"/>
      <c r="R459" s="8"/>
      <c r="S459" s="8"/>
      <c r="T459" s="1"/>
    </row>
    <row r="460" spans="1:20" x14ac:dyDescent="0.2">
      <c r="A460" s="14">
        <f t="shared" si="6"/>
        <v>448</v>
      </c>
      <c r="E460" s="12" t="str">
        <f>IF($C$8&gt;=A460,$E$1&amp;" "&amp;A460,"")</f>
        <v/>
      </c>
      <c r="J460" s="8"/>
      <c r="M460" s="1"/>
      <c r="N460" s="1"/>
      <c r="O460" s="1"/>
      <c r="P460" s="9"/>
      <c r="Q460" s="9"/>
      <c r="R460" s="8"/>
      <c r="S460" s="8"/>
      <c r="T460" s="1"/>
    </row>
    <row r="461" spans="1:20" x14ac:dyDescent="0.2">
      <c r="A461" s="14">
        <f t="shared" si="6"/>
        <v>449</v>
      </c>
      <c r="E461" s="12" t="str">
        <f>IF($C$8&gt;=A461,$E$1&amp;" "&amp;A461,"")</f>
        <v/>
      </c>
      <c r="J461" s="8"/>
      <c r="M461" s="1"/>
      <c r="N461" s="1"/>
      <c r="O461" s="1"/>
      <c r="P461" s="9"/>
      <c r="Q461" s="9"/>
      <c r="R461" s="8"/>
      <c r="S461" s="8"/>
      <c r="T461" s="1"/>
    </row>
    <row r="462" spans="1:20" x14ac:dyDescent="0.2">
      <c r="A462" s="14">
        <f t="shared" si="6"/>
        <v>450</v>
      </c>
      <c r="E462" s="12" t="str">
        <f>IF($C$8&gt;=A462,$E$1&amp;" "&amp;A462,"")</f>
        <v/>
      </c>
      <c r="J462" s="8"/>
      <c r="M462" s="1"/>
      <c r="N462" s="1"/>
      <c r="O462" s="1"/>
      <c r="P462" s="9"/>
      <c r="Q462" s="9"/>
      <c r="R462" s="8"/>
      <c r="S462" s="8"/>
      <c r="T462" s="1"/>
    </row>
    <row r="463" spans="1:20" x14ac:dyDescent="0.2">
      <c r="A463" s="14">
        <f t="shared" ref="A463:A526" si="7">A462+1</f>
        <v>451</v>
      </c>
      <c r="E463" s="12" t="str">
        <f>IF($C$8&gt;=A463,$E$1&amp;" "&amp;A463,"")</f>
        <v/>
      </c>
      <c r="J463" s="8"/>
      <c r="M463" s="1"/>
      <c r="N463" s="1"/>
      <c r="O463" s="1"/>
      <c r="P463" s="9"/>
      <c r="Q463" s="9"/>
      <c r="R463" s="8"/>
      <c r="S463" s="8"/>
      <c r="T463" s="1"/>
    </row>
    <row r="464" spans="1:20" x14ac:dyDescent="0.2">
      <c r="A464" s="14">
        <f t="shared" si="7"/>
        <v>452</v>
      </c>
      <c r="E464" s="12" t="str">
        <f>IF($C$8&gt;=A464,$E$1&amp;" "&amp;A464,"")</f>
        <v/>
      </c>
      <c r="J464" s="8"/>
      <c r="M464" s="1"/>
      <c r="N464" s="1"/>
      <c r="O464" s="1"/>
      <c r="P464" s="9"/>
      <c r="Q464" s="9"/>
      <c r="R464" s="8"/>
      <c r="S464" s="8"/>
      <c r="T464" s="1"/>
    </row>
    <row r="465" spans="1:20" x14ac:dyDescent="0.2">
      <c r="A465" s="14">
        <f t="shared" si="7"/>
        <v>453</v>
      </c>
      <c r="E465" s="12" t="str">
        <f>IF($C$8&gt;=A465,$E$1&amp;" "&amp;A465,"")</f>
        <v/>
      </c>
      <c r="J465" s="8"/>
      <c r="M465" s="1"/>
      <c r="N465" s="1"/>
      <c r="O465" s="1"/>
      <c r="P465" s="9"/>
      <c r="Q465" s="9"/>
      <c r="R465" s="8"/>
      <c r="S465" s="8"/>
      <c r="T465" s="1"/>
    </row>
    <row r="466" spans="1:20" x14ac:dyDescent="0.2">
      <c r="A466" s="14">
        <f t="shared" si="7"/>
        <v>454</v>
      </c>
      <c r="E466" s="12" t="str">
        <f>IF($C$8&gt;=A466,$E$1&amp;" "&amp;A466,"")</f>
        <v/>
      </c>
      <c r="J466" s="8"/>
      <c r="M466" s="1"/>
      <c r="N466" s="1"/>
      <c r="O466" s="1"/>
      <c r="P466" s="9"/>
      <c r="Q466" s="9"/>
      <c r="R466" s="8"/>
      <c r="S466" s="8"/>
      <c r="T466" s="1"/>
    </row>
    <row r="467" spans="1:20" x14ac:dyDescent="0.2">
      <c r="A467" s="14">
        <f t="shared" si="7"/>
        <v>455</v>
      </c>
      <c r="E467" s="12" t="str">
        <f>IF($C$8&gt;=A467,$E$1&amp;" "&amp;A467,"")</f>
        <v/>
      </c>
      <c r="J467" s="8"/>
      <c r="M467" s="1"/>
      <c r="N467" s="1"/>
      <c r="O467" s="1"/>
      <c r="P467" s="9"/>
      <c r="Q467" s="9"/>
      <c r="R467" s="8"/>
      <c r="S467" s="8"/>
      <c r="T467" s="1"/>
    </row>
    <row r="468" spans="1:20" x14ac:dyDescent="0.2">
      <c r="A468" s="14">
        <f t="shared" si="7"/>
        <v>456</v>
      </c>
      <c r="E468" s="12" t="str">
        <f>IF($C$8&gt;=A468,$E$1&amp;" "&amp;A468,"")</f>
        <v/>
      </c>
      <c r="J468" s="8"/>
      <c r="M468" s="1"/>
      <c r="N468" s="1"/>
      <c r="O468" s="1"/>
      <c r="P468" s="9"/>
      <c r="Q468" s="9"/>
      <c r="R468" s="8"/>
      <c r="S468" s="8"/>
      <c r="T468" s="1"/>
    </row>
    <row r="469" spans="1:20" x14ac:dyDescent="0.2">
      <c r="A469" s="14">
        <f t="shared" si="7"/>
        <v>457</v>
      </c>
      <c r="E469" s="12" t="str">
        <f>IF($C$8&gt;=A469,$E$1&amp;" "&amp;A469,"")</f>
        <v/>
      </c>
      <c r="J469" s="8"/>
      <c r="M469" s="1"/>
      <c r="N469" s="1"/>
      <c r="O469" s="1"/>
      <c r="P469" s="9"/>
      <c r="Q469" s="9"/>
      <c r="R469" s="8"/>
      <c r="S469" s="8"/>
      <c r="T469" s="1"/>
    </row>
    <row r="470" spans="1:20" x14ac:dyDescent="0.2">
      <c r="A470" s="14">
        <f t="shared" si="7"/>
        <v>458</v>
      </c>
      <c r="E470" s="12" t="str">
        <f>IF($C$8&gt;=A470,$E$1&amp;" "&amp;A470,"")</f>
        <v/>
      </c>
      <c r="J470" s="8"/>
      <c r="M470" s="1"/>
      <c r="N470" s="1"/>
      <c r="O470" s="1"/>
      <c r="P470" s="9"/>
      <c r="Q470" s="9"/>
      <c r="R470" s="8"/>
      <c r="S470" s="8"/>
      <c r="T470" s="1"/>
    </row>
    <row r="471" spans="1:20" x14ac:dyDescent="0.2">
      <c r="A471" s="14">
        <f t="shared" si="7"/>
        <v>459</v>
      </c>
      <c r="E471" s="12" t="str">
        <f>IF($C$8&gt;=A471,$E$1&amp;" "&amp;A471,"")</f>
        <v/>
      </c>
      <c r="J471" s="8"/>
      <c r="M471" s="1"/>
      <c r="N471" s="1"/>
      <c r="O471" s="1"/>
      <c r="P471" s="9"/>
      <c r="Q471" s="9"/>
      <c r="R471" s="8"/>
      <c r="S471" s="8"/>
      <c r="T471" s="1"/>
    </row>
    <row r="472" spans="1:20" x14ac:dyDescent="0.2">
      <c r="A472" s="14">
        <f t="shared" si="7"/>
        <v>460</v>
      </c>
      <c r="E472" s="12" t="str">
        <f>IF($C$8&gt;=A472,$E$1&amp;" "&amp;A472,"")</f>
        <v/>
      </c>
      <c r="J472" s="8"/>
      <c r="M472" s="1"/>
      <c r="N472" s="1"/>
      <c r="O472" s="1"/>
      <c r="P472" s="9"/>
      <c r="Q472" s="9"/>
      <c r="R472" s="8"/>
      <c r="S472" s="8"/>
      <c r="T472" s="1"/>
    </row>
    <row r="473" spans="1:20" x14ac:dyDescent="0.2">
      <c r="A473" s="14">
        <f t="shared" si="7"/>
        <v>461</v>
      </c>
      <c r="E473" s="12" t="str">
        <f>IF($C$8&gt;=A473,$E$1&amp;" "&amp;A473,"")</f>
        <v/>
      </c>
      <c r="J473" s="8"/>
      <c r="M473" s="1"/>
      <c r="N473" s="1"/>
      <c r="O473" s="1"/>
      <c r="P473" s="9"/>
      <c r="Q473" s="9"/>
      <c r="R473" s="8"/>
      <c r="S473" s="8"/>
      <c r="T473" s="1"/>
    </row>
    <row r="474" spans="1:20" x14ac:dyDescent="0.2">
      <c r="A474" s="14">
        <f t="shared" si="7"/>
        <v>462</v>
      </c>
      <c r="E474" s="12" t="str">
        <f>IF($C$8&gt;=A474,$E$1&amp;" "&amp;A474,"")</f>
        <v/>
      </c>
      <c r="J474" s="8"/>
      <c r="M474" s="1"/>
      <c r="N474" s="1"/>
      <c r="O474" s="1"/>
      <c r="P474" s="9"/>
      <c r="Q474" s="9"/>
      <c r="R474" s="8"/>
      <c r="S474" s="8"/>
      <c r="T474" s="1"/>
    </row>
    <row r="475" spans="1:20" x14ac:dyDescent="0.2">
      <c r="A475" s="14">
        <f t="shared" si="7"/>
        <v>463</v>
      </c>
      <c r="E475" s="12" t="str">
        <f>IF($C$8&gt;=A475,$E$1&amp;" "&amp;A475,"")</f>
        <v/>
      </c>
      <c r="J475" s="8"/>
      <c r="M475" s="1"/>
      <c r="N475" s="1"/>
      <c r="O475" s="1"/>
      <c r="P475" s="9"/>
      <c r="Q475" s="9"/>
      <c r="R475" s="8"/>
      <c r="S475" s="8"/>
      <c r="T475" s="1"/>
    </row>
    <row r="476" spans="1:20" x14ac:dyDescent="0.2">
      <c r="A476" s="14">
        <f t="shared" si="7"/>
        <v>464</v>
      </c>
      <c r="E476" s="12" t="str">
        <f>IF($C$8&gt;=A476,$E$1&amp;" "&amp;A476,"")</f>
        <v/>
      </c>
      <c r="J476" s="8"/>
      <c r="M476" s="1"/>
      <c r="N476" s="1"/>
      <c r="O476" s="1"/>
      <c r="P476" s="9"/>
      <c r="Q476" s="9"/>
      <c r="R476" s="8"/>
      <c r="S476" s="8"/>
      <c r="T476" s="1"/>
    </row>
    <row r="477" spans="1:20" x14ac:dyDescent="0.2">
      <c r="A477" s="14">
        <f t="shared" si="7"/>
        <v>465</v>
      </c>
      <c r="E477" s="12" t="str">
        <f>IF($C$8&gt;=A477,$E$1&amp;" "&amp;A477,"")</f>
        <v/>
      </c>
      <c r="J477" s="8"/>
      <c r="M477" s="1"/>
      <c r="N477" s="1"/>
      <c r="O477" s="1"/>
      <c r="P477" s="9"/>
      <c r="Q477" s="9"/>
      <c r="R477" s="8"/>
      <c r="S477" s="8"/>
      <c r="T477" s="1"/>
    </row>
    <row r="478" spans="1:20" x14ac:dyDescent="0.2">
      <c r="A478" s="14">
        <f t="shared" si="7"/>
        <v>466</v>
      </c>
      <c r="E478" s="12" t="str">
        <f>IF($C$8&gt;=A478,$E$1&amp;" "&amp;A478,"")</f>
        <v/>
      </c>
      <c r="J478" s="8"/>
      <c r="M478" s="1"/>
      <c r="N478" s="1"/>
      <c r="O478" s="1"/>
      <c r="P478" s="9"/>
      <c r="Q478" s="9"/>
      <c r="R478" s="8"/>
      <c r="S478" s="8"/>
      <c r="T478" s="1"/>
    </row>
    <row r="479" spans="1:20" x14ac:dyDescent="0.2">
      <c r="A479" s="14">
        <f t="shared" si="7"/>
        <v>467</v>
      </c>
      <c r="E479" s="12" t="str">
        <f>IF($C$8&gt;=A479,$E$1&amp;" "&amp;A479,"")</f>
        <v/>
      </c>
      <c r="J479" s="8"/>
      <c r="M479" s="1"/>
      <c r="N479" s="1"/>
      <c r="O479" s="1"/>
      <c r="P479" s="9"/>
      <c r="Q479" s="9"/>
      <c r="R479" s="8"/>
      <c r="S479" s="8"/>
      <c r="T479" s="1"/>
    </row>
    <row r="480" spans="1:20" x14ac:dyDescent="0.2">
      <c r="A480" s="14">
        <f t="shared" si="7"/>
        <v>468</v>
      </c>
      <c r="E480" s="12" t="str">
        <f>IF($C$8&gt;=A480,$E$1&amp;" "&amp;A480,"")</f>
        <v/>
      </c>
      <c r="J480" s="8"/>
      <c r="M480" s="1"/>
      <c r="N480" s="1"/>
      <c r="O480" s="1"/>
      <c r="P480" s="9"/>
      <c r="Q480" s="9"/>
      <c r="R480" s="8"/>
      <c r="S480" s="8"/>
      <c r="T480" s="1"/>
    </row>
    <row r="481" spans="1:20" x14ac:dyDescent="0.2">
      <c r="A481" s="14">
        <f t="shared" si="7"/>
        <v>469</v>
      </c>
      <c r="E481" s="12" t="str">
        <f>IF($C$8&gt;=A481,$E$1&amp;" "&amp;A481,"")</f>
        <v/>
      </c>
      <c r="J481" s="8"/>
      <c r="M481" s="1"/>
      <c r="N481" s="1"/>
      <c r="O481" s="1"/>
      <c r="P481" s="9"/>
      <c r="Q481" s="9"/>
      <c r="R481" s="8"/>
      <c r="S481" s="8"/>
      <c r="T481" s="1"/>
    </row>
    <row r="482" spans="1:20" x14ac:dyDescent="0.2">
      <c r="A482" s="14">
        <f t="shared" si="7"/>
        <v>470</v>
      </c>
      <c r="E482" s="12" t="str">
        <f>IF($C$8&gt;=A482,$E$1&amp;" "&amp;A482,"")</f>
        <v/>
      </c>
      <c r="J482" s="8"/>
      <c r="M482" s="1"/>
      <c r="N482" s="1"/>
      <c r="O482" s="1"/>
      <c r="P482" s="9"/>
      <c r="Q482" s="9"/>
      <c r="R482" s="8"/>
      <c r="S482" s="8"/>
      <c r="T482" s="1"/>
    </row>
    <row r="483" spans="1:20" x14ac:dyDescent="0.2">
      <c r="A483" s="14">
        <f t="shared" si="7"/>
        <v>471</v>
      </c>
      <c r="E483" s="12" t="str">
        <f>IF($C$8&gt;=A483,$E$1&amp;" "&amp;A483,"")</f>
        <v/>
      </c>
      <c r="J483" s="8"/>
      <c r="M483" s="1"/>
      <c r="N483" s="1"/>
      <c r="O483" s="1"/>
      <c r="P483" s="9"/>
      <c r="Q483" s="9"/>
      <c r="R483" s="8"/>
      <c r="S483" s="8"/>
      <c r="T483" s="1"/>
    </row>
    <row r="484" spans="1:20" x14ac:dyDescent="0.2">
      <c r="A484" s="14">
        <f t="shared" si="7"/>
        <v>472</v>
      </c>
      <c r="E484" s="12" t="str">
        <f>IF($C$8&gt;=A484,$E$1&amp;" "&amp;A484,"")</f>
        <v/>
      </c>
      <c r="J484" s="8"/>
      <c r="M484" s="1"/>
      <c r="N484" s="1"/>
      <c r="O484" s="1"/>
      <c r="P484" s="9"/>
      <c r="Q484" s="9"/>
      <c r="R484" s="8"/>
      <c r="S484" s="8"/>
      <c r="T484" s="1"/>
    </row>
    <row r="485" spans="1:20" x14ac:dyDescent="0.2">
      <c r="A485" s="14">
        <f t="shared" si="7"/>
        <v>473</v>
      </c>
      <c r="E485" s="12" t="str">
        <f>IF($C$8&gt;=A485,$E$1&amp;" "&amp;A485,"")</f>
        <v/>
      </c>
      <c r="J485" s="8"/>
      <c r="M485" s="1"/>
      <c r="N485" s="1"/>
      <c r="O485" s="1"/>
      <c r="P485" s="9"/>
      <c r="Q485" s="9"/>
      <c r="R485" s="8"/>
      <c r="S485" s="8"/>
      <c r="T485" s="1"/>
    </row>
    <row r="486" spans="1:20" x14ac:dyDescent="0.2">
      <c r="A486" s="14">
        <f t="shared" si="7"/>
        <v>474</v>
      </c>
      <c r="E486" s="12" t="str">
        <f>IF($C$8&gt;=A486,$E$1&amp;" "&amp;A486,"")</f>
        <v/>
      </c>
      <c r="J486" s="8"/>
      <c r="M486" s="1"/>
      <c r="N486" s="1"/>
      <c r="O486" s="1"/>
      <c r="P486" s="9"/>
      <c r="Q486" s="9"/>
      <c r="R486" s="8"/>
      <c r="S486" s="8"/>
      <c r="T486" s="1"/>
    </row>
    <row r="487" spans="1:20" x14ac:dyDescent="0.2">
      <c r="A487" s="14">
        <f t="shared" si="7"/>
        <v>475</v>
      </c>
      <c r="E487" s="12" t="str">
        <f>IF($C$8&gt;=A487,$E$1&amp;" "&amp;A487,"")</f>
        <v/>
      </c>
      <c r="J487" s="8"/>
      <c r="M487" s="1"/>
      <c r="N487" s="1"/>
      <c r="O487" s="1"/>
      <c r="P487" s="9"/>
      <c r="Q487" s="9"/>
      <c r="R487" s="8"/>
      <c r="S487" s="8"/>
      <c r="T487" s="1"/>
    </row>
    <row r="488" spans="1:20" x14ac:dyDescent="0.2">
      <c r="A488" s="14">
        <f t="shared" si="7"/>
        <v>476</v>
      </c>
      <c r="E488" s="12" t="str">
        <f>IF($C$8&gt;=A488,$E$1&amp;" "&amp;A488,"")</f>
        <v/>
      </c>
      <c r="J488" s="8"/>
      <c r="M488" s="1"/>
      <c r="N488" s="1"/>
      <c r="O488" s="1"/>
      <c r="P488" s="9"/>
      <c r="Q488" s="9"/>
      <c r="R488" s="8"/>
      <c r="S488" s="8"/>
      <c r="T488" s="1"/>
    </row>
    <row r="489" spans="1:20" x14ac:dyDescent="0.2">
      <c r="A489" s="14">
        <f t="shared" si="7"/>
        <v>477</v>
      </c>
      <c r="E489" s="12" t="str">
        <f>IF($C$8&gt;=A489,$E$1&amp;" "&amp;A489,"")</f>
        <v/>
      </c>
      <c r="J489" s="8"/>
      <c r="M489" s="1"/>
      <c r="N489" s="1"/>
      <c r="O489" s="1"/>
      <c r="P489" s="9"/>
      <c r="Q489" s="9"/>
      <c r="R489" s="8"/>
      <c r="S489" s="8"/>
      <c r="T489" s="1"/>
    </row>
    <row r="490" spans="1:20" x14ac:dyDescent="0.2">
      <c r="A490" s="14">
        <f t="shared" si="7"/>
        <v>478</v>
      </c>
      <c r="E490" s="12" t="str">
        <f>IF($C$8&gt;=A490,$E$1&amp;" "&amp;A490,"")</f>
        <v/>
      </c>
      <c r="J490" s="8"/>
      <c r="M490" s="1"/>
      <c r="N490" s="1"/>
      <c r="O490" s="1"/>
      <c r="P490" s="9"/>
      <c r="Q490" s="9"/>
      <c r="R490" s="8"/>
      <c r="S490" s="8"/>
      <c r="T490" s="1"/>
    </row>
    <row r="491" spans="1:20" x14ac:dyDescent="0.2">
      <c r="A491" s="14">
        <f t="shared" si="7"/>
        <v>479</v>
      </c>
      <c r="E491" s="12" t="str">
        <f>IF($C$8&gt;=A491,$E$1&amp;" "&amp;A491,"")</f>
        <v/>
      </c>
      <c r="J491" s="8"/>
      <c r="M491" s="1"/>
      <c r="N491" s="1"/>
      <c r="O491" s="1"/>
      <c r="P491" s="9"/>
      <c r="Q491" s="9"/>
      <c r="R491" s="8"/>
      <c r="S491" s="8"/>
      <c r="T491" s="1"/>
    </row>
    <row r="492" spans="1:20" x14ac:dyDescent="0.2">
      <c r="A492" s="14">
        <f t="shared" si="7"/>
        <v>480</v>
      </c>
      <c r="E492" s="12" t="str">
        <f>IF($C$8&gt;=A492,$E$1&amp;" "&amp;A492,"")</f>
        <v/>
      </c>
      <c r="J492" s="8"/>
      <c r="M492" s="1"/>
      <c r="N492" s="1"/>
      <c r="O492" s="1"/>
      <c r="P492" s="9"/>
      <c r="Q492" s="9"/>
      <c r="R492" s="8"/>
      <c r="S492" s="8"/>
      <c r="T492" s="1"/>
    </row>
    <row r="493" spans="1:20" x14ac:dyDescent="0.2">
      <c r="A493" s="14">
        <f t="shared" si="7"/>
        <v>481</v>
      </c>
      <c r="E493" s="12" t="str">
        <f>IF($C$8&gt;=A493,$E$1&amp;" "&amp;A493,"")</f>
        <v/>
      </c>
      <c r="J493" s="8"/>
      <c r="M493" s="1"/>
      <c r="N493" s="1"/>
      <c r="O493" s="1"/>
      <c r="P493" s="9"/>
      <c r="Q493" s="9"/>
      <c r="R493" s="8"/>
      <c r="S493" s="8"/>
      <c r="T493" s="1"/>
    </row>
    <row r="494" spans="1:20" x14ac:dyDescent="0.2">
      <c r="A494" s="14">
        <f t="shared" si="7"/>
        <v>482</v>
      </c>
      <c r="E494" s="12" t="str">
        <f>IF($C$8&gt;=A494,$E$1&amp;" "&amp;A494,"")</f>
        <v/>
      </c>
      <c r="J494" s="8"/>
      <c r="M494" s="1"/>
      <c r="N494" s="1"/>
      <c r="O494" s="1"/>
      <c r="P494" s="9"/>
      <c r="Q494" s="9"/>
      <c r="R494" s="8"/>
      <c r="S494" s="8"/>
      <c r="T494" s="1"/>
    </row>
    <row r="495" spans="1:20" x14ac:dyDescent="0.2">
      <c r="A495" s="14">
        <f t="shared" si="7"/>
        <v>483</v>
      </c>
      <c r="E495" s="12" t="str">
        <f>IF($C$8&gt;=A495,$E$1&amp;" "&amp;A495,"")</f>
        <v/>
      </c>
      <c r="J495" s="8"/>
      <c r="M495" s="1"/>
      <c r="N495" s="1"/>
      <c r="O495" s="1"/>
      <c r="P495" s="9"/>
      <c r="Q495" s="9"/>
      <c r="R495" s="8"/>
      <c r="S495" s="8"/>
      <c r="T495" s="1"/>
    </row>
    <row r="496" spans="1:20" x14ac:dyDescent="0.2">
      <c r="A496" s="14">
        <f t="shared" si="7"/>
        <v>484</v>
      </c>
      <c r="E496" s="12" t="str">
        <f>IF($C$8&gt;=A496,$E$1&amp;" "&amp;A496,"")</f>
        <v/>
      </c>
      <c r="J496" s="8"/>
      <c r="M496" s="1"/>
      <c r="N496" s="1"/>
      <c r="O496" s="1"/>
      <c r="P496" s="9"/>
      <c r="Q496" s="9"/>
      <c r="R496" s="8"/>
      <c r="S496" s="8"/>
      <c r="T496" s="1"/>
    </row>
    <row r="497" spans="1:20" x14ac:dyDescent="0.2">
      <c r="A497" s="14">
        <f t="shared" si="7"/>
        <v>485</v>
      </c>
      <c r="E497" s="12" t="str">
        <f>IF($C$8&gt;=A497,$E$1&amp;" "&amp;A497,"")</f>
        <v/>
      </c>
      <c r="J497" s="8"/>
      <c r="M497" s="1"/>
      <c r="N497" s="1"/>
      <c r="O497" s="1"/>
      <c r="P497" s="9"/>
      <c r="Q497" s="9"/>
      <c r="R497" s="8"/>
      <c r="S497" s="8"/>
      <c r="T497" s="1"/>
    </row>
    <row r="498" spans="1:20" x14ac:dyDescent="0.2">
      <c r="A498" s="14">
        <f t="shared" si="7"/>
        <v>486</v>
      </c>
      <c r="E498" s="12" t="str">
        <f>IF($C$8&gt;=A498,$E$1&amp;" "&amp;A498,"")</f>
        <v/>
      </c>
      <c r="J498" s="8"/>
      <c r="M498" s="1"/>
      <c r="N498" s="1"/>
      <c r="O498" s="1"/>
      <c r="P498" s="9"/>
      <c r="Q498" s="9"/>
      <c r="R498" s="8"/>
      <c r="S498" s="8"/>
      <c r="T498" s="1"/>
    </row>
    <row r="499" spans="1:20" x14ac:dyDescent="0.2">
      <c r="A499" s="14">
        <f t="shared" si="7"/>
        <v>487</v>
      </c>
      <c r="E499" s="12" t="str">
        <f>IF($C$8&gt;=A499,$E$1&amp;" "&amp;A499,"")</f>
        <v/>
      </c>
      <c r="J499" s="8"/>
      <c r="M499" s="1"/>
      <c r="N499" s="1"/>
      <c r="O499" s="1"/>
      <c r="P499" s="9"/>
      <c r="Q499" s="9"/>
      <c r="R499" s="8"/>
      <c r="S499" s="8"/>
      <c r="T499" s="1"/>
    </row>
    <row r="500" spans="1:20" x14ac:dyDescent="0.2">
      <c r="A500" s="14">
        <f t="shared" si="7"/>
        <v>488</v>
      </c>
      <c r="E500" s="12" t="str">
        <f>IF($C$8&gt;=A500,$E$1&amp;" "&amp;A500,"")</f>
        <v/>
      </c>
      <c r="J500" s="8"/>
      <c r="M500" s="1"/>
      <c r="N500" s="1"/>
      <c r="O500" s="1"/>
      <c r="P500" s="9"/>
      <c r="Q500" s="9"/>
      <c r="R500" s="8"/>
      <c r="S500" s="8"/>
      <c r="T500" s="1"/>
    </row>
    <row r="501" spans="1:20" x14ac:dyDescent="0.2">
      <c r="A501" s="14">
        <f t="shared" si="7"/>
        <v>489</v>
      </c>
      <c r="E501" s="12" t="str">
        <f>IF($C$8&gt;=A501,$E$1&amp;" "&amp;A501,"")</f>
        <v/>
      </c>
      <c r="J501" s="8"/>
      <c r="M501" s="1"/>
      <c r="N501" s="1"/>
      <c r="O501" s="1"/>
      <c r="P501" s="9"/>
      <c r="Q501" s="9"/>
      <c r="R501" s="8"/>
      <c r="S501" s="8"/>
      <c r="T501" s="1"/>
    </row>
    <row r="502" spans="1:20" x14ac:dyDescent="0.2">
      <c r="A502" s="14">
        <f t="shared" si="7"/>
        <v>490</v>
      </c>
      <c r="E502" s="12" t="str">
        <f>IF($C$8&gt;=A502,$E$1&amp;" "&amp;A502,"")</f>
        <v/>
      </c>
      <c r="J502" s="8"/>
      <c r="M502" s="1"/>
      <c r="N502" s="1"/>
      <c r="O502" s="1"/>
      <c r="P502" s="9"/>
      <c r="Q502" s="9"/>
      <c r="R502" s="8"/>
      <c r="S502" s="8"/>
      <c r="T502" s="1"/>
    </row>
    <row r="503" spans="1:20" x14ac:dyDescent="0.2">
      <c r="A503" s="14">
        <f t="shared" si="7"/>
        <v>491</v>
      </c>
      <c r="E503" s="12" t="str">
        <f>IF($C$8&gt;=A503,$E$1&amp;" "&amp;A503,"")</f>
        <v/>
      </c>
      <c r="J503" s="8"/>
      <c r="M503" s="1"/>
      <c r="N503" s="1"/>
      <c r="O503" s="1"/>
      <c r="P503" s="9"/>
      <c r="Q503" s="9"/>
      <c r="R503" s="8"/>
      <c r="S503" s="8"/>
      <c r="T503" s="1"/>
    </row>
    <row r="504" spans="1:20" x14ac:dyDescent="0.2">
      <c r="A504" s="14">
        <f t="shared" si="7"/>
        <v>492</v>
      </c>
      <c r="E504" s="12" t="str">
        <f>IF($C$8&gt;=A504,$E$1&amp;" "&amp;A504,"")</f>
        <v/>
      </c>
      <c r="J504" s="8"/>
      <c r="M504" s="1"/>
      <c r="N504" s="1"/>
      <c r="O504" s="1"/>
      <c r="P504" s="9"/>
      <c r="Q504" s="9"/>
      <c r="R504" s="8"/>
      <c r="S504" s="8"/>
      <c r="T504" s="1"/>
    </row>
    <row r="505" spans="1:20" x14ac:dyDescent="0.2">
      <c r="A505" s="14">
        <f t="shared" si="7"/>
        <v>493</v>
      </c>
      <c r="E505" s="12" t="str">
        <f>IF($C$8&gt;=A505,$E$1&amp;" "&amp;A505,"")</f>
        <v/>
      </c>
      <c r="J505" s="8"/>
      <c r="M505" s="1"/>
      <c r="N505" s="1"/>
      <c r="O505" s="1"/>
      <c r="P505" s="9"/>
      <c r="Q505" s="9"/>
      <c r="R505" s="8"/>
      <c r="S505" s="8"/>
      <c r="T505" s="1"/>
    </row>
    <row r="506" spans="1:20" x14ac:dyDescent="0.2">
      <c r="A506" s="14">
        <f t="shared" si="7"/>
        <v>494</v>
      </c>
      <c r="E506" s="12" t="str">
        <f>IF($C$8&gt;=A506,$E$1&amp;" "&amp;A506,"")</f>
        <v/>
      </c>
      <c r="J506" s="8"/>
      <c r="M506" s="1"/>
      <c r="N506" s="1"/>
      <c r="O506" s="1"/>
      <c r="P506" s="9"/>
      <c r="Q506" s="9"/>
      <c r="R506" s="8"/>
      <c r="S506" s="8"/>
      <c r="T506" s="1"/>
    </row>
    <row r="507" spans="1:20" x14ac:dyDescent="0.2">
      <c r="A507" s="14">
        <f t="shared" si="7"/>
        <v>495</v>
      </c>
      <c r="E507" s="12" t="str">
        <f>IF($C$8&gt;=A507,$E$1&amp;" "&amp;A507,"")</f>
        <v/>
      </c>
      <c r="J507" s="8"/>
      <c r="M507" s="1"/>
      <c r="N507" s="1"/>
      <c r="O507" s="1"/>
      <c r="P507" s="9"/>
      <c r="Q507" s="9"/>
      <c r="R507" s="8"/>
      <c r="S507" s="8"/>
      <c r="T507" s="1"/>
    </row>
    <row r="508" spans="1:20" x14ac:dyDescent="0.2">
      <c r="A508" s="14">
        <f t="shared" si="7"/>
        <v>496</v>
      </c>
      <c r="E508" s="12" t="str">
        <f>IF($C$8&gt;=A508,$E$1&amp;" "&amp;A508,"")</f>
        <v/>
      </c>
      <c r="J508" s="8"/>
      <c r="M508" s="1"/>
      <c r="N508" s="1"/>
      <c r="O508" s="1"/>
      <c r="P508" s="9"/>
      <c r="Q508" s="9"/>
      <c r="R508" s="8"/>
      <c r="S508" s="8"/>
      <c r="T508" s="1"/>
    </row>
    <row r="509" spans="1:20" x14ac:dyDescent="0.2">
      <c r="A509" s="14">
        <f t="shared" si="7"/>
        <v>497</v>
      </c>
      <c r="E509" s="12" t="str">
        <f>IF($C$8&gt;=A509,$E$1&amp;" "&amp;A509,"")</f>
        <v/>
      </c>
      <c r="J509" s="8"/>
      <c r="M509" s="1"/>
      <c r="N509" s="1"/>
      <c r="O509" s="1"/>
      <c r="P509" s="9"/>
      <c r="Q509" s="9"/>
      <c r="R509" s="8"/>
      <c r="S509" s="8"/>
      <c r="T509" s="1"/>
    </row>
    <row r="510" spans="1:20" x14ac:dyDescent="0.2">
      <c r="A510" s="14">
        <f t="shared" si="7"/>
        <v>498</v>
      </c>
      <c r="E510" s="12" t="str">
        <f>IF($C$8&gt;=A510,$E$1&amp;" "&amp;A510,"")</f>
        <v/>
      </c>
      <c r="J510" s="8"/>
      <c r="M510" s="1"/>
      <c r="N510" s="1"/>
      <c r="O510" s="1"/>
      <c r="P510" s="9"/>
      <c r="Q510" s="9"/>
      <c r="R510" s="8"/>
      <c r="S510" s="8"/>
      <c r="T510" s="1"/>
    </row>
    <row r="511" spans="1:20" x14ac:dyDescent="0.2">
      <c r="A511" s="14">
        <f t="shared" si="7"/>
        <v>499</v>
      </c>
      <c r="E511" s="12" t="str">
        <f>IF($C$8&gt;=A511,$E$1&amp;" "&amp;A511,"")</f>
        <v/>
      </c>
      <c r="J511" s="8"/>
      <c r="M511" s="1"/>
      <c r="N511" s="1"/>
      <c r="O511" s="1"/>
      <c r="P511" s="9"/>
      <c r="Q511" s="9"/>
      <c r="R511" s="8"/>
      <c r="S511" s="8"/>
      <c r="T511" s="1"/>
    </row>
    <row r="512" spans="1:20" x14ac:dyDescent="0.2">
      <c r="A512" s="14">
        <f t="shared" si="7"/>
        <v>500</v>
      </c>
      <c r="E512" s="12" t="str">
        <f>IF($C$8&gt;=A512,$E$1&amp;" "&amp;A512,"")</f>
        <v/>
      </c>
      <c r="J512" s="8"/>
      <c r="M512" s="1"/>
      <c r="N512" s="1"/>
      <c r="O512" s="1"/>
      <c r="P512" s="9"/>
      <c r="Q512" s="9"/>
      <c r="R512" s="8"/>
      <c r="S512" s="8"/>
      <c r="T512" s="1"/>
    </row>
    <row r="513" spans="1:20" x14ac:dyDescent="0.2">
      <c r="A513" s="14">
        <f t="shared" si="7"/>
        <v>501</v>
      </c>
      <c r="E513" s="12" t="str">
        <f>IF($C$8&gt;=A513,$E$1&amp;" "&amp;A513,"")</f>
        <v/>
      </c>
      <c r="J513" s="8"/>
      <c r="M513" s="1"/>
      <c r="N513" s="1"/>
      <c r="O513" s="1"/>
      <c r="P513" s="9"/>
      <c r="Q513" s="9"/>
      <c r="R513" s="8"/>
      <c r="S513" s="8"/>
      <c r="T513" s="1"/>
    </row>
    <row r="514" spans="1:20" x14ac:dyDescent="0.2">
      <c r="A514" s="14">
        <f t="shared" si="7"/>
        <v>502</v>
      </c>
      <c r="E514" s="12" t="str">
        <f>IF($C$8&gt;=A514,$E$1&amp;" "&amp;A514,"")</f>
        <v/>
      </c>
      <c r="J514" s="8"/>
      <c r="M514" s="1"/>
      <c r="N514" s="1"/>
      <c r="O514" s="1"/>
      <c r="P514" s="9"/>
      <c r="Q514" s="9"/>
      <c r="R514" s="8"/>
      <c r="S514" s="8"/>
      <c r="T514" s="1"/>
    </row>
    <row r="515" spans="1:20" x14ac:dyDescent="0.2">
      <c r="A515" s="14">
        <f t="shared" si="7"/>
        <v>503</v>
      </c>
      <c r="E515" s="12" t="str">
        <f>IF($C$8&gt;=A515,$E$1&amp;" "&amp;A515,"")</f>
        <v/>
      </c>
      <c r="J515" s="8"/>
      <c r="M515" s="1"/>
      <c r="N515" s="1"/>
      <c r="O515" s="1"/>
      <c r="P515" s="9"/>
      <c r="Q515" s="9"/>
      <c r="R515" s="8"/>
      <c r="S515" s="8"/>
      <c r="T515" s="1"/>
    </row>
    <row r="516" spans="1:20" x14ac:dyDescent="0.2">
      <c r="A516" s="14">
        <f t="shared" si="7"/>
        <v>504</v>
      </c>
      <c r="E516" s="12" t="str">
        <f>IF($C$8&gt;=A516,$E$1&amp;" "&amp;A516,"")</f>
        <v/>
      </c>
      <c r="J516" s="8"/>
      <c r="M516" s="1"/>
      <c r="N516" s="1"/>
      <c r="O516" s="1"/>
      <c r="P516" s="9"/>
      <c r="Q516" s="9"/>
      <c r="R516" s="8"/>
      <c r="S516" s="8"/>
      <c r="T516" s="1"/>
    </row>
    <row r="517" spans="1:20" x14ac:dyDescent="0.2">
      <c r="A517" s="14">
        <f t="shared" si="7"/>
        <v>505</v>
      </c>
      <c r="E517" s="12" t="str">
        <f>IF($C$8&gt;=A517,$E$1&amp;" "&amp;A517,"")</f>
        <v/>
      </c>
      <c r="J517" s="8"/>
      <c r="M517" s="1"/>
      <c r="N517" s="1"/>
      <c r="O517" s="1"/>
      <c r="P517" s="9"/>
      <c r="Q517" s="9"/>
      <c r="R517" s="8"/>
      <c r="S517" s="8"/>
      <c r="T517" s="1"/>
    </row>
    <row r="518" spans="1:20" x14ac:dyDescent="0.2">
      <c r="A518" s="14">
        <f t="shared" si="7"/>
        <v>506</v>
      </c>
      <c r="E518" s="12" t="str">
        <f>IF($C$8&gt;=A518,$E$1&amp;" "&amp;A518,"")</f>
        <v/>
      </c>
      <c r="J518" s="8"/>
      <c r="M518" s="1"/>
      <c r="N518" s="1"/>
      <c r="O518" s="1"/>
      <c r="P518" s="9"/>
      <c r="Q518" s="9"/>
      <c r="R518" s="8"/>
      <c r="S518" s="8"/>
      <c r="T518" s="1"/>
    </row>
    <row r="519" spans="1:20" x14ac:dyDescent="0.2">
      <c r="A519" s="14">
        <f t="shared" si="7"/>
        <v>507</v>
      </c>
      <c r="E519" s="12" t="str">
        <f>IF($C$8&gt;=A519,$E$1&amp;" "&amp;A519,"")</f>
        <v/>
      </c>
      <c r="J519" s="8"/>
      <c r="M519" s="1"/>
      <c r="N519" s="1"/>
      <c r="O519" s="1"/>
      <c r="P519" s="9"/>
      <c r="Q519" s="9"/>
      <c r="R519" s="8"/>
      <c r="S519" s="8"/>
      <c r="T519" s="1"/>
    </row>
    <row r="520" spans="1:20" x14ac:dyDescent="0.2">
      <c r="A520" s="14">
        <f t="shared" si="7"/>
        <v>508</v>
      </c>
      <c r="E520" s="12" t="str">
        <f>IF($C$8&gt;=A520,$E$1&amp;" "&amp;A520,"")</f>
        <v/>
      </c>
      <c r="J520" s="8"/>
      <c r="M520" s="1"/>
      <c r="N520" s="1"/>
      <c r="O520" s="1"/>
      <c r="P520" s="9"/>
      <c r="Q520" s="9"/>
      <c r="R520" s="8"/>
      <c r="S520" s="8"/>
      <c r="T520" s="1"/>
    </row>
    <row r="521" spans="1:20" x14ac:dyDescent="0.2">
      <c r="A521" s="14">
        <f t="shared" si="7"/>
        <v>509</v>
      </c>
      <c r="E521" s="12" t="str">
        <f>IF($C$8&gt;=A521,$E$1&amp;" "&amp;A521,"")</f>
        <v/>
      </c>
      <c r="J521" s="8"/>
      <c r="M521" s="1"/>
      <c r="N521" s="1"/>
      <c r="O521" s="1"/>
      <c r="P521" s="9"/>
      <c r="Q521" s="9"/>
      <c r="R521" s="8"/>
      <c r="S521" s="8"/>
      <c r="T521" s="1"/>
    </row>
    <row r="522" spans="1:20" x14ac:dyDescent="0.2">
      <c r="A522" s="14">
        <f t="shared" si="7"/>
        <v>510</v>
      </c>
      <c r="E522" s="12" t="str">
        <f>IF($C$8&gt;=A522,$E$1&amp;" "&amp;A522,"")</f>
        <v/>
      </c>
      <c r="J522" s="8"/>
      <c r="M522" s="1"/>
      <c r="N522" s="1"/>
      <c r="O522" s="1"/>
      <c r="P522" s="9"/>
      <c r="Q522" s="9"/>
      <c r="R522" s="8"/>
      <c r="S522" s="8"/>
      <c r="T522" s="1"/>
    </row>
    <row r="523" spans="1:20" x14ac:dyDescent="0.2">
      <c r="A523" s="14">
        <f t="shared" si="7"/>
        <v>511</v>
      </c>
      <c r="E523" s="12" t="str">
        <f>IF($C$8&gt;=A523,$E$1&amp;" "&amp;A523,"")</f>
        <v/>
      </c>
      <c r="J523" s="8"/>
      <c r="M523" s="1"/>
      <c r="N523" s="1"/>
      <c r="O523" s="1"/>
      <c r="P523" s="9"/>
      <c r="Q523" s="9"/>
      <c r="R523" s="8"/>
      <c r="S523" s="8"/>
      <c r="T523" s="1"/>
    </row>
    <row r="524" spans="1:20" x14ac:dyDescent="0.2">
      <c r="A524" s="14">
        <f t="shared" si="7"/>
        <v>512</v>
      </c>
      <c r="E524" s="12" t="str">
        <f>IF($C$8&gt;=A524,$E$1&amp;" "&amp;A524,"")</f>
        <v/>
      </c>
      <c r="J524" s="8"/>
      <c r="M524" s="1"/>
      <c r="N524" s="1"/>
      <c r="O524" s="1"/>
      <c r="P524" s="9"/>
      <c r="Q524" s="9"/>
      <c r="R524" s="8"/>
      <c r="S524" s="8"/>
      <c r="T524" s="1"/>
    </row>
    <row r="525" spans="1:20" x14ac:dyDescent="0.2">
      <c r="A525" s="14">
        <f t="shared" si="7"/>
        <v>513</v>
      </c>
      <c r="E525" s="12" t="str">
        <f>IF($C$8&gt;=A525,$E$1&amp;" "&amp;A525,"")</f>
        <v/>
      </c>
      <c r="J525" s="8"/>
      <c r="M525" s="1"/>
      <c r="N525" s="1"/>
      <c r="O525" s="1"/>
      <c r="P525" s="9"/>
      <c r="Q525" s="9"/>
      <c r="R525" s="8"/>
      <c r="S525" s="8"/>
      <c r="T525" s="1"/>
    </row>
    <row r="526" spans="1:20" x14ac:dyDescent="0.2">
      <c r="A526" s="14">
        <f t="shared" si="7"/>
        <v>514</v>
      </c>
      <c r="E526" s="12" t="str">
        <f>IF($C$8&gt;=A526,$E$1&amp;" "&amp;A526,"")</f>
        <v/>
      </c>
      <c r="J526" s="8"/>
      <c r="M526" s="1"/>
      <c r="N526" s="1"/>
      <c r="O526" s="1"/>
      <c r="P526" s="9"/>
      <c r="Q526" s="9"/>
      <c r="R526" s="8"/>
      <c r="S526" s="8"/>
      <c r="T526" s="1"/>
    </row>
    <row r="527" spans="1:20" x14ac:dyDescent="0.2">
      <c r="A527" s="14">
        <f t="shared" ref="A527:A590" si="8">A526+1</f>
        <v>515</v>
      </c>
      <c r="E527" s="12" t="str">
        <f>IF($C$8&gt;=A527,$E$1&amp;" "&amp;A527,"")</f>
        <v/>
      </c>
      <c r="J527" s="8"/>
      <c r="M527" s="1"/>
      <c r="N527" s="1"/>
      <c r="O527" s="1"/>
      <c r="P527" s="9"/>
      <c r="Q527" s="9"/>
      <c r="R527" s="8"/>
      <c r="S527" s="8"/>
      <c r="T527" s="1"/>
    </row>
    <row r="528" spans="1:20" x14ac:dyDescent="0.2">
      <c r="A528" s="14">
        <f t="shared" si="8"/>
        <v>516</v>
      </c>
      <c r="E528" s="12" t="str">
        <f>IF($C$8&gt;=A528,$E$1&amp;" "&amp;A528,"")</f>
        <v/>
      </c>
      <c r="J528" s="8"/>
      <c r="M528" s="1"/>
      <c r="N528" s="1"/>
      <c r="O528" s="1"/>
      <c r="P528" s="9"/>
      <c r="Q528" s="9"/>
      <c r="R528" s="8"/>
      <c r="S528" s="8"/>
      <c r="T528" s="1"/>
    </row>
    <row r="529" spans="1:20" x14ac:dyDescent="0.2">
      <c r="A529" s="14">
        <f t="shared" si="8"/>
        <v>517</v>
      </c>
      <c r="E529" s="12" t="str">
        <f>IF($C$8&gt;=A529,$E$1&amp;" "&amp;A529,"")</f>
        <v/>
      </c>
      <c r="J529" s="8"/>
      <c r="M529" s="1"/>
      <c r="N529" s="1"/>
      <c r="O529" s="1"/>
      <c r="P529" s="9"/>
      <c r="Q529" s="9"/>
      <c r="R529" s="8"/>
      <c r="S529" s="8"/>
      <c r="T529" s="1"/>
    </row>
    <row r="530" spans="1:20" x14ac:dyDescent="0.2">
      <c r="A530" s="14">
        <f t="shared" si="8"/>
        <v>518</v>
      </c>
      <c r="E530" s="12" t="str">
        <f>IF($C$8&gt;=A530,$E$1&amp;" "&amp;A530,"")</f>
        <v/>
      </c>
      <c r="J530" s="8"/>
      <c r="M530" s="1"/>
      <c r="N530" s="1"/>
      <c r="O530" s="1"/>
      <c r="P530" s="9"/>
      <c r="Q530" s="9"/>
      <c r="R530" s="8"/>
      <c r="S530" s="8"/>
      <c r="T530" s="1"/>
    </row>
    <row r="531" spans="1:20" x14ac:dyDescent="0.2">
      <c r="A531" s="14">
        <f t="shared" si="8"/>
        <v>519</v>
      </c>
      <c r="E531" s="12" t="str">
        <f>IF($C$8&gt;=A531,$E$1&amp;" "&amp;A531,"")</f>
        <v/>
      </c>
      <c r="J531" s="8"/>
      <c r="M531" s="1"/>
      <c r="N531" s="1"/>
      <c r="O531" s="1"/>
      <c r="P531" s="9"/>
      <c r="Q531" s="9"/>
      <c r="R531" s="8"/>
      <c r="S531" s="8"/>
      <c r="T531" s="1"/>
    </row>
    <row r="532" spans="1:20" x14ac:dyDescent="0.2">
      <c r="A532" s="14">
        <f t="shared" si="8"/>
        <v>520</v>
      </c>
      <c r="E532" s="12" t="str">
        <f>IF($C$8&gt;=A532,$E$1&amp;" "&amp;A532,"")</f>
        <v/>
      </c>
      <c r="J532" s="8"/>
      <c r="M532" s="1"/>
      <c r="N532" s="1"/>
      <c r="O532" s="1"/>
      <c r="P532" s="9"/>
      <c r="Q532" s="9"/>
      <c r="R532" s="8"/>
      <c r="S532" s="8"/>
      <c r="T532" s="1"/>
    </row>
    <row r="533" spans="1:20" x14ac:dyDescent="0.2">
      <c r="A533" s="14">
        <f t="shared" si="8"/>
        <v>521</v>
      </c>
      <c r="E533" s="12" t="str">
        <f>IF($C$8&gt;=A533,$E$1&amp;" "&amp;A533,"")</f>
        <v/>
      </c>
      <c r="J533" s="8"/>
      <c r="M533" s="1"/>
      <c r="N533" s="1"/>
      <c r="O533" s="1"/>
      <c r="P533" s="9"/>
      <c r="Q533" s="9"/>
      <c r="R533" s="8"/>
      <c r="S533" s="8"/>
      <c r="T533" s="1"/>
    </row>
    <row r="534" spans="1:20" x14ac:dyDescent="0.2">
      <c r="A534" s="14">
        <f t="shared" si="8"/>
        <v>522</v>
      </c>
      <c r="E534" s="12" t="str">
        <f>IF($C$8&gt;=A534,$E$1&amp;" "&amp;A534,"")</f>
        <v/>
      </c>
      <c r="J534" s="8"/>
      <c r="M534" s="1"/>
      <c r="N534" s="1"/>
      <c r="O534" s="1"/>
      <c r="P534" s="9"/>
      <c r="Q534" s="9"/>
      <c r="R534" s="8"/>
      <c r="S534" s="8"/>
      <c r="T534" s="1"/>
    </row>
    <row r="535" spans="1:20" x14ac:dyDescent="0.2">
      <c r="A535" s="14">
        <f t="shared" si="8"/>
        <v>523</v>
      </c>
      <c r="E535" s="12" t="str">
        <f>IF($C$8&gt;=A535,$E$1&amp;" "&amp;A535,"")</f>
        <v/>
      </c>
      <c r="J535" s="8"/>
      <c r="M535" s="1"/>
      <c r="N535" s="1"/>
      <c r="O535" s="1"/>
      <c r="P535" s="9"/>
      <c r="Q535" s="9"/>
      <c r="R535" s="8"/>
      <c r="S535" s="8"/>
      <c r="T535" s="1"/>
    </row>
    <row r="536" spans="1:20" x14ac:dyDescent="0.2">
      <c r="A536" s="14">
        <f t="shared" si="8"/>
        <v>524</v>
      </c>
      <c r="E536" s="12" t="str">
        <f>IF($C$8&gt;=A536,$E$1&amp;" "&amp;A536,"")</f>
        <v/>
      </c>
      <c r="J536" s="8"/>
      <c r="M536" s="1"/>
      <c r="N536" s="1"/>
      <c r="O536" s="1"/>
      <c r="P536" s="9"/>
      <c r="Q536" s="9"/>
      <c r="R536" s="8"/>
      <c r="S536" s="8"/>
      <c r="T536" s="1"/>
    </row>
    <row r="537" spans="1:20" x14ac:dyDescent="0.2">
      <c r="A537" s="14">
        <f t="shared" si="8"/>
        <v>525</v>
      </c>
      <c r="E537" s="12" t="str">
        <f>IF($C$8&gt;=A537,$E$1&amp;" "&amp;A537,"")</f>
        <v/>
      </c>
      <c r="J537" s="8"/>
      <c r="M537" s="1"/>
      <c r="N537" s="1"/>
      <c r="O537" s="1"/>
      <c r="P537" s="9"/>
      <c r="Q537" s="9"/>
      <c r="R537" s="8"/>
      <c r="S537" s="8"/>
      <c r="T537" s="1"/>
    </row>
    <row r="538" spans="1:20" x14ac:dyDescent="0.2">
      <c r="A538" s="14">
        <f t="shared" si="8"/>
        <v>526</v>
      </c>
      <c r="E538" s="12" t="str">
        <f>IF($C$8&gt;=A538,$E$1&amp;" "&amp;A538,"")</f>
        <v/>
      </c>
      <c r="J538" s="8"/>
      <c r="M538" s="1"/>
      <c r="N538" s="1"/>
      <c r="O538" s="1"/>
      <c r="P538" s="9"/>
      <c r="Q538" s="9"/>
      <c r="R538" s="8"/>
      <c r="S538" s="8"/>
      <c r="T538" s="1"/>
    </row>
    <row r="539" spans="1:20" x14ac:dyDescent="0.2">
      <c r="A539" s="14">
        <f t="shared" si="8"/>
        <v>527</v>
      </c>
      <c r="E539" s="12" t="str">
        <f>IF($C$8&gt;=A539,$E$1&amp;" "&amp;A539,"")</f>
        <v/>
      </c>
      <c r="J539" s="8"/>
      <c r="M539" s="1"/>
      <c r="N539" s="1"/>
      <c r="O539" s="1"/>
      <c r="P539" s="9"/>
      <c r="Q539" s="9"/>
      <c r="R539" s="8"/>
      <c r="S539" s="8"/>
      <c r="T539" s="1"/>
    </row>
    <row r="540" spans="1:20" x14ac:dyDescent="0.2">
      <c r="A540" s="14">
        <f t="shared" si="8"/>
        <v>528</v>
      </c>
      <c r="E540" s="12" t="str">
        <f>IF($C$8&gt;=A540,$E$1&amp;" "&amp;A540,"")</f>
        <v/>
      </c>
      <c r="J540" s="8"/>
      <c r="M540" s="1"/>
      <c r="N540" s="1"/>
      <c r="O540" s="1"/>
      <c r="P540" s="9"/>
      <c r="Q540" s="9"/>
      <c r="R540" s="8"/>
      <c r="S540" s="8"/>
      <c r="T540" s="1"/>
    </row>
    <row r="541" spans="1:20" x14ac:dyDescent="0.2">
      <c r="A541" s="14">
        <f t="shared" si="8"/>
        <v>529</v>
      </c>
      <c r="E541" s="12" t="str">
        <f>IF($C$8&gt;=A541,$E$1&amp;" "&amp;A541,"")</f>
        <v/>
      </c>
      <c r="J541" s="8"/>
      <c r="M541" s="1"/>
      <c r="N541" s="1"/>
      <c r="O541" s="1"/>
      <c r="P541" s="9"/>
      <c r="Q541" s="9"/>
      <c r="R541" s="8"/>
      <c r="S541" s="8"/>
      <c r="T541" s="1"/>
    </row>
    <row r="542" spans="1:20" x14ac:dyDescent="0.2">
      <c r="A542" s="14">
        <f t="shared" si="8"/>
        <v>530</v>
      </c>
      <c r="E542" s="12" t="str">
        <f>IF($C$8&gt;=A542,$E$1&amp;" "&amp;A542,"")</f>
        <v/>
      </c>
      <c r="J542" s="8"/>
      <c r="M542" s="1"/>
      <c r="N542" s="1"/>
      <c r="O542" s="1"/>
      <c r="P542" s="9"/>
      <c r="Q542" s="9"/>
      <c r="R542" s="8"/>
      <c r="S542" s="8"/>
      <c r="T542" s="1"/>
    </row>
    <row r="543" spans="1:20" x14ac:dyDescent="0.2">
      <c r="A543" s="14">
        <f t="shared" si="8"/>
        <v>531</v>
      </c>
      <c r="E543" s="12" t="str">
        <f>IF($C$8&gt;=A543,$E$1&amp;" "&amp;A543,"")</f>
        <v/>
      </c>
      <c r="J543" s="8"/>
      <c r="M543" s="1"/>
      <c r="N543" s="1"/>
      <c r="O543" s="1"/>
      <c r="P543" s="9"/>
      <c r="Q543" s="9"/>
      <c r="R543" s="8"/>
      <c r="S543" s="8"/>
      <c r="T543" s="1"/>
    </row>
    <row r="544" spans="1:20" x14ac:dyDescent="0.2">
      <c r="A544" s="14">
        <f t="shared" si="8"/>
        <v>532</v>
      </c>
      <c r="E544" s="12" t="str">
        <f>IF($C$8&gt;=A544,$E$1&amp;" "&amp;A544,"")</f>
        <v/>
      </c>
      <c r="J544" s="8"/>
      <c r="M544" s="1"/>
      <c r="N544" s="1"/>
      <c r="O544" s="1"/>
      <c r="P544" s="9"/>
      <c r="Q544" s="9"/>
      <c r="R544" s="8"/>
      <c r="S544" s="8"/>
      <c r="T544" s="1"/>
    </row>
    <row r="545" spans="1:20" x14ac:dyDescent="0.2">
      <c r="A545" s="14">
        <f t="shared" si="8"/>
        <v>533</v>
      </c>
      <c r="E545" s="12" t="str">
        <f>IF($C$8&gt;=A545,$E$1&amp;" "&amp;A545,"")</f>
        <v/>
      </c>
      <c r="J545" s="8"/>
      <c r="M545" s="1"/>
      <c r="N545" s="1"/>
      <c r="O545" s="1"/>
      <c r="P545" s="9"/>
      <c r="Q545" s="9"/>
      <c r="R545" s="8"/>
      <c r="S545" s="8"/>
      <c r="T545" s="1"/>
    </row>
    <row r="546" spans="1:20" x14ac:dyDescent="0.2">
      <c r="A546" s="14">
        <f t="shared" si="8"/>
        <v>534</v>
      </c>
      <c r="E546" s="12" t="str">
        <f>IF($C$8&gt;=A546,$E$1&amp;" "&amp;A546,"")</f>
        <v/>
      </c>
      <c r="J546" s="8"/>
      <c r="M546" s="1"/>
      <c r="N546" s="1"/>
      <c r="O546" s="1"/>
      <c r="P546" s="9"/>
      <c r="Q546" s="9"/>
      <c r="R546" s="8"/>
      <c r="S546" s="8"/>
      <c r="T546" s="1"/>
    </row>
    <row r="547" spans="1:20" x14ac:dyDescent="0.2">
      <c r="A547" s="14">
        <f t="shared" si="8"/>
        <v>535</v>
      </c>
      <c r="E547" s="12" t="str">
        <f>IF($C$8&gt;=A547,$E$1&amp;" "&amp;A547,"")</f>
        <v/>
      </c>
      <c r="J547" s="8"/>
      <c r="M547" s="1"/>
      <c r="N547" s="1"/>
      <c r="O547" s="1"/>
      <c r="P547" s="9"/>
      <c r="Q547" s="9"/>
      <c r="R547" s="8"/>
      <c r="S547" s="8"/>
      <c r="T547" s="1"/>
    </row>
    <row r="548" spans="1:20" x14ac:dyDescent="0.2">
      <c r="A548" s="14">
        <f t="shared" si="8"/>
        <v>536</v>
      </c>
      <c r="E548" s="12" t="str">
        <f>IF($C$8&gt;=A548,$E$1&amp;" "&amp;A548,"")</f>
        <v/>
      </c>
      <c r="J548" s="8"/>
      <c r="M548" s="1"/>
      <c r="N548" s="1"/>
      <c r="O548" s="1"/>
      <c r="P548" s="9"/>
      <c r="Q548" s="9"/>
      <c r="R548" s="8"/>
      <c r="S548" s="8"/>
      <c r="T548" s="1"/>
    </row>
    <row r="549" spans="1:20" x14ac:dyDescent="0.2">
      <c r="A549" s="14">
        <f t="shared" si="8"/>
        <v>537</v>
      </c>
      <c r="E549" s="12" t="str">
        <f>IF($C$8&gt;=A549,$E$1&amp;" "&amp;A549,"")</f>
        <v/>
      </c>
      <c r="J549" s="8"/>
      <c r="M549" s="1"/>
      <c r="N549" s="1"/>
      <c r="O549" s="1"/>
      <c r="P549" s="9"/>
      <c r="Q549" s="9"/>
      <c r="R549" s="8"/>
      <c r="S549" s="8"/>
      <c r="T549" s="1"/>
    </row>
    <row r="550" spans="1:20" x14ac:dyDescent="0.2">
      <c r="A550" s="14">
        <f t="shared" si="8"/>
        <v>538</v>
      </c>
      <c r="E550" s="12" t="str">
        <f>IF($C$8&gt;=A550,$E$1&amp;" "&amp;A550,"")</f>
        <v/>
      </c>
      <c r="J550" s="8"/>
      <c r="M550" s="1"/>
      <c r="N550" s="1"/>
      <c r="O550" s="1"/>
      <c r="P550" s="9"/>
      <c r="Q550" s="9"/>
      <c r="R550" s="8"/>
      <c r="S550" s="8"/>
      <c r="T550" s="1"/>
    </row>
    <row r="551" spans="1:20" x14ac:dyDescent="0.2">
      <c r="A551" s="14">
        <f t="shared" si="8"/>
        <v>539</v>
      </c>
      <c r="E551" s="12" t="str">
        <f>IF($C$8&gt;=A551,$E$1&amp;" "&amp;A551,"")</f>
        <v/>
      </c>
      <c r="J551" s="8"/>
      <c r="M551" s="1"/>
      <c r="N551" s="1"/>
      <c r="O551" s="1"/>
      <c r="P551" s="9"/>
      <c r="Q551" s="9"/>
      <c r="R551" s="8"/>
      <c r="S551" s="8"/>
      <c r="T551" s="1"/>
    </row>
    <row r="552" spans="1:20" x14ac:dyDescent="0.2">
      <c r="A552" s="14">
        <f t="shared" si="8"/>
        <v>540</v>
      </c>
      <c r="E552" s="12" t="str">
        <f>IF($C$8&gt;=A552,$E$1&amp;" "&amp;A552,"")</f>
        <v/>
      </c>
      <c r="J552" s="8"/>
      <c r="M552" s="1"/>
      <c r="N552" s="1"/>
      <c r="O552" s="1"/>
      <c r="P552" s="9"/>
      <c r="Q552" s="9"/>
      <c r="R552" s="8"/>
      <c r="S552" s="8"/>
      <c r="T552" s="1"/>
    </row>
    <row r="553" spans="1:20" x14ac:dyDescent="0.2">
      <c r="A553" s="14">
        <f t="shared" si="8"/>
        <v>541</v>
      </c>
      <c r="E553" s="12" t="str">
        <f>IF($C$8&gt;=A553,$E$1&amp;" "&amp;A553,"")</f>
        <v/>
      </c>
      <c r="J553" s="8"/>
      <c r="M553" s="1"/>
      <c r="N553" s="1"/>
      <c r="O553" s="1"/>
      <c r="P553" s="9"/>
      <c r="Q553" s="9"/>
      <c r="R553" s="8"/>
      <c r="S553" s="8"/>
      <c r="T553" s="1"/>
    </row>
    <row r="554" spans="1:20" x14ac:dyDescent="0.2">
      <c r="A554" s="14">
        <f t="shared" si="8"/>
        <v>542</v>
      </c>
      <c r="E554" s="12" t="str">
        <f>IF($C$8&gt;=A554,$E$1&amp;" "&amp;A554,"")</f>
        <v/>
      </c>
      <c r="J554" s="8"/>
      <c r="M554" s="1"/>
      <c r="N554" s="1"/>
      <c r="O554" s="1"/>
      <c r="P554" s="9"/>
      <c r="Q554" s="9"/>
      <c r="R554" s="8"/>
      <c r="S554" s="8"/>
      <c r="T554" s="1"/>
    </row>
    <row r="555" spans="1:20" x14ac:dyDescent="0.2">
      <c r="A555" s="14">
        <f t="shared" si="8"/>
        <v>543</v>
      </c>
      <c r="E555" s="12" t="str">
        <f>IF($C$8&gt;=A555,$E$1&amp;" "&amp;A555,"")</f>
        <v/>
      </c>
      <c r="J555" s="8"/>
      <c r="M555" s="1"/>
      <c r="N555" s="1"/>
      <c r="O555" s="1"/>
      <c r="P555" s="9"/>
      <c r="Q555" s="9"/>
      <c r="R555" s="8"/>
      <c r="S555" s="8"/>
      <c r="T555" s="1"/>
    </row>
    <row r="556" spans="1:20" x14ac:dyDescent="0.2">
      <c r="A556" s="14">
        <f t="shared" si="8"/>
        <v>544</v>
      </c>
      <c r="E556" s="12" t="str">
        <f>IF($C$8&gt;=A556,$E$1&amp;" "&amp;A556,"")</f>
        <v/>
      </c>
      <c r="J556" s="8"/>
      <c r="M556" s="1"/>
      <c r="N556" s="1"/>
      <c r="O556" s="1"/>
      <c r="P556" s="9"/>
      <c r="Q556" s="9"/>
      <c r="R556" s="8"/>
      <c r="S556" s="8"/>
      <c r="T556" s="1"/>
    </row>
    <row r="557" spans="1:20" x14ac:dyDescent="0.2">
      <c r="A557" s="14">
        <f t="shared" si="8"/>
        <v>545</v>
      </c>
      <c r="E557" s="12" t="str">
        <f>IF($C$8&gt;=A557,$E$1&amp;" "&amp;A557,"")</f>
        <v/>
      </c>
      <c r="J557" s="8"/>
      <c r="M557" s="1"/>
      <c r="N557" s="1"/>
      <c r="O557" s="1"/>
      <c r="P557" s="9"/>
      <c r="Q557" s="9"/>
      <c r="R557" s="8"/>
      <c r="S557" s="8"/>
      <c r="T557" s="1"/>
    </row>
    <row r="558" spans="1:20" x14ac:dyDescent="0.2">
      <c r="A558" s="14">
        <f t="shared" si="8"/>
        <v>546</v>
      </c>
      <c r="E558" s="12" t="str">
        <f>IF($C$8&gt;=A558,$E$1&amp;" "&amp;A558,"")</f>
        <v/>
      </c>
      <c r="J558" s="8"/>
      <c r="M558" s="1"/>
      <c r="N558" s="1"/>
      <c r="O558" s="1"/>
      <c r="P558" s="9"/>
      <c r="Q558" s="9"/>
      <c r="R558" s="8"/>
      <c r="S558" s="8"/>
      <c r="T558" s="1"/>
    </row>
    <row r="559" spans="1:20" x14ac:dyDescent="0.2">
      <c r="A559" s="14">
        <f t="shared" si="8"/>
        <v>547</v>
      </c>
      <c r="E559" s="12" t="str">
        <f>IF($C$8&gt;=A559,$E$1&amp;" "&amp;A559,"")</f>
        <v/>
      </c>
      <c r="J559" s="8"/>
      <c r="M559" s="1"/>
      <c r="N559" s="1"/>
      <c r="O559" s="1"/>
      <c r="P559" s="9"/>
      <c r="Q559" s="9"/>
      <c r="R559" s="8"/>
      <c r="S559" s="8"/>
      <c r="T559" s="1"/>
    </row>
    <row r="560" spans="1:20" x14ac:dyDescent="0.2">
      <c r="A560" s="14">
        <f t="shared" si="8"/>
        <v>548</v>
      </c>
      <c r="E560" s="12" t="str">
        <f>IF($C$8&gt;=A560,$E$1&amp;" "&amp;A560,"")</f>
        <v/>
      </c>
      <c r="J560" s="8"/>
      <c r="M560" s="1"/>
      <c r="N560" s="1"/>
      <c r="O560" s="1"/>
      <c r="P560" s="9"/>
      <c r="Q560" s="9"/>
      <c r="R560" s="8"/>
      <c r="S560" s="8"/>
      <c r="T560" s="1"/>
    </row>
    <row r="561" spans="1:20" x14ac:dyDescent="0.2">
      <c r="A561" s="14">
        <f t="shared" si="8"/>
        <v>549</v>
      </c>
      <c r="E561" s="12" t="str">
        <f>IF($C$8&gt;=A561,$E$1&amp;" "&amp;A561,"")</f>
        <v/>
      </c>
      <c r="J561" s="8"/>
      <c r="M561" s="1"/>
      <c r="N561" s="1"/>
      <c r="O561" s="1"/>
      <c r="P561" s="9"/>
      <c r="Q561" s="9"/>
      <c r="R561" s="8"/>
      <c r="S561" s="8"/>
      <c r="T561" s="1"/>
    </row>
    <row r="562" spans="1:20" x14ac:dyDescent="0.2">
      <c r="A562" s="14">
        <f t="shared" si="8"/>
        <v>550</v>
      </c>
      <c r="E562" s="12" t="str">
        <f>IF($C$8&gt;=A562,$E$1&amp;" "&amp;A562,"")</f>
        <v/>
      </c>
      <c r="J562" s="8"/>
      <c r="M562" s="1"/>
      <c r="N562" s="1"/>
      <c r="O562" s="1"/>
      <c r="P562" s="9"/>
      <c r="Q562" s="9"/>
      <c r="R562" s="8"/>
      <c r="S562" s="8"/>
      <c r="T562" s="1"/>
    </row>
    <row r="563" spans="1:20" x14ac:dyDescent="0.2">
      <c r="A563" s="14">
        <f t="shared" si="8"/>
        <v>551</v>
      </c>
      <c r="E563" s="12" t="str">
        <f>IF($C$8&gt;=A563,$E$1&amp;" "&amp;A563,"")</f>
        <v/>
      </c>
      <c r="J563" s="8"/>
      <c r="M563" s="1"/>
      <c r="N563" s="1"/>
      <c r="O563" s="1"/>
      <c r="P563" s="9"/>
      <c r="Q563" s="9"/>
      <c r="R563" s="8"/>
      <c r="S563" s="8"/>
      <c r="T563" s="1"/>
    </row>
    <row r="564" spans="1:20" x14ac:dyDescent="0.2">
      <c r="A564" s="14">
        <f t="shared" si="8"/>
        <v>552</v>
      </c>
      <c r="E564" s="12" t="str">
        <f>IF($C$8&gt;=A564,$E$1&amp;" "&amp;A564,"")</f>
        <v/>
      </c>
      <c r="J564" s="8"/>
      <c r="M564" s="1"/>
      <c r="N564" s="1"/>
      <c r="O564" s="1"/>
      <c r="P564" s="9"/>
      <c r="Q564" s="9"/>
      <c r="R564" s="8"/>
      <c r="S564" s="8"/>
      <c r="T564" s="1"/>
    </row>
    <row r="565" spans="1:20" x14ac:dyDescent="0.2">
      <c r="A565" s="14">
        <f t="shared" si="8"/>
        <v>553</v>
      </c>
      <c r="E565" s="12" t="str">
        <f>IF($C$8&gt;=A565,$E$1&amp;" "&amp;A565,"")</f>
        <v/>
      </c>
      <c r="J565" s="8"/>
      <c r="M565" s="1"/>
      <c r="N565" s="1"/>
      <c r="O565" s="1"/>
      <c r="P565" s="9"/>
      <c r="Q565" s="9"/>
      <c r="R565" s="8"/>
      <c r="S565" s="8"/>
      <c r="T565" s="1"/>
    </row>
    <row r="566" spans="1:20" x14ac:dyDescent="0.2">
      <c r="A566" s="14">
        <f t="shared" si="8"/>
        <v>554</v>
      </c>
      <c r="E566" s="12" t="str">
        <f>IF($C$8&gt;=A566,$E$1&amp;" "&amp;A566,"")</f>
        <v/>
      </c>
      <c r="J566" s="8"/>
      <c r="M566" s="1"/>
      <c r="N566" s="1"/>
      <c r="O566" s="1"/>
      <c r="P566" s="9"/>
      <c r="Q566" s="9"/>
      <c r="R566" s="8"/>
      <c r="S566" s="8"/>
      <c r="T566" s="1"/>
    </row>
    <row r="567" spans="1:20" x14ac:dyDescent="0.2">
      <c r="A567" s="14">
        <f t="shared" si="8"/>
        <v>555</v>
      </c>
      <c r="E567" s="12" t="str">
        <f>IF($C$8&gt;=A567,$E$1&amp;" "&amp;A567,"")</f>
        <v/>
      </c>
      <c r="J567" s="8"/>
      <c r="M567" s="1"/>
      <c r="N567" s="1"/>
      <c r="O567" s="1"/>
      <c r="P567" s="9"/>
      <c r="Q567" s="9"/>
      <c r="R567" s="8"/>
      <c r="S567" s="8"/>
      <c r="T567" s="1"/>
    </row>
    <row r="568" spans="1:20" x14ac:dyDescent="0.2">
      <c r="A568" s="14">
        <f t="shared" si="8"/>
        <v>556</v>
      </c>
      <c r="E568" s="12" t="str">
        <f>IF($C$8&gt;=A568,$E$1&amp;" "&amp;A568,"")</f>
        <v/>
      </c>
      <c r="J568" s="8"/>
      <c r="M568" s="1"/>
      <c r="N568" s="1"/>
      <c r="O568" s="1"/>
      <c r="P568" s="9"/>
      <c r="Q568" s="9"/>
      <c r="R568" s="8"/>
      <c r="S568" s="8"/>
      <c r="T568" s="1"/>
    </row>
    <row r="569" spans="1:20" x14ac:dyDescent="0.2">
      <c r="A569" s="14">
        <f t="shared" si="8"/>
        <v>557</v>
      </c>
      <c r="E569" s="12" t="str">
        <f>IF($C$8&gt;=A569,$E$1&amp;" "&amp;A569,"")</f>
        <v/>
      </c>
      <c r="J569" s="8"/>
      <c r="M569" s="1"/>
      <c r="N569" s="1"/>
      <c r="O569" s="1"/>
      <c r="P569" s="9"/>
      <c r="Q569" s="9"/>
      <c r="R569" s="8"/>
      <c r="S569" s="8"/>
      <c r="T569" s="1"/>
    </row>
    <row r="570" spans="1:20" x14ac:dyDescent="0.2">
      <c r="A570" s="14">
        <f t="shared" si="8"/>
        <v>558</v>
      </c>
      <c r="E570" s="12" t="str">
        <f>IF($C$8&gt;=A570,$E$1&amp;" "&amp;A570,"")</f>
        <v/>
      </c>
      <c r="J570" s="8"/>
      <c r="M570" s="1"/>
      <c r="N570" s="1"/>
      <c r="O570" s="1"/>
      <c r="P570" s="9"/>
      <c r="Q570" s="9"/>
      <c r="R570" s="8"/>
      <c r="S570" s="8"/>
      <c r="T570" s="1"/>
    </row>
    <row r="571" spans="1:20" x14ac:dyDescent="0.2">
      <c r="A571" s="14">
        <f t="shared" si="8"/>
        <v>559</v>
      </c>
      <c r="E571" s="12" t="str">
        <f>IF($C$8&gt;=A571,$E$1&amp;" "&amp;A571,"")</f>
        <v/>
      </c>
      <c r="J571" s="8"/>
      <c r="M571" s="1"/>
      <c r="N571" s="1"/>
      <c r="O571" s="1"/>
      <c r="P571" s="9"/>
      <c r="Q571" s="9"/>
      <c r="R571" s="8"/>
      <c r="S571" s="8"/>
      <c r="T571" s="1"/>
    </row>
    <row r="572" spans="1:20" x14ac:dyDescent="0.2">
      <c r="A572" s="14">
        <f t="shared" si="8"/>
        <v>560</v>
      </c>
      <c r="E572" s="12" t="str">
        <f>IF($C$8&gt;=A572,$E$1&amp;" "&amp;A572,"")</f>
        <v/>
      </c>
      <c r="J572" s="8"/>
      <c r="M572" s="1"/>
      <c r="N572" s="1"/>
      <c r="O572" s="1"/>
      <c r="P572" s="9"/>
      <c r="Q572" s="9"/>
      <c r="R572" s="8"/>
      <c r="S572" s="8"/>
      <c r="T572" s="1"/>
    </row>
    <row r="573" spans="1:20" x14ac:dyDescent="0.2">
      <c r="A573" s="14">
        <f t="shared" si="8"/>
        <v>561</v>
      </c>
      <c r="E573" s="12" t="str">
        <f>IF($C$8&gt;=A573,$E$1&amp;" "&amp;A573,"")</f>
        <v/>
      </c>
      <c r="J573" s="8"/>
      <c r="M573" s="1"/>
      <c r="N573" s="1"/>
      <c r="O573" s="1"/>
      <c r="P573" s="9"/>
      <c r="Q573" s="9"/>
      <c r="R573" s="8"/>
      <c r="S573" s="8"/>
      <c r="T573" s="1"/>
    </row>
    <row r="574" spans="1:20" x14ac:dyDescent="0.2">
      <c r="A574" s="14">
        <f t="shared" si="8"/>
        <v>562</v>
      </c>
      <c r="E574" s="12" t="str">
        <f>IF($C$8&gt;=A574,$E$1&amp;" "&amp;A574,"")</f>
        <v/>
      </c>
      <c r="J574" s="8"/>
      <c r="M574" s="1"/>
      <c r="N574" s="1"/>
      <c r="O574" s="1"/>
      <c r="P574" s="9"/>
      <c r="Q574" s="9"/>
      <c r="R574" s="8"/>
      <c r="S574" s="8"/>
      <c r="T574" s="1"/>
    </row>
    <row r="575" spans="1:20" x14ac:dyDescent="0.2">
      <c r="A575" s="14">
        <f t="shared" si="8"/>
        <v>563</v>
      </c>
      <c r="E575" s="12" t="str">
        <f>IF($C$8&gt;=A575,$E$1&amp;" "&amp;A575,"")</f>
        <v/>
      </c>
      <c r="J575" s="8"/>
      <c r="M575" s="1"/>
      <c r="N575" s="1"/>
      <c r="O575" s="1"/>
      <c r="P575" s="9"/>
      <c r="Q575" s="9"/>
      <c r="R575" s="8"/>
      <c r="S575" s="8"/>
      <c r="T575" s="1"/>
    </row>
    <row r="576" spans="1:20" x14ac:dyDescent="0.2">
      <c r="A576" s="14">
        <f t="shared" si="8"/>
        <v>564</v>
      </c>
      <c r="E576" s="12" t="str">
        <f>IF($C$8&gt;=A576,$E$1&amp;" "&amp;A576,"")</f>
        <v/>
      </c>
      <c r="J576" s="8"/>
      <c r="M576" s="1"/>
      <c r="N576" s="1"/>
      <c r="O576" s="1"/>
      <c r="P576" s="9"/>
      <c r="Q576" s="9"/>
      <c r="R576" s="8"/>
      <c r="S576" s="8"/>
      <c r="T576" s="1"/>
    </row>
    <row r="577" spans="1:20" x14ac:dyDescent="0.2">
      <c r="A577" s="14">
        <f t="shared" si="8"/>
        <v>565</v>
      </c>
      <c r="E577" s="12" t="str">
        <f>IF($C$8&gt;=A577,$E$1&amp;" "&amp;A577,"")</f>
        <v/>
      </c>
      <c r="J577" s="8"/>
      <c r="M577" s="1"/>
      <c r="N577" s="1"/>
      <c r="O577" s="1"/>
      <c r="P577" s="9"/>
      <c r="Q577" s="9"/>
      <c r="R577" s="8"/>
      <c r="S577" s="8"/>
      <c r="T577" s="1"/>
    </row>
    <row r="578" spans="1:20" x14ac:dyDescent="0.2">
      <c r="A578" s="14">
        <f t="shared" si="8"/>
        <v>566</v>
      </c>
      <c r="E578" s="12" t="str">
        <f>IF($C$8&gt;=A578,$E$1&amp;" "&amp;A578,"")</f>
        <v/>
      </c>
      <c r="J578" s="8"/>
      <c r="M578" s="1"/>
      <c r="N578" s="1"/>
      <c r="O578" s="1"/>
      <c r="P578" s="9"/>
      <c r="Q578" s="9"/>
      <c r="R578" s="8"/>
      <c r="S578" s="8"/>
      <c r="T578" s="1"/>
    </row>
    <row r="579" spans="1:20" x14ac:dyDescent="0.2">
      <c r="A579" s="14">
        <f t="shared" si="8"/>
        <v>567</v>
      </c>
      <c r="E579" s="12" t="str">
        <f>IF($C$8&gt;=A579,$E$1&amp;" "&amp;A579,"")</f>
        <v/>
      </c>
      <c r="J579" s="8"/>
      <c r="M579" s="1"/>
      <c r="N579" s="1"/>
      <c r="O579" s="1"/>
      <c r="P579" s="9"/>
      <c r="Q579" s="9"/>
      <c r="R579" s="8"/>
      <c r="S579" s="8"/>
      <c r="T579" s="1"/>
    </row>
    <row r="580" spans="1:20" x14ac:dyDescent="0.2">
      <c r="A580" s="14">
        <f t="shared" si="8"/>
        <v>568</v>
      </c>
      <c r="E580" s="12" t="str">
        <f>IF($C$8&gt;=A580,$E$1&amp;" "&amp;A580,"")</f>
        <v/>
      </c>
      <c r="J580" s="8"/>
      <c r="M580" s="1"/>
      <c r="N580" s="1"/>
      <c r="O580" s="1"/>
      <c r="P580" s="9"/>
      <c r="Q580" s="9"/>
      <c r="R580" s="8"/>
      <c r="S580" s="8"/>
      <c r="T580" s="1"/>
    </row>
    <row r="581" spans="1:20" x14ac:dyDescent="0.2">
      <c r="A581" s="14">
        <f t="shared" si="8"/>
        <v>569</v>
      </c>
      <c r="E581" s="12" t="str">
        <f>IF($C$8&gt;=A581,$E$1&amp;" "&amp;A581,"")</f>
        <v/>
      </c>
      <c r="J581" s="8"/>
      <c r="M581" s="1"/>
      <c r="N581" s="1"/>
      <c r="O581" s="1"/>
      <c r="P581" s="9"/>
      <c r="Q581" s="9"/>
      <c r="R581" s="8"/>
      <c r="S581" s="8"/>
      <c r="T581" s="1"/>
    </row>
    <row r="582" spans="1:20" x14ac:dyDescent="0.2">
      <c r="A582" s="14">
        <f t="shared" si="8"/>
        <v>570</v>
      </c>
      <c r="E582" s="12" t="str">
        <f>IF($C$8&gt;=A582,$E$1&amp;" "&amp;A582,"")</f>
        <v/>
      </c>
      <c r="J582" s="8"/>
      <c r="M582" s="1"/>
      <c r="N582" s="1"/>
      <c r="O582" s="1"/>
      <c r="P582" s="9"/>
      <c r="Q582" s="9"/>
      <c r="R582" s="8"/>
      <c r="S582" s="8"/>
      <c r="T582" s="1"/>
    </row>
    <row r="583" spans="1:20" x14ac:dyDescent="0.2">
      <c r="A583" s="14">
        <f t="shared" si="8"/>
        <v>571</v>
      </c>
      <c r="E583" s="12" t="str">
        <f>IF($C$8&gt;=A583,$E$1&amp;" "&amp;A583,"")</f>
        <v/>
      </c>
      <c r="J583" s="8"/>
      <c r="M583" s="1"/>
      <c r="N583" s="1"/>
      <c r="O583" s="1"/>
      <c r="P583" s="9"/>
      <c r="Q583" s="9"/>
      <c r="R583" s="8"/>
      <c r="S583" s="8"/>
      <c r="T583" s="1"/>
    </row>
    <row r="584" spans="1:20" x14ac:dyDescent="0.2">
      <c r="A584" s="14">
        <f t="shared" si="8"/>
        <v>572</v>
      </c>
      <c r="E584" s="12" t="str">
        <f>IF($C$8&gt;=A584,$E$1&amp;" "&amp;A584,"")</f>
        <v/>
      </c>
      <c r="J584" s="8"/>
      <c r="M584" s="1"/>
      <c r="N584" s="1"/>
      <c r="O584" s="1"/>
      <c r="P584" s="9"/>
      <c r="Q584" s="9"/>
      <c r="R584" s="8"/>
      <c r="S584" s="8"/>
      <c r="T584" s="1"/>
    </row>
    <row r="585" spans="1:20" x14ac:dyDescent="0.2">
      <c r="A585" s="14">
        <f t="shared" si="8"/>
        <v>573</v>
      </c>
      <c r="E585" s="12" t="str">
        <f>IF($C$8&gt;=A585,$E$1&amp;" "&amp;A585,"")</f>
        <v/>
      </c>
      <c r="J585" s="8"/>
      <c r="M585" s="1"/>
      <c r="N585" s="1"/>
      <c r="O585" s="1"/>
      <c r="P585" s="9"/>
      <c r="Q585" s="9"/>
      <c r="R585" s="8"/>
      <c r="S585" s="8"/>
      <c r="T585" s="1"/>
    </row>
    <row r="586" spans="1:20" x14ac:dyDescent="0.2">
      <c r="A586" s="14">
        <f t="shared" si="8"/>
        <v>574</v>
      </c>
      <c r="E586" s="12" t="str">
        <f>IF($C$8&gt;=A586,$E$1&amp;" "&amp;A586,"")</f>
        <v/>
      </c>
      <c r="J586" s="8"/>
      <c r="M586" s="1"/>
      <c r="N586" s="1"/>
      <c r="O586" s="1"/>
      <c r="P586" s="9"/>
      <c r="Q586" s="9"/>
      <c r="R586" s="8"/>
      <c r="S586" s="8"/>
      <c r="T586" s="1"/>
    </row>
    <row r="587" spans="1:20" x14ac:dyDescent="0.2">
      <c r="A587" s="14">
        <f t="shared" si="8"/>
        <v>575</v>
      </c>
      <c r="E587" s="12" t="str">
        <f>IF($C$8&gt;=A587,$E$1&amp;" "&amp;A587,"")</f>
        <v/>
      </c>
      <c r="J587" s="8"/>
      <c r="M587" s="1"/>
      <c r="N587" s="1"/>
      <c r="O587" s="1"/>
      <c r="P587" s="9"/>
      <c r="Q587" s="9"/>
      <c r="R587" s="8"/>
      <c r="S587" s="8"/>
      <c r="T587" s="1"/>
    </row>
    <row r="588" spans="1:20" x14ac:dyDescent="0.2">
      <c r="A588" s="14">
        <f t="shared" si="8"/>
        <v>576</v>
      </c>
      <c r="E588" s="12" t="str">
        <f>IF($C$8&gt;=A588,$E$1&amp;" "&amp;A588,"")</f>
        <v/>
      </c>
      <c r="J588" s="8"/>
      <c r="M588" s="1"/>
      <c r="N588" s="1"/>
      <c r="O588" s="1"/>
      <c r="P588" s="9"/>
      <c r="Q588" s="9"/>
      <c r="R588" s="8"/>
      <c r="S588" s="8"/>
      <c r="T588" s="1"/>
    </row>
    <row r="589" spans="1:20" x14ac:dyDescent="0.2">
      <c r="A589" s="14">
        <f t="shared" si="8"/>
        <v>577</v>
      </c>
      <c r="E589" s="12" t="str">
        <f>IF($C$8&gt;=A589,$E$1&amp;" "&amp;A589,"")</f>
        <v/>
      </c>
      <c r="J589" s="8"/>
      <c r="M589" s="1"/>
      <c r="N589" s="1"/>
      <c r="O589" s="1"/>
      <c r="P589" s="9"/>
      <c r="Q589" s="9"/>
      <c r="R589" s="8"/>
      <c r="S589" s="8"/>
      <c r="T589" s="1"/>
    </row>
    <row r="590" spans="1:20" x14ac:dyDescent="0.2">
      <c r="A590" s="14">
        <f t="shared" si="8"/>
        <v>578</v>
      </c>
      <c r="E590" s="12" t="str">
        <f>IF($C$8&gt;=A590,$E$1&amp;" "&amp;A590,"")</f>
        <v/>
      </c>
      <c r="J590" s="8"/>
      <c r="M590" s="1"/>
      <c r="N590" s="1"/>
      <c r="O590" s="1"/>
      <c r="P590" s="9"/>
      <c r="Q590" s="9"/>
      <c r="R590" s="8"/>
      <c r="S590" s="8"/>
      <c r="T590" s="1"/>
    </row>
    <row r="591" spans="1:20" x14ac:dyDescent="0.2">
      <c r="A591" s="14">
        <f t="shared" ref="A591:A654" si="9">A590+1</f>
        <v>579</v>
      </c>
      <c r="E591" s="12" t="str">
        <f>IF($C$8&gt;=A591,$E$1&amp;" "&amp;A591,"")</f>
        <v/>
      </c>
      <c r="J591" s="8"/>
      <c r="M591" s="1"/>
      <c r="N591" s="1"/>
      <c r="O591" s="1"/>
      <c r="P591" s="9"/>
      <c r="Q591" s="9"/>
      <c r="R591" s="8"/>
      <c r="S591" s="8"/>
      <c r="T591" s="1"/>
    </row>
    <row r="592" spans="1:20" x14ac:dyDescent="0.2">
      <c r="A592" s="14">
        <f t="shared" si="9"/>
        <v>580</v>
      </c>
      <c r="E592" s="12" t="str">
        <f>IF($C$8&gt;=A592,$E$1&amp;" "&amp;A592,"")</f>
        <v/>
      </c>
      <c r="J592" s="8"/>
      <c r="M592" s="1"/>
      <c r="N592" s="1"/>
      <c r="O592" s="1"/>
      <c r="P592" s="9"/>
      <c r="Q592" s="9"/>
      <c r="R592" s="8"/>
      <c r="S592" s="8"/>
      <c r="T592" s="1"/>
    </row>
    <row r="593" spans="1:20" x14ac:dyDescent="0.2">
      <c r="A593" s="14">
        <f t="shared" si="9"/>
        <v>581</v>
      </c>
      <c r="E593" s="12" t="str">
        <f>IF($C$8&gt;=A593,$E$1&amp;" "&amp;A593,"")</f>
        <v/>
      </c>
      <c r="J593" s="8"/>
      <c r="M593" s="1"/>
      <c r="N593" s="1"/>
      <c r="O593" s="1"/>
      <c r="P593" s="9"/>
      <c r="Q593" s="9"/>
      <c r="R593" s="8"/>
      <c r="S593" s="8"/>
      <c r="T593" s="1"/>
    </row>
    <row r="594" spans="1:20" x14ac:dyDescent="0.2">
      <c r="A594" s="14">
        <f t="shared" si="9"/>
        <v>582</v>
      </c>
      <c r="E594" s="12" t="str">
        <f>IF($C$8&gt;=A594,$E$1&amp;" "&amp;A594,"")</f>
        <v/>
      </c>
      <c r="J594" s="8"/>
      <c r="M594" s="1"/>
      <c r="N594" s="1"/>
      <c r="O594" s="1"/>
      <c r="P594" s="9"/>
      <c r="Q594" s="9"/>
      <c r="R594" s="8"/>
      <c r="S594" s="8"/>
      <c r="T594" s="1"/>
    </row>
    <row r="595" spans="1:20" x14ac:dyDescent="0.2">
      <c r="A595" s="14">
        <f t="shared" si="9"/>
        <v>583</v>
      </c>
      <c r="E595" s="12" t="str">
        <f>IF($C$8&gt;=A595,$E$1&amp;" "&amp;A595,"")</f>
        <v/>
      </c>
      <c r="J595" s="8"/>
      <c r="M595" s="1"/>
      <c r="N595" s="1"/>
      <c r="O595" s="1"/>
      <c r="P595" s="9"/>
      <c r="Q595" s="9"/>
      <c r="R595" s="8"/>
      <c r="S595" s="8"/>
      <c r="T595" s="1"/>
    </row>
    <row r="596" spans="1:20" x14ac:dyDescent="0.2">
      <c r="A596" s="14">
        <f t="shared" si="9"/>
        <v>584</v>
      </c>
      <c r="E596" s="12" t="str">
        <f>IF($C$8&gt;=A596,$E$1&amp;" "&amp;A596,"")</f>
        <v/>
      </c>
      <c r="J596" s="8"/>
      <c r="M596" s="1"/>
      <c r="N596" s="1"/>
      <c r="O596" s="1"/>
      <c r="P596" s="9"/>
      <c r="Q596" s="9"/>
      <c r="R596" s="8"/>
      <c r="S596" s="8"/>
      <c r="T596" s="1"/>
    </row>
    <row r="597" spans="1:20" x14ac:dyDescent="0.2">
      <c r="A597" s="14">
        <f t="shared" si="9"/>
        <v>585</v>
      </c>
      <c r="E597" s="12" t="str">
        <f>IF($C$8&gt;=A597,$E$1&amp;" "&amp;A597,"")</f>
        <v/>
      </c>
      <c r="J597" s="8"/>
      <c r="M597" s="1"/>
      <c r="N597" s="1"/>
      <c r="O597" s="1"/>
      <c r="P597" s="9"/>
      <c r="Q597" s="9"/>
      <c r="R597" s="8"/>
      <c r="S597" s="8"/>
      <c r="T597" s="1"/>
    </row>
    <row r="598" spans="1:20" x14ac:dyDescent="0.2">
      <c r="A598" s="14">
        <f t="shared" si="9"/>
        <v>586</v>
      </c>
      <c r="E598" s="12" t="str">
        <f>IF($C$8&gt;=A598,$E$1&amp;" "&amp;A598,"")</f>
        <v/>
      </c>
      <c r="J598" s="8"/>
      <c r="M598" s="1"/>
      <c r="N598" s="1"/>
      <c r="O598" s="1"/>
      <c r="P598" s="9"/>
      <c r="Q598" s="9"/>
      <c r="R598" s="8"/>
      <c r="S598" s="8"/>
      <c r="T598" s="1"/>
    </row>
    <row r="599" spans="1:20" x14ac:dyDescent="0.2">
      <c r="A599" s="14">
        <f t="shared" si="9"/>
        <v>587</v>
      </c>
      <c r="E599" s="12" t="str">
        <f>IF($C$8&gt;=A599,$E$1&amp;" "&amp;A599,"")</f>
        <v/>
      </c>
      <c r="J599" s="8"/>
      <c r="M599" s="1"/>
      <c r="N599" s="1"/>
      <c r="O599" s="1"/>
      <c r="P599" s="9"/>
      <c r="Q599" s="9"/>
      <c r="R599" s="8"/>
      <c r="S599" s="8"/>
      <c r="T599" s="1"/>
    </row>
    <row r="600" spans="1:20" x14ac:dyDescent="0.2">
      <c r="A600" s="14">
        <f t="shared" si="9"/>
        <v>588</v>
      </c>
      <c r="E600" s="12" t="str">
        <f>IF($C$8&gt;=A600,$E$1&amp;" "&amp;A600,"")</f>
        <v/>
      </c>
      <c r="J600" s="8"/>
      <c r="M600" s="1"/>
      <c r="N600" s="1"/>
      <c r="O600" s="1"/>
      <c r="P600" s="9"/>
      <c r="Q600" s="9"/>
      <c r="R600" s="8"/>
      <c r="S600" s="8"/>
      <c r="T600" s="1"/>
    </row>
    <row r="601" spans="1:20" x14ac:dyDescent="0.2">
      <c r="A601" s="14">
        <f t="shared" si="9"/>
        <v>589</v>
      </c>
      <c r="E601" s="12" t="str">
        <f>IF($C$8&gt;=A601,$E$1&amp;" "&amp;A601,"")</f>
        <v/>
      </c>
      <c r="J601" s="8"/>
      <c r="M601" s="1"/>
      <c r="N601" s="1"/>
      <c r="O601" s="1"/>
      <c r="P601" s="9"/>
      <c r="Q601" s="9"/>
      <c r="R601" s="8"/>
      <c r="S601" s="8"/>
      <c r="T601" s="1"/>
    </row>
    <row r="602" spans="1:20" x14ac:dyDescent="0.2">
      <c r="A602" s="14">
        <f t="shared" si="9"/>
        <v>590</v>
      </c>
      <c r="E602" s="12" t="str">
        <f>IF($C$8&gt;=A602,$E$1&amp;" "&amp;A602,"")</f>
        <v/>
      </c>
      <c r="J602" s="8"/>
      <c r="M602" s="1"/>
      <c r="N602" s="1"/>
      <c r="O602" s="1"/>
      <c r="P602" s="9"/>
      <c r="Q602" s="9"/>
      <c r="R602" s="8"/>
      <c r="S602" s="8"/>
      <c r="T602" s="1"/>
    </row>
    <row r="603" spans="1:20" x14ac:dyDescent="0.2">
      <c r="A603" s="14">
        <f t="shared" si="9"/>
        <v>591</v>
      </c>
      <c r="E603" s="12" t="str">
        <f>IF($C$8&gt;=A603,$E$1&amp;" "&amp;A603,"")</f>
        <v/>
      </c>
      <c r="J603" s="8"/>
      <c r="M603" s="1"/>
      <c r="N603" s="1"/>
      <c r="O603" s="1"/>
      <c r="P603" s="9"/>
      <c r="Q603" s="9"/>
      <c r="R603" s="8"/>
      <c r="S603" s="8"/>
      <c r="T603" s="1"/>
    </row>
    <row r="604" spans="1:20" x14ac:dyDescent="0.2">
      <c r="A604" s="14">
        <f t="shared" si="9"/>
        <v>592</v>
      </c>
      <c r="E604" s="12" t="str">
        <f>IF($C$8&gt;=A604,$E$1&amp;" "&amp;A604,"")</f>
        <v/>
      </c>
      <c r="J604" s="8"/>
      <c r="M604" s="1"/>
      <c r="N604" s="1"/>
      <c r="O604" s="1"/>
      <c r="P604" s="9"/>
      <c r="Q604" s="9"/>
      <c r="R604" s="8"/>
      <c r="S604" s="8"/>
      <c r="T604" s="1"/>
    </row>
    <row r="605" spans="1:20" x14ac:dyDescent="0.2">
      <c r="A605" s="14">
        <f t="shared" si="9"/>
        <v>593</v>
      </c>
      <c r="E605" s="12" t="str">
        <f>IF($C$8&gt;=A605,$E$1&amp;" "&amp;A605,"")</f>
        <v/>
      </c>
      <c r="J605" s="8"/>
      <c r="M605" s="1"/>
      <c r="N605" s="1"/>
      <c r="O605" s="1"/>
      <c r="P605" s="9"/>
      <c r="Q605" s="9"/>
      <c r="R605" s="8"/>
      <c r="S605" s="8"/>
      <c r="T605" s="1"/>
    </row>
    <row r="606" spans="1:20" x14ac:dyDescent="0.2">
      <c r="A606" s="14">
        <f t="shared" si="9"/>
        <v>594</v>
      </c>
      <c r="E606" s="12" t="str">
        <f>IF($C$8&gt;=A606,$E$1&amp;" "&amp;A606,"")</f>
        <v/>
      </c>
      <c r="J606" s="8"/>
      <c r="M606" s="1"/>
      <c r="N606" s="1"/>
      <c r="O606" s="1"/>
      <c r="P606" s="9"/>
      <c r="Q606" s="9"/>
      <c r="R606" s="8"/>
      <c r="S606" s="8"/>
      <c r="T606" s="1"/>
    </row>
    <row r="607" spans="1:20" x14ac:dyDescent="0.2">
      <c r="A607" s="14">
        <f t="shared" si="9"/>
        <v>595</v>
      </c>
      <c r="E607" s="12" t="str">
        <f>IF($C$8&gt;=A607,$E$1&amp;" "&amp;A607,"")</f>
        <v/>
      </c>
      <c r="J607" s="8"/>
      <c r="M607" s="1"/>
      <c r="N607" s="1"/>
      <c r="O607" s="1"/>
      <c r="P607" s="9"/>
      <c r="Q607" s="9"/>
      <c r="R607" s="8"/>
      <c r="S607" s="8"/>
      <c r="T607" s="1"/>
    </row>
    <row r="608" spans="1:20" x14ac:dyDescent="0.2">
      <c r="A608" s="14">
        <f t="shared" si="9"/>
        <v>596</v>
      </c>
      <c r="E608" s="12" t="str">
        <f>IF($C$8&gt;=A608,$E$1&amp;" "&amp;A608,"")</f>
        <v/>
      </c>
      <c r="J608" s="8"/>
      <c r="M608" s="1"/>
      <c r="N608" s="1"/>
      <c r="O608" s="1"/>
      <c r="P608" s="9"/>
      <c r="Q608" s="9"/>
      <c r="R608" s="8"/>
      <c r="S608" s="8"/>
      <c r="T608" s="1"/>
    </row>
    <row r="609" spans="1:20" x14ac:dyDescent="0.2">
      <c r="A609" s="14">
        <f t="shared" si="9"/>
        <v>597</v>
      </c>
      <c r="E609" s="12" t="str">
        <f>IF($C$8&gt;=A609,$E$1&amp;" "&amp;A609,"")</f>
        <v/>
      </c>
      <c r="J609" s="8"/>
      <c r="M609" s="1"/>
      <c r="N609" s="1"/>
      <c r="O609" s="1"/>
      <c r="P609" s="9"/>
      <c r="Q609" s="9"/>
      <c r="R609" s="8"/>
      <c r="S609" s="8"/>
      <c r="T609" s="1"/>
    </row>
    <row r="610" spans="1:20" x14ac:dyDescent="0.2">
      <c r="A610" s="14">
        <f t="shared" si="9"/>
        <v>598</v>
      </c>
      <c r="E610" s="12" t="str">
        <f>IF($C$8&gt;=A610,$E$1&amp;" "&amp;A610,"")</f>
        <v/>
      </c>
      <c r="J610" s="8"/>
      <c r="M610" s="1"/>
      <c r="N610" s="1"/>
      <c r="O610" s="1"/>
      <c r="P610" s="9"/>
      <c r="Q610" s="9"/>
      <c r="R610" s="8"/>
      <c r="S610" s="8"/>
      <c r="T610" s="1"/>
    </row>
    <row r="611" spans="1:20" x14ac:dyDescent="0.2">
      <c r="A611" s="14">
        <f t="shared" si="9"/>
        <v>599</v>
      </c>
      <c r="E611" s="12" t="str">
        <f>IF($C$8&gt;=A611,$E$1&amp;" "&amp;A611,"")</f>
        <v/>
      </c>
      <c r="J611" s="8"/>
      <c r="M611" s="1"/>
      <c r="N611" s="1"/>
      <c r="O611" s="1"/>
      <c r="P611" s="9"/>
      <c r="Q611" s="9"/>
      <c r="R611" s="8"/>
      <c r="S611" s="8"/>
      <c r="T611" s="1"/>
    </row>
    <row r="612" spans="1:20" x14ac:dyDescent="0.2">
      <c r="A612" s="14">
        <f t="shared" si="9"/>
        <v>600</v>
      </c>
      <c r="E612" s="12" t="str">
        <f>IF($C$8&gt;=A612,$E$1&amp;" "&amp;A612,"")</f>
        <v/>
      </c>
      <c r="J612" s="8"/>
      <c r="M612" s="1"/>
      <c r="N612" s="1"/>
      <c r="O612" s="1"/>
      <c r="P612" s="9"/>
      <c r="Q612" s="9"/>
      <c r="R612" s="8"/>
      <c r="S612" s="8"/>
      <c r="T612" s="1"/>
    </row>
    <row r="613" spans="1:20" x14ac:dyDescent="0.2">
      <c r="A613" s="14">
        <f t="shared" si="9"/>
        <v>601</v>
      </c>
      <c r="E613" s="12" t="str">
        <f>IF($C$8&gt;=A613,$E$1&amp;" "&amp;A613,"")</f>
        <v/>
      </c>
      <c r="J613" s="8"/>
      <c r="M613" s="1"/>
      <c r="N613" s="1"/>
      <c r="O613" s="1"/>
      <c r="P613" s="9"/>
      <c r="Q613" s="9"/>
      <c r="R613" s="8"/>
      <c r="S613" s="8"/>
      <c r="T613" s="1"/>
    </row>
    <row r="614" spans="1:20" x14ac:dyDescent="0.2">
      <c r="A614" s="14">
        <f t="shared" si="9"/>
        <v>602</v>
      </c>
      <c r="E614" s="12" t="str">
        <f>IF($C$8&gt;=A614,$E$1&amp;" "&amp;A614,"")</f>
        <v/>
      </c>
      <c r="J614" s="8"/>
      <c r="M614" s="1"/>
      <c r="N614" s="1"/>
      <c r="O614" s="1"/>
      <c r="P614" s="9"/>
      <c r="Q614" s="9"/>
      <c r="R614" s="8"/>
      <c r="S614" s="8"/>
      <c r="T614" s="1"/>
    </row>
    <row r="615" spans="1:20" x14ac:dyDescent="0.2">
      <c r="A615" s="14">
        <f t="shared" si="9"/>
        <v>603</v>
      </c>
      <c r="E615" s="12" t="str">
        <f>IF($C$8&gt;=A615,$E$1&amp;" "&amp;A615,"")</f>
        <v/>
      </c>
      <c r="J615" s="8"/>
      <c r="M615" s="1"/>
      <c r="N615" s="1"/>
      <c r="O615" s="1"/>
      <c r="P615" s="9"/>
      <c r="Q615" s="9"/>
      <c r="R615" s="8"/>
      <c r="S615" s="8"/>
      <c r="T615" s="1"/>
    </row>
    <row r="616" spans="1:20" x14ac:dyDescent="0.2">
      <c r="A616" s="14">
        <f t="shared" si="9"/>
        <v>604</v>
      </c>
      <c r="E616" s="12" t="str">
        <f>IF($C$8&gt;=A616,$E$1&amp;" "&amp;A616,"")</f>
        <v/>
      </c>
      <c r="J616" s="8"/>
      <c r="M616" s="1"/>
      <c r="N616" s="1"/>
      <c r="O616" s="1"/>
      <c r="P616" s="9"/>
      <c r="Q616" s="9"/>
      <c r="R616" s="8"/>
      <c r="S616" s="8"/>
      <c r="T616" s="1"/>
    </row>
    <row r="617" spans="1:20" x14ac:dyDescent="0.2">
      <c r="A617" s="14">
        <f t="shared" si="9"/>
        <v>605</v>
      </c>
      <c r="E617" s="12" t="str">
        <f>IF($C$8&gt;=A617,$E$1&amp;" "&amp;A617,"")</f>
        <v/>
      </c>
      <c r="J617" s="8"/>
      <c r="M617" s="1"/>
      <c r="N617" s="1"/>
      <c r="O617" s="1"/>
      <c r="P617" s="9"/>
      <c r="Q617" s="9"/>
      <c r="R617" s="8"/>
      <c r="S617" s="8"/>
      <c r="T617" s="1"/>
    </row>
    <row r="618" spans="1:20" x14ac:dyDescent="0.2">
      <c r="A618" s="14">
        <f t="shared" si="9"/>
        <v>606</v>
      </c>
      <c r="E618" s="12" t="str">
        <f>IF($C$8&gt;=A618,$E$1&amp;" "&amp;A618,"")</f>
        <v/>
      </c>
      <c r="J618" s="8"/>
      <c r="M618" s="1"/>
      <c r="N618" s="1"/>
      <c r="O618" s="1"/>
      <c r="P618" s="9"/>
      <c r="Q618" s="9"/>
      <c r="R618" s="8"/>
      <c r="S618" s="8"/>
      <c r="T618" s="1"/>
    </row>
    <row r="619" spans="1:20" x14ac:dyDescent="0.2">
      <c r="A619" s="14">
        <f t="shared" si="9"/>
        <v>607</v>
      </c>
      <c r="E619" s="12" t="str">
        <f>IF($C$8&gt;=A619,$E$1&amp;" "&amp;A619,"")</f>
        <v/>
      </c>
      <c r="J619" s="8"/>
      <c r="M619" s="1"/>
      <c r="N619" s="1"/>
      <c r="O619" s="1"/>
      <c r="P619" s="9"/>
      <c r="Q619" s="9"/>
      <c r="R619" s="8"/>
      <c r="S619" s="8"/>
      <c r="T619" s="1"/>
    </row>
    <row r="620" spans="1:20" x14ac:dyDescent="0.2">
      <c r="A620" s="14">
        <f t="shared" si="9"/>
        <v>608</v>
      </c>
      <c r="E620" s="12" t="str">
        <f>IF($C$8&gt;=A620,$E$1&amp;" "&amp;A620,"")</f>
        <v/>
      </c>
      <c r="J620" s="8"/>
      <c r="M620" s="1"/>
      <c r="N620" s="1"/>
      <c r="O620" s="1"/>
      <c r="P620" s="9"/>
      <c r="Q620" s="9"/>
      <c r="R620" s="8"/>
      <c r="S620" s="8"/>
      <c r="T620" s="1"/>
    </row>
    <row r="621" spans="1:20" x14ac:dyDescent="0.2">
      <c r="A621" s="14">
        <f t="shared" si="9"/>
        <v>609</v>
      </c>
      <c r="E621" s="12" t="str">
        <f>IF($C$8&gt;=A621,$E$1&amp;" "&amp;A621,"")</f>
        <v/>
      </c>
      <c r="J621" s="8"/>
      <c r="M621" s="1"/>
      <c r="N621" s="1"/>
      <c r="O621" s="1"/>
      <c r="P621" s="9"/>
      <c r="Q621" s="9"/>
      <c r="R621" s="8"/>
      <c r="S621" s="8"/>
      <c r="T621" s="1"/>
    </row>
    <row r="622" spans="1:20" x14ac:dyDescent="0.2">
      <c r="A622" s="14">
        <f t="shared" si="9"/>
        <v>610</v>
      </c>
      <c r="E622" s="12" t="str">
        <f>IF($C$8&gt;=A622,$E$1&amp;" "&amp;A622,"")</f>
        <v/>
      </c>
      <c r="J622" s="8"/>
      <c r="M622" s="1"/>
      <c r="N622" s="1"/>
      <c r="O622" s="1"/>
      <c r="P622" s="9"/>
      <c r="Q622" s="9"/>
      <c r="R622" s="8"/>
      <c r="S622" s="8"/>
      <c r="T622" s="1"/>
    </row>
    <row r="623" spans="1:20" x14ac:dyDescent="0.2">
      <c r="A623" s="14">
        <f t="shared" si="9"/>
        <v>611</v>
      </c>
      <c r="E623" s="12" t="str">
        <f>IF($C$8&gt;=A623,$E$1&amp;" "&amp;A623,"")</f>
        <v/>
      </c>
      <c r="J623" s="8"/>
      <c r="M623" s="1"/>
      <c r="N623" s="1"/>
      <c r="O623" s="1"/>
      <c r="P623" s="9"/>
      <c r="Q623" s="9"/>
      <c r="R623" s="8"/>
      <c r="S623" s="8"/>
      <c r="T623" s="1"/>
    </row>
    <row r="624" spans="1:20" x14ac:dyDescent="0.2">
      <c r="A624" s="14">
        <f t="shared" si="9"/>
        <v>612</v>
      </c>
      <c r="E624" s="12" t="str">
        <f>IF($C$8&gt;=A624,$E$1&amp;" "&amp;A624,"")</f>
        <v/>
      </c>
      <c r="J624" s="8"/>
      <c r="M624" s="1"/>
      <c r="N624" s="1"/>
      <c r="O624" s="1"/>
      <c r="P624" s="9"/>
      <c r="Q624" s="9"/>
      <c r="R624" s="8"/>
      <c r="S624" s="8"/>
      <c r="T624" s="1"/>
    </row>
    <row r="625" spans="1:20" x14ac:dyDescent="0.2">
      <c r="A625" s="14">
        <f t="shared" si="9"/>
        <v>613</v>
      </c>
      <c r="E625" s="12" t="str">
        <f>IF($C$8&gt;=A625,$E$1&amp;" "&amp;A625,"")</f>
        <v/>
      </c>
      <c r="J625" s="8"/>
      <c r="M625" s="1"/>
      <c r="N625" s="1"/>
      <c r="O625" s="1"/>
      <c r="P625" s="9"/>
      <c r="Q625" s="9"/>
      <c r="R625" s="8"/>
      <c r="S625" s="8"/>
      <c r="T625" s="1"/>
    </row>
    <row r="626" spans="1:20" x14ac:dyDescent="0.2">
      <c r="A626" s="14">
        <f t="shared" si="9"/>
        <v>614</v>
      </c>
      <c r="E626" s="12" t="str">
        <f>IF($C$8&gt;=A626,$E$1&amp;" "&amp;A626,"")</f>
        <v/>
      </c>
      <c r="J626" s="8"/>
      <c r="M626" s="1"/>
      <c r="N626" s="1"/>
      <c r="O626" s="1"/>
      <c r="P626" s="9"/>
      <c r="Q626" s="9"/>
      <c r="R626" s="8"/>
      <c r="S626" s="8"/>
      <c r="T626" s="1"/>
    </row>
    <row r="627" spans="1:20" x14ac:dyDescent="0.2">
      <c r="A627" s="14">
        <f t="shared" si="9"/>
        <v>615</v>
      </c>
      <c r="E627" s="12" t="str">
        <f>IF($C$8&gt;=A627,$E$1&amp;" "&amp;A627,"")</f>
        <v/>
      </c>
      <c r="J627" s="8"/>
      <c r="M627" s="1"/>
      <c r="N627" s="1"/>
      <c r="O627" s="1"/>
      <c r="P627" s="9"/>
      <c r="Q627" s="9"/>
      <c r="R627" s="8"/>
      <c r="S627" s="8"/>
      <c r="T627" s="1"/>
    </row>
    <row r="628" spans="1:20" x14ac:dyDescent="0.2">
      <c r="A628" s="14">
        <f t="shared" si="9"/>
        <v>616</v>
      </c>
      <c r="E628" s="12" t="str">
        <f>IF($C$8&gt;=A628,$E$1&amp;" "&amp;A628,"")</f>
        <v/>
      </c>
      <c r="J628" s="8"/>
      <c r="M628" s="1"/>
      <c r="N628" s="1"/>
      <c r="O628" s="1"/>
      <c r="P628" s="9"/>
      <c r="Q628" s="9"/>
      <c r="R628" s="8"/>
      <c r="S628" s="8"/>
      <c r="T628" s="1"/>
    </row>
    <row r="629" spans="1:20" x14ac:dyDescent="0.2">
      <c r="A629" s="14">
        <f t="shared" si="9"/>
        <v>617</v>
      </c>
      <c r="E629" s="12" t="str">
        <f>IF($C$8&gt;=A629,$E$1&amp;" "&amp;A629,"")</f>
        <v/>
      </c>
      <c r="J629" s="8"/>
      <c r="M629" s="1"/>
      <c r="N629" s="1"/>
      <c r="O629" s="1"/>
      <c r="P629" s="9"/>
      <c r="Q629" s="9"/>
      <c r="R629" s="8"/>
      <c r="S629" s="8"/>
      <c r="T629" s="1"/>
    </row>
    <row r="630" spans="1:20" x14ac:dyDescent="0.2">
      <c r="A630" s="14">
        <f t="shared" si="9"/>
        <v>618</v>
      </c>
      <c r="E630" s="12" t="str">
        <f>IF($C$8&gt;=A630,$E$1&amp;" "&amp;A630,"")</f>
        <v/>
      </c>
      <c r="J630" s="8"/>
      <c r="M630" s="1"/>
      <c r="N630" s="1"/>
      <c r="O630" s="1"/>
      <c r="P630" s="9"/>
      <c r="Q630" s="9"/>
      <c r="R630" s="8"/>
      <c r="S630" s="8"/>
      <c r="T630" s="1"/>
    </row>
    <row r="631" spans="1:20" x14ac:dyDescent="0.2">
      <c r="A631" s="14">
        <f t="shared" si="9"/>
        <v>619</v>
      </c>
      <c r="E631" s="12" t="str">
        <f>IF($C$8&gt;=A631,$E$1&amp;" "&amp;A631,"")</f>
        <v/>
      </c>
      <c r="J631" s="8"/>
      <c r="M631" s="1"/>
      <c r="N631" s="1"/>
      <c r="O631" s="1"/>
      <c r="P631" s="9"/>
      <c r="Q631" s="9"/>
      <c r="R631" s="8"/>
      <c r="S631" s="8"/>
      <c r="T631" s="1"/>
    </row>
    <row r="632" spans="1:20" x14ac:dyDescent="0.2">
      <c r="A632" s="14">
        <f t="shared" si="9"/>
        <v>620</v>
      </c>
      <c r="E632" s="12" t="str">
        <f>IF($C$8&gt;=A632,$E$1&amp;" "&amp;A632,"")</f>
        <v/>
      </c>
      <c r="J632" s="8"/>
      <c r="M632" s="1"/>
      <c r="N632" s="1"/>
      <c r="O632" s="1"/>
      <c r="P632" s="9"/>
      <c r="Q632" s="9"/>
      <c r="R632" s="8"/>
      <c r="S632" s="8"/>
      <c r="T632" s="1"/>
    </row>
    <row r="633" spans="1:20" x14ac:dyDescent="0.2">
      <c r="A633" s="14">
        <f t="shared" si="9"/>
        <v>621</v>
      </c>
      <c r="E633" s="12" t="str">
        <f>IF($C$8&gt;=A633,$E$1&amp;" "&amp;A633,"")</f>
        <v/>
      </c>
      <c r="J633" s="8"/>
      <c r="M633" s="1"/>
      <c r="N633" s="1"/>
      <c r="O633" s="1"/>
      <c r="P633" s="9"/>
      <c r="Q633" s="9"/>
      <c r="R633" s="8"/>
      <c r="S633" s="8"/>
      <c r="T633" s="1"/>
    </row>
    <row r="634" spans="1:20" x14ac:dyDescent="0.2">
      <c r="A634" s="14">
        <f t="shared" si="9"/>
        <v>622</v>
      </c>
      <c r="E634" s="12" t="str">
        <f>IF($C$8&gt;=A634,$E$1&amp;" "&amp;A634,"")</f>
        <v/>
      </c>
      <c r="J634" s="8"/>
      <c r="M634" s="1"/>
      <c r="N634" s="1"/>
      <c r="O634" s="1"/>
      <c r="P634" s="9"/>
      <c r="Q634" s="9"/>
      <c r="R634" s="8"/>
      <c r="S634" s="8"/>
      <c r="T634" s="1"/>
    </row>
    <row r="635" spans="1:20" x14ac:dyDescent="0.2">
      <c r="A635" s="14">
        <f t="shared" si="9"/>
        <v>623</v>
      </c>
      <c r="E635" s="12" t="str">
        <f>IF($C$8&gt;=A635,$E$1&amp;" "&amp;A635,"")</f>
        <v/>
      </c>
      <c r="J635" s="8"/>
      <c r="M635" s="1"/>
      <c r="N635" s="1"/>
      <c r="O635" s="1"/>
      <c r="P635" s="9"/>
      <c r="Q635" s="9"/>
      <c r="R635" s="8"/>
      <c r="S635" s="8"/>
      <c r="T635" s="1"/>
    </row>
    <row r="636" spans="1:20" x14ac:dyDescent="0.2">
      <c r="A636" s="14">
        <f t="shared" si="9"/>
        <v>624</v>
      </c>
      <c r="E636" s="12" t="str">
        <f>IF($C$8&gt;=A636,$E$1&amp;" "&amp;A636,"")</f>
        <v/>
      </c>
      <c r="J636" s="8"/>
      <c r="M636" s="1"/>
      <c r="N636" s="1"/>
      <c r="O636" s="1"/>
      <c r="P636" s="9"/>
      <c r="Q636" s="9"/>
      <c r="R636" s="8"/>
      <c r="S636" s="8"/>
      <c r="T636" s="1"/>
    </row>
    <row r="637" spans="1:20" x14ac:dyDescent="0.2">
      <c r="A637" s="14">
        <f t="shared" si="9"/>
        <v>625</v>
      </c>
      <c r="E637" s="12" t="str">
        <f>IF($C$8&gt;=A637,$E$1&amp;" "&amp;A637,"")</f>
        <v/>
      </c>
      <c r="J637" s="8"/>
      <c r="M637" s="1"/>
      <c r="N637" s="1"/>
      <c r="O637" s="1"/>
      <c r="P637" s="9"/>
      <c r="Q637" s="9"/>
      <c r="R637" s="8"/>
      <c r="S637" s="8"/>
      <c r="T637" s="1"/>
    </row>
    <row r="638" spans="1:20" x14ac:dyDescent="0.2">
      <c r="A638" s="14">
        <f t="shared" si="9"/>
        <v>626</v>
      </c>
      <c r="E638" s="12" t="str">
        <f>IF($C$8&gt;=A638,$E$1&amp;" "&amp;A638,"")</f>
        <v/>
      </c>
      <c r="J638" s="8"/>
      <c r="M638" s="1"/>
      <c r="N638" s="1"/>
      <c r="O638" s="1"/>
      <c r="P638" s="9"/>
      <c r="Q638" s="9"/>
      <c r="R638" s="8"/>
      <c r="S638" s="8"/>
      <c r="T638" s="1"/>
    </row>
    <row r="639" spans="1:20" x14ac:dyDescent="0.2">
      <c r="A639" s="14">
        <f t="shared" si="9"/>
        <v>627</v>
      </c>
      <c r="E639" s="12" t="str">
        <f>IF($C$8&gt;=A639,$E$1&amp;" "&amp;A639,"")</f>
        <v/>
      </c>
      <c r="J639" s="8"/>
      <c r="M639" s="1"/>
      <c r="N639" s="1"/>
      <c r="O639" s="1"/>
      <c r="P639" s="9"/>
      <c r="Q639" s="9"/>
      <c r="R639" s="8"/>
      <c r="S639" s="8"/>
      <c r="T639" s="1"/>
    </row>
    <row r="640" spans="1:20" x14ac:dyDescent="0.2">
      <c r="A640" s="14">
        <f t="shared" si="9"/>
        <v>628</v>
      </c>
      <c r="E640" s="12" t="str">
        <f>IF($C$8&gt;=A640,$E$1&amp;" "&amp;A640,"")</f>
        <v/>
      </c>
      <c r="J640" s="8"/>
      <c r="M640" s="1"/>
      <c r="N640" s="1"/>
      <c r="O640" s="1"/>
      <c r="P640" s="9"/>
      <c r="Q640" s="9"/>
      <c r="R640" s="8"/>
      <c r="S640" s="8"/>
      <c r="T640" s="1"/>
    </row>
    <row r="641" spans="1:20" x14ac:dyDescent="0.2">
      <c r="A641" s="14">
        <f t="shared" si="9"/>
        <v>629</v>
      </c>
      <c r="E641" s="12" t="str">
        <f>IF($C$8&gt;=A641,$E$1&amp;" "&amp;A641,"")</f>
        <v/>
      </c>
      <c r="J641" s="8"/>
      <c r="M641" s="1"/>
      <c r="N641" s="1"/>
      <c r="O641" s="1"/>
      <c r="P641" s="9"/>
      <c r="Q641" s="9"/>
      <c r="R641" s="8"/>
      <c r="S641" s="8"/>
      <c r="T641" s="1"/>
    </row>
    <row r="642" spans="1:20" x14ac:dyDescent="0.2">
      <c r="A642" s="14">
        <f t="shared" si="9"/>
        <v>630</v>
      </c>
      <c r="E642" s="12" t="str">
        <f>IF($C$8&gt;=A642,$E$1&amp;" "&amp;A642,"")</f>
        <v/>
      </c>
      <c r="J642" s="8"/>
      <c r="M642" s="1"/>
      <c r="N642" s="1"/>
      <c r="O642" s="1"/>
      <c r="P642" s="9"/>
      <c r="Q642" s="9"/>
      <c r="R642" s="8"/>
      <c r="S642" s="8"/>
      <c r="T642" s="1"/>
    </row>
    <row r="643" spans="1:20" x14ac:dyDescent="0.2">
      <c r="A643" s="14">
        <f t="shared" si="9"/>
        <v>631</v>
      </c>
      <c r="E643" s="12" t="str">
        <f>IF($C$8&gt;=A643,$E$1&amp;" "&amp;A643,"")</f>
        <v/>
      </c>
      <c r="J643" s="8"/>
      <c r="M643" s="1"/>
      <c r="N643" s="1"/>
      <c r="O643" s="1"/>
      <c r="P643" s="9"/>
      <c r="Q643" s="9"/>
      <c r="R643" s="8"/>
      <c r="S643" s="8"/>
      <c r="T643" s="1"/>
    </row>
    <row r="644" spans="1:20" x14ac:dyDescent="0.2">
      <c r="A644" s="14">
        <f t="shared" si="9"/>
        <v>632</v>
      </c>
      <c r="E644" s="12" t="str">
        <f>IF($C$8&gt;=A644,$E$1&amp;" "&amp;A644,"")</f>
        <v/>
      </c>
      <c r="J644" s="8"/>
      <c r="M644" s="1"/>
      <c r="N644" s="1"/>
      <c r="O644" s="1"/>
      <c r="P644" s="9"/>
      <c r="Q644" s="9"/>
      <c r="R644" s="8"/>
      <c r="S644" s="8"/>
      <c r="T644" s="1"/>
    </row>
    <row r="645" spans="1:20" x14ac:dyDescent="0.2">
      <c r="A645" s="14">
        <f t="shared" si="9"/>
        <v>633</v>
      </c>
      <c r="E645" s="12" t="str">
        <f>IF($C$8&gt;=A645,$E$1&amp;" "&amp;A645,"")</f>
        <v/>
      </c>
      <c r="J645" s="8"/>
      <c r="M645" s="1"/>
      <c r="N645" s="1"/>
      <c r="O645" s="1"/>
      <c r="P645" s="9"/>
      <c r="Q645" s="9"/>
      <c r="R645" s="8"/>
      <c r="S645" s="8"/>
      <c r="T645" s="1"/>
    </row>
    <row r="646" spans="1:20" x14ac:dyDescent="0.2">
      <c r="A646" s="14">
        <f t="shared" si="9"/>
        <v>634</v>
      </c>
      <c r="E646" s="12" t="str">
        <f>IF($C$8&gt;=A646,$E$1&amp;" "&amp;A646,"")</f>
        <v/>
      </c>
      <c r="J646" s="8"/>
      <c r="M646" s="1"/>
      <c r="N646" s="1"/>
      <c r="O646" s="1"/>
      <c r="P646" s="9"/>
      <c r="Q646" s="9"/>
      <c r="R646" s="8"/>
      <c r="S646" s="8"/>
      <c r="T646" s="1"/>
    </row>
    <row r="647" spans="1:20" x14ac:dyDescent="0.2">
      <c r="A647" s="14">
        <f t="shared" si="9"/>
        <v>635</v>
      </c>
      <c r="E647" s="12" t="str">
        <f>IF($C$8&gt;=A647,$E$1&amp;" "&amp;A647,"")</f>
        <v/>
      </c>
      <c r="J647" s="8"/>
      <c r="M647" s="1"/>
      <c r="N647" s="1"/>
      <c r="O647" s="1"/>
      <c r="P647" s="9"/>
      <c r="Q647" s="9"/>
      <c r="R647" s="8"/>
      <c r="S647" s="8"/>
      <c r="T647" s="1"/>
    </row>
    <row r="648" spans="1:20" x14ac:dyDescent="0.2">
      <c r="A648" s="14">
        <f t="shared" si="9"/>
        <v>636</v>
      </c>
      <c r="E648" s="12" t="str">
        <f>IF($C$8&gt;=A648,$E$1&amp;" "&amp;A648,"")</f>
        <v/>
      </c>
      <c r="J648" s="8"/>
      <c r="M648" s="1"/>
      <c r="N648" s="1"/>
      <c r="O648" s="1"/>
      <c r="P648" s="9"/>
      <c r="Q648" s="9"/>
      <c r="R648" s="8"/>
      <c r="S648" s="8"/>
      <c r="T648" s="1"/>
    </row>
    <row r="649" spans="1:20" x14ac:dyDescent="0.2">
      <c r="A649" s="14">
        <f t="shared" si="9"/>
        <v>637</v>
      </c>
      <c r="E649" s="12" t="str">
        <f>IF($C$8&gt;=A649,$E$1&amp;" "&amp;A649,"")</f>
        <v/>
      </c>
      <c r="J649" s="8"/>
      <c r="M649" s="1"/>
      <c r="N649" s="1"/>
      <c r="O649" s="1"/>
      <c r="P649" s="9"/>
      <c r="Q649" s="9"/>
      <c r="R649" s="8"/>
      <c r="S649" s="8"/>
      <c r="T649" s="1"/>
    </row>
    <row r="650" spans="1:20" x14ac:dyDescent="0.2">
      <c r="A650" s="14">
        <f t="shared" si="9"/>
        <v>638</v>
      </c>
      <c r="E650" s="12" t="str">
        <f>IF($C$8&gt;=A650,$E$1&amp;" "&amp;A650,"")</f>
        <v/>
      </c>
      <c r="J650" s="8"/>
      <c r="M650" s="1"/>
      <c r="N650" s="1"/>
      <c r="O650" s="1"/>
      <c r="P650" s="9"/>
      <c r="Q650" s="9"/>
      <c r="R650" s="8"/>
      <c r="S650" s="8"/>
      <c r="T650" s="1"/>
    </row>
    <row r="651" spans="1:20" x14ac:dyDescent="0.2">
      <c r="A651" s="14">
        <f t="shared" si="9"/>
        <v>639</v>
      </c>
      <c r="E651" s="12" t="str">
        <f>IF($C$8&gt;=A651,$E$1&amp;" "&amp;A651,"")</f>
        <v/>
      </c>
      <c r="J651" s="8"/>
      <c r="M651" s="1"/>
      <c r="N651" s="1"/>
      <c r="O651" s="1"/>
      <c r="P651" s="9"/>
      <c r="Q651" s="9"/>
      <c r="R651" s="8"/>
      <c r="S651" s="8"/>
      <c r="T651" s="1"/>
    </row>
    <row r="652" spans="1:20" x14ac:dyDescent="0.2">
      <c r="A652" s="14">
        <f t="shared" si="9"/>
        <v>640</v>
      </c>
      <c r="E652" s="12" t="str">
        <f>IF($C$8&gt;=A652,$E$1&amp;" "&amp;A652,"")</f>
        <v/>
      </c>
      <c r="J652" s="8"/>
      <c r="M652" s="1"/>
      <c r="N652" s="1"/>
      <c r="O652" s="1"/>
      <c r="P652" s="9"/>
      <c r="Q652" s="9"/>
      <c r="R652" s="8"/>
      <c r="S652" s="8"/>
      <c r="T652" s="1"/>
    </row>
    <row r="653" spans="1:20" x14ac:dyDescent="0.2">
      <c r="A653" s="14">
        <f t="shared" si="9"/>
        <v>641</v>
      </c>
      <c r="E653" s="12" t="str">
        <f>IF($C$8&gt;=A653,$E$1&amp;" "&amp;A653,"")</f>
        <v/>
      </c>
      <c r="J653" s="8"/>
      <c r="M653" s="1"/>
      <c r="N653" s="1"/>
      <c r="O653" s="1"/>
      <c r="P653" s="9"/>
      <c r="Q653" s="9"/>
      <c r="R653" s="8"/>
      <c r="S653" s="8"/>
      <c r="T653" s="1"/>
    </row>
    <row r="654" spans="1:20" x14ac:dyDescent="0.2">
      <c r="A654" s="14">
        <f t="shared" si="9"/>
        <v>642</v>
      </c>
      <c r="E654" s="12" t="str">
        <f>IF($C$8&gt;=A654,$E$1&amp;" "&amp;A654,"")</f>
        <v/>
      </c>
      <c r="J654" s="8"/>
      <c r="M654" s="1"/>
      <c r="N654" s="1"/>
      <c r="O654" s="1"/>
      <c r="P654" s="9"/>
      <c r="Q654" s="9"/>
      <c r="R654" s="8"/>
      <c r="S654" s="8"/>
      <c r="T654" s="1"/>
    </row>
    <row r="655" spans="1:20" x14ac:dyDescent="0.2">
      <c r="A655" s="14">
        <f t="shared" ref="A655:A718" si="10">A654+1</f>
        <v>643</v>
      </c>
      <c r="E655" s="12" t="str">
        <f>IF($C$8&gt;=A655,$E$1&amp;" "&amp;A655,"")</f>
        <v/>
      </c>
      <c r="J655" s="8"/>
      <c r="M655" s="1"/>
      <c r="N655" s="1"/>
      <c r="O655" s="1"/>
      <c r="P655" s="9"/>
      <c r="Q655" s="9"/>
      <c r="R655" s="8"/>
      <c r="S655" s="8"/>
      <c r="T655" s="1"/>
    </row>
    <row r="656" spans="1:20" x14ac:dyDescent="0.2">
      <c r="A656" s="14">
        <f t="shared" si="10"/>
        <v>644</v>
      </c>
      <c r="E656" s="12" t="str">
        <f>IF($C$8&gt;=A656,$E$1&amp;" "&amp;A656,"")</f>
        <v/>
      </c>
      <c r="J656" s="8"/>
      <c r="M656" s="1"/>
      <c r="N656" s="1"/>
      <c r="O656" s="1"/>
      <c r="P656" s="9"/>
      <c r="Q656" s="9"/>
      <c r="R656" s="8"/>
      <c r="S656" s="8"/>
      <c r="T656" s="1"/>
    </row>
    <row r="657" spans="1:20" x14ac:dyDescent="0.2">
      <c r="A657" s="14">
        <f t="shared" si="10"/>
        <v>645</v>
      </c>
      <c r="E657" s="12" t="str">
        <f>IF($C$8&gt;=A657,$E$1&amp;" "&amp;A657,"")</f>
        <v/>
      </c>
      <c r="J657" s="8"/>
      <c r="M657" s="1"/>
      <c r="N657" s="1"/>
      <c r="O657" s="1"/>
      <c r="P657" s="9"/>
      <c r="Q657" s="9"/>
      <c r="R657" s="8"/>
      <c r="S657" s="8"/>
      <c r="T657" s="1"/>
    </row>
    <row r="658" spans="1:20" x14ac:dyDescent="0.2">
      <c r="A658" s="14">
        <f t="shared" si="10"/>
        <v>646</v>
      </c>
      <c r="E658" s="12" t="str">
        <f>IF($C$8&gt;=A658,$E$1&amp;" "&amp;A658,"")</f>
        <v/>
      </c>
      <c r="J658" s="8"/>
      <c r="M658" s="1"/>
      <c r="N658" s="1"/>
      <c r="O658" s="1"/>
      <c r="P658" s="9"/>
      <c r="Q658" s="9"/>
      <c r="R658" s="8"/>
      <c r="S658" s="8"/>
      <c r="T658" s="1"/>
    </row>
    <row r="659" spans="1:20" x14ac:dyDescent="0.2">
      <c r="A659" s="14">
        <f t="shared" si="10"/>
        <v>647</v>
      </c>
      <c r="E659" s="12" t="str">
        <f>IF($C$8&gt;=A659,$E$1&amp;" "&amp;A659,"")</f>
        <v/>
      </c>
      <c r="J659" s="8"/>
      <c r="M659" s="1"/>
      <c r="N659" s="1"/>
      <c r="O659" s="1"/>
      <c r="P659" s="9"/>
      <c r="Q659" s="9"/>
      <c r="R659" s="8"/>
      <c r="S659" s="8"/>
      <c r="T659" s="1"/>
    </row>
    <row r="660" spans="1:20" x14ac:dyDescent="0.2">
      <c r="A660" s="14">
        <f t="shared" si="10"/>
        <v>648</v>
      </c>
      <c r="E660" s="12" t="str">
        <f>IF($C$8&gt;=A660,$E$1&amp;" "&amp;A660,"")</f>
        <v/>
      </c>
      <c r="J660" s="8"/>
      <c r="M660" s="1"/>
      <c r="N660" s="1"/>
      <c r="O660" s="1"/>
      <c r="P660" s="9"/>
      <c r="Q660" s="9"/>
      <c r="R660" s="8"/>
      <c r="S660" s="8"/>
      <c r="T660" s="1"/>
    </row>
    <row r="661" spans="1:20" x14ac:dyDescent="0.2">
      <c r="A661" s="14">
        <f t="shared" si="10"/>
        <v>649</v>
      </c>
      <c r="E661" s="12" t="str">
        <f>IF($C$8&gt;=A661,$E$1&amp;" "&amp;A661,"")</f>
        <v/>
      </c>
      <c r="J661" s="8"/>
      <c r="M661" s="1"/>
      <c r="N661" s="1"/>
      <c r="O661" s="1"/>
      <c r="P661" s="9"/>
      <c r="Q661" s="9"/>
      <c r="R661" s="8"/>
      <c r="S661" s="8"/>
      <c r="T661" s="1"/>
    </row>
    <row r="662" spans="1:20" x14ac:dyDescent="0.2">
      <c r="A662" s="14">
        <f t="shared" si="10"/>
        <v>650</v>
      </c>
      <c r="E662" s="12" t="str">
        <f>IF($C$8&gt;=A662,$E$1&amp;" "&amp;A662,"")</f>
        <v/>
      </c>
      <c r="J662" s="8"/>
      <c r="M662" s="1"/>
      <c r="N662" s="1"/>
      <c r="O662" s="1"/>
      <c r="P662" s="9"/>
      <c r="Q662" s="9"/>
      <c r="R662" s="8"/>
      <c r="S662" s="8"/>
      <c r="T662" s="1"/>
    </row>
    <row r="663" spans="1:20" x14ac:dyDescent="0.2">
      <c r="A663" s="14">
        <f t="shared" si="10"/>
        <v>651</v>
      </c>
      <c r="E663" s="12" t="str">
        <f>IF($C$8&gt;=A663,$E$1&amp;" "&amp;A663,"")</f>
        <v/>
      </c>
      <c r="J663" s="8"/>
      <c r="M663" s="1"/>
      <c r="N663" s="1"/>
      <c r="O663" s="1"/>
      <c r="P663" s="9"/>
      <c r="Q663" s="9"/>
      <c r="R663" s="8"/>
      <c r="S663" s="8"/>
      <c r="T663" s="1"/>
    </row>
    <row r="664" spans="1:20" x14ac:dyDescent="0.2">
      <c r="A664" s="14">
        <f t="shared" si="10"/>
        <v>652</v>
      </c>
      <c r="E664" s="12" t="str">
        <f>IF($C$8&gt;=A664,$E$1&amp;" "&amp;A664,"")</f>
        <v/>
      </c>
      <c r="J664" s="8"/>
      <c r="M664" s="1"/>
      <c r="N664" s="1"/>
      <c r="O664" s="1"/>
      <c r="P664" s="9"/>
      <c r="Q664" s="9"/>
      <c r="R664" s="8"/>
      <c r="S664" s="8"/>
      <c r="T664" s="1"/>
    </row>
    <row r="665" spans="1:20" x14ac:dyDescent="0.2">
      <c r="A665" s="14">
        <f t="shared" si="10"/>
        <v>653</v>
      </c>
      <c r="E665" s="12" t="str">
        <f>IF($C$8&gt;=A665,$E$1&amp;" "&amp;A665,"")</f>
        <v/>
      </c>
      <c r="J665" s="8"/>
      <c r="M665" s="1"/>
      <c r="N665" s="1"/>
      <c r="O665" s="1"/>
      <c r="P665" s="9"/>
      <c r="Q665" s="9"/>
      <c r="R665" s="8"/>
      <c r="S665" s="8"/>
      <c r="T665" s="1"/>
    </row>
    <row r="666" spans="1:20" x14ac:dyDescent="0.2">
      <c r="A666" s="14">
        <f t="shared" si="10"/>
        <v>654</v>
      </c>
      <c r="E666" s="12" t="str">
        <f>IF($C$8&gt;=A666,$E$1&amp;" "&amp;A666,"")</f>
        <v/>
      </c>
      <c r="J666" s="8"/>
      <c r="M666" s="1"/>
      <c r="N666" s="1"/>
      <c r="O666" s="1"/>
      <c r="P666" s="9"/>
      <c r="Q666" s="9"/>
      <c r="R666" s="8"/>
      <c r="S666" s="8"/>
      <c r="T666" s="1"/>
    </row>
    <row r="667" spans="1:20" x14ac:dyDescent="0.2">
      <c r="A667" s="14">
        <f t="shared" si="10"/>
        <v>655</v>
      </c>
      <c r="E667" s="12" t="str">
        <f>IF($C$8&gt;=A667,$E$1&amp;" "&amp;A667,"")</f>
        <v/>
      </c>
      <c r="J667" s="8"/>
      <c r="M667" s="1"/>
      <c r="N667" s="1"/>
      <c r="O667" s="1"/>
      <c r="P667" s="9"/>
      <c r="Q667" s="9"/>
      <c r="R667" s="8"/>
      <c r="S667" s="8"/>
      <c r="T667" s="1"/>
    </row>
    <row r="668" spans="1:20" x14ac:dyDescent="0.2">
      <c r="A668" s="14">
        <f t="shared" si="10"/>
        <v>656</v>
      </c>
      <c r="E668" s="12" t="str">
        <f>IF($C$8&gt;=A668,$E$1&amp;" "&amp;A668,"")</f>
        <v/>
      </c>
      <c r="J668" s="8"/>
      <c r="M668" s="1"/>
      <c r="N668" s="1"/>
      <c r="O668" s="1"/>
      <c r="P668" s="9"/>
      <c r="Q668" s="9"/>
      <c r="R668" s="8"/>
      <c r="S668" s="8"/>
      <c r="T668" s="1"/>
    </row>
    <row r="669" spans="1:20" x14ac:dyDescent="0.2">
      <c r="A669" s="14">
        <f t="shared" si="10"/>
        <v>657</v>
      </c>
      <c r="E669" s="12" t="str">
        <f>IF($C$8&gt;=A669,$E$1&amp;" "&amp;A669,"")</f>
        <v/>
      </c>
      <c r="J669" s="8"/>
      <c r="M669" s="1"/>
      <c r="N669" s="1"/>
      <c r="O669" s="1"/>
      <c r="P669" s="9"/>
      <c r="Q669" s="9"/>
      <c r="R669" s="8"/>
      <c r="S669" s="8"/>
      <c r="T669" s="1"/>
    </row>
    <row r="670" spans="1:20" x14ac:dyDescent="0.2">
      <c r="A670" s="14">
        <f t="shared" si="10"/>
        <v>658</v>
      </c>
      <c r="E670" s="12" t="str">
        <f>IF($C$8&gt;=A670,$E$1&amp;" "&amp;A670,"")</f>
        <v/>
      </c>
      <c r="J670" s="8"/>
      <c r="M670" s="1"/>
      <c r="N670" s="1"/>
      <c r="O670" s="1"/>
      <c r="P670" s="9"/>
      <c r="Q670" s="9"/>
      <c r="R670" s="8"/>
      <c r="S670" s="8"/>
      <c r="T670" s="1"/>
    </row>
    <row r="671" spans="1:20" x14ac:dyDescent="0.2">
      <c r="A671" s="14">
        <f t="shared" si="10"/>
        <v>659</v>
      </c>
      <c r="E671" s="12" t="str">
        <f>IF($C$8&gt;=A671,$E$1&amp;" "&amp;A671,"")</f>
        <v/>
      </c>
      <c r="J671" s="8"/>
      <c r="M671" s="1"/>
      <c r="N671" s="1"/>
      <c r="O671" s="1"/>
      <c r="P671" s="9"/>
      <c r="Q671" s="9"/>
      <c r="R671" s="8"/>
      <c r="S671" s="8"/>
      <c r="T671" s="1"/>
    </row>
    <row r="672" spans="1:20" x14ac:dyDescent="0.2">
      <c r="A672" s="14">
        <f t="shared" si="10"/>
        <v>660</v>
      </c>
      <c r="E672" s="12" t="str">
        <f>IF($C$8&gt;=A672,$E$1&amp;" "&amp;A672,"")</f>
        <v/>
      </c>
      <c r="J672" s="8"/>
      <c r="M672" s="1"/>
      <c r="N672" s="1"/>
      <c r="O672" s="1"/>
      <c r="P672" s="9"/>
      <c r="Q672" s="9"/>
      <c r="R672" s="8"/>
      <c r="S672" s="8"/>
      <c r="T672" s="1"/>
    </row>
    <row r="673" spans="1:20" x14ac:dyDescent="0.2">
      <c r="A673" s="14">
        <f t="shared" si="10"/>
        <v>661</v>
      </c>
      <c r="E673" s="12" t="str">
        <f>IF($C$8&gt;=A673,$E$1&amp;" "&amp;A673,"")</f>
        <v/>
      </c>
      <c r="J673" s="8"/>
      <c r="M673" s="1"/>
      <c r="N673" s="1"/>
      <c r="O673" s="1"/>
      <c r="P673" s="9"/>
      <c r="Q673" s="9"/>
      <c r="R673" s="8"/>
      <c r="S673" s="8"/>
      <c r="T673" s="1"/>
    </row>
    <row r="674" spans="1:20" x14ac:dyDescent="0.2">
      <c r="A674" s="14">
        <f t="shared" si="10"/>
        <v>662</v>
      </c>
      <c r="E674" s="12" t="str">
        <f>IF($C$8&gt;=A674,$E$1&amp;" "&amp;A674,"")</f>
        <v/>
      </c>
      <c r="J674" s="8"/>
      <c r="M674" s="1"/>
      <c r="N674" s="1"/>
      <c r="O674" s="1"/>
      <c r="P674" s="9"/>
      <c r="Q674" s="9"/>
      <c r="R674" s="8"/>
      <c r="S674" s="8"/>
      <c r="T674" s="1"/>
    </row>
    <row r="675" spans="1:20" x14ac:dyDescent="0.2">
      <c r="A675" s="14">
        <f t="shared" si="10"/>
        <v>663</v>
      </c>
      <c r="E675" s="12" t="str">
        <f>IF($C$8&gt;=A675,$E$1&amp;" "&amp;A675,"")</f>
        <v/>
      </c>
      <c r="J675" s="8"/>
      <c r="M675" s="1"/>
      <c r="N675" s="1"/>
      <c r="O675" s="1"/>
      <c r="P675" s="9"/>
      <c r="Q675" s="9"/>
      <c r="R675" s="8"/>
      <c r="S675" s="8"/>
      <c r="T675" s="1"/>
    </row>
    <row r="676" spans="1:20" x14ac:dyDescent="0.2">
      <c r="A676" s="14">
        <f t="shared" si="10"/>
        <v>664</v>
      </c>
      <c r="E676" s="12" t="str">
        <f>IF($C$8&gt;=A676,$E$1&amp;" "&amp;A676,"")</f>
        <v/>
      </c>
      <c r="J676" s="8"/>
      <c r="M676" s="1"/>
      <c r="N676" s="1"/>
      <c r="O676" s="1"/>
      <c r="P676" s="9"/>
      <c r="Q676" s="9"/>
      <c r="R676" s="8"/>
      <c r="S676" s="8"/>
      <c r="T676" s="1"/>
    </row>
    <row r="677" spans="1:20" x14ac:dyDescent="0.2">
      <c r="A677" s="14">
        <f t="shared" si="10"/>
        <v>665</v>
      </c>
      <c r="E677" s="12" t="str">
        <f>IF($C$8&gt;=A677,$E$1&amp;" "&amp;A677,"")</f>
        <v/>
      </c>
      <c r="J677" s="8"/>
      <c r="M677" s="1"/>
      <c r="N677" s="1"/>
      <c r="O677" s="1"/>
      <c r="P677" s="9"/>
      <c r="Q677" s="9"/>
      <c r="R677" s="8"/>
      <c r="S677" s="8"/>
      <c r="T677" s="1"/>
    </row>
    <row r="678" spans="1:20" x14ac:dyDescent="0.2">
      <c r="A678" s="14">
        <f t="shared" si="10"/>
        <v>666</v>
      </c>
      <c r="E678" s="12" t="str">
        <f>IF($C$8&gt;=A678,$E$1&amp;" "&amp;A678,"")</f>
        <v/>
      </c>
      <c r="J678" s="8"/>
      <c r="M678" s="1"/>
      <c r="N678" s="1"/>
      <c r="O678" s="1"/>
      <c r="P678" s="9"/>
      <c r="Q678" s="9"/>
      <c r="R678" s="8"/>
      <c r="S678" s="8"/>
      <c r="T678" s="1"/>
    </row>
    <row r="679" spans="1:20" x14ac:dyDescent="0.2">
      <c r="A679" s="14">
        <f t="shared" si="10"/>
        <v>667</v>
      </c>
      <c r="E679" s="12" t="str">
        <f>IF($C$8&gt;=A679,$E$1&amp;" "&amp;A679,"")</f>
        <v/>
      </c>
      <c r="J679" s="8"/>
      <c r="M679" s="1"/>
      <c r="N679" s="1"/>
      <c r="O679" s="1"/>
      <c r="P679" s="9"/>
      <c r="Q679" s="9"/>
      <c r="R679" s="8"/>
      <c r="S679" s="8"/>
      <c r="T679" s="1"/>
    </row>
    <row r="680" spans="1:20" x14ac:dyDescent="0.2">
      <c r="A680" s="14">
        <f t="shared" si="10"/>
        <v>668</v>
      </c>
      <c r="E680" s="12" t="str">
        <f>IF($C$8&gt;=A680,$E$1&amp;" "&amp;A680,"")</f>
        <v/>
      </c>
      <c r="J680" s="8"/>
      <c r="M680" s="1"/>
      <c r="N680" s="1"/>
      <c r="O680" s="1"/>
      <c r="P680" s="9"/>
      <c r="Q680" s="9"/>
      <c r="R680" s="8"/>
      <c r="S680" s="8"/>
      <c r="T680" s="1"/>
    </row>
    <row r="681" spans="1:20" x14ac:dyDescent="0.2">
      <c r="A681" s="14">
        <f t="shared" si="10"/>
        <v>669</v>
      </c>
      <c r="E681" s="12" t="str">
        <f>IF($C$8&gt;=A681,$E$1&amp;" "&amp;A681,"")</f>
        <v/>
      </c>
      <c r="J681" s="8"/>
      <c r="M681" s="1"/>
      <c r="N681" s="1"/>
      <c r="O681" s="1"/>
      <c r="P681" s="9"/>
      <c r="Q681" s="9"/>
      <c r="R681" s="8"/>
      <c r="S681" s="8"/>
      <c r="T681" s="1"/>
    </row>
    <row r="682" spans="1:20" x14ac:dyDescent="0.2">
      <c r="A682" s="14">
        <f t="shared" si="10"/>
        <v>670</v>
      </c>
      <c r="E682" s="12" t="str">
        <f>IF($C$8&gt;=A682,$E$1&amp;" "&amp;A682,"")</f>
        <v/>
      </c>
      <c r="J682" s="8"/>
      <c r="M682" s="1"/>
      <c r="N682" s="1"/>
      <c r="O682" s="1"/>
      <c r="P682" s="9"/>
      <c r="Q682" s="9"/>
      <c r="R682" s="8"/>
      <c r="S682" s="8"/>
      <c r="T682" s="1"/>
    </row>
    <row r="683" spans="1:20" x14ac:dyDescent="0.2">
      <c r="A683" s="14">
        <f t="shared" si="10"/>
        <v>671</v>
      </c>
      <c r="E683" s="12" t="str">
        <f>IF($C$8&gt;=A683,$E$1&amp;" "&amp;A683,"")</f>
        <v/>
      </c>
      <c r="J683" s="8"/>
      <c r="M683" s="1"/>
      <c r="N683" s="1"/>
      <c r="O683" s="1"/>
      <c r="P683" s="9"/>
      <c r="Q683" s="9"/>
      <c r="R683" s="8"/>
      <c r="S683" s="8"/>
      <c r="T683" s="1"/>
    </row>
    <row r="684" spans="1:20" x14ac:dyDescent="0.2">
      <c r="A684" s="14">
        <f t="shared" si="10"/>
        <v>672</v>
      </c>
      <c r="E684" s="12" t="str">
        <f>IF($C$8&gt;=A684,$E$1&amp;" "&amp;A684,"")</f>
        <v/>
      </c>
      <c r="J684" s="8"/>
      <c r="M684" s="1"/>
      <c r="N684" s="1"/>
      <c r="O684" s="1"/>
      <c r="P684" s="9"/>
      <c r="Q684" s="9"/>
      <c r="R684" s="8"/>
      <c r="S684" s="8"/>
      <c r="T684" s="1"/>
    </row>
    <row r="685" spans="1:20" x14ac:dyDescent="0.2">
      <c r="A685" s="14">
        <f t="shared" si="10"/>
        <v>673</v>
      </c>
      <c r="E685" s="12" t="str">
        <f>IF($C$8&gt;=A685,$E$1&amp;" "&amp;A685,"")</f>
        <v/>
      </c>
      <c r="J685" s="8"/>
      <c r="M685" s="1"/>
      <c r="N685" s="1"/>
      <c r="O685" s="1"/>
      <c r="P685" s="9"/>
      <c r="Q685" s="9"/>
      <c r="R685" s="8"/>
      <c r="S685" s="8"/>
      <c r="T685" s="1"/>
    </row>
    <row r="686" spans="1:20" x14ac:dyDescent="0.2">
      <c r="A686" s="14">
        <f t="shared" si="10"/>
        <v>674</v>
      </c>
      <c r="E686" s="12" t="str">
        <f>IF($C$8&gt;=A686,$E$1&amp;" "&amp;A686,"")</f>
        <v/>
      </c>
      <c r="J686" s="8"/>
      <c r="M686" s="1"/>
      <c r="N686" s="1"/>
      <c r="O686" s="1"/>
      <c r="P686" s="9"/>
      <c r="Q686" s="9"/>
      <c r="R686" s="8"/>
      <c r="S686" s="8"/>
      <c r="T686" s="1"/>
    </row>
    <row r="687" spans="1:20" x14ac:dyDescent="0.2">
      <c r="A687" s="14">
        <f t="shared" si="10"/>
        <v>675</v>
      </c>
      <c r="E687" s="12" t="str">
        <f>IF($C$8&gt;=A687,$E$1&amp;" "&amp;A687,"")</f>
        <v/>
      </c>
      <c r="J687" s="8"/>
      <c r="M687" s="1"/>
      <c r="N687" s="1"/>
      <c r="O687" s="1"/>
      <c r="P687" s="9"/>
      <c r="Q687" s="9"/>
      <c r="R687" s="8"/>
      <c r="S687" s="8"/>
      <c r="T687" s="1"/>
    </row>
    <row r="688" spans="1:20" x14ac:dyDescent="0.2">
      <c r="A688" s="14">
        <f t="shared" si="10"/>
        <v>676</v>
      </c>
      <c r="E688" s="12" t="str">
        <f>IF($C$8&gt;=A688,$E$1&amp;" "&amp;A688,"")</f>
        <v/>
      </c>
      <c r="J688" s="8"/>
      <c r="M688" s="1"/>
      <c r="N688" s="1"/>
      <c r="O688" s="1"/>
      <c r="P688" s="9"/>
      <c r="Q688" s="9"/>
      <c r="R688" s="8"/>
      <c r="S688" s="8"/>
      <c r="T688" s="1"/>
    </row>
    <row r="689" spans="1:20" x14ac:dyDescent="0.2">
      <c r="A689" s="14">
        <f t="shared" si="10"/>
        <v>677</v>
      </c>
      <c r="E689" s="12" t="str">
        <f>IF($C$8&gt;=A689,$E$1&amp;" "&amp;A689,"")</f>
        <v/>
      </c>
      <c r="J689" s="8"/>
      <c r="M689" s="1"/>
      <c r="N689" s="1"/>
      <c r="O689" s="1"/>
      <c r="P689" s="9"/>
      <c r="Q689" s="9"/>
      <c r="R689" s="8"/>
      <c r="S689" s="8"/>
      <c r="T689" s="1"/>
    </row>
    <row r="690" spans="1:20" x14ac:dyDescent="0.2">
      <c r="A690" s="14">
        <f t="shared" si="10"/>
        <v>678</v>
      </c>
      <c r="E690" s="12" t="str">
        <f>IF($C$8&gt;=A690,$E$1&amp;" "&amp;A690,"")</f>
        <v/>
      </c>
      <c r="J690" s="8"/>
      <c r="M690" s="1"/>
      <c r="N690" s="1"/>
      <c r="O690" s="1"/>
      <c r="P690" s="9"/>
      <c r="Q690" s="9"/>
      <c r="R690" s="8"/>
      <c r="S690" s="8"/>
      <c r="T690" s="1"/>
    </row>
    <row r="691" spans="1:20" x14ac:dyDescent="0.2">
      <c r="A691" s="14">
        <f t="shared" si="10"/>
        <v>679</v>
      </c>
      <c r="E691" s="12" t="str">
        <f>IF($C$8&gt;=A691,$E$1&amp;" "&amp;A691,"")</f>
        <v/>
      </c>
      <c r="J691" s="8"/>
      <c r="M691" s="1"/>
      <c r="N691" s="1"/>
      <c r="O691" s="1"/>
      <c r="P691" s="9"/>
      <c r="Q691" s="9"/>
      <c r="R691" s="8"/>
      <c r="S691" s="8"/>
      <c r="T691" s="1"/>
    </row>
    <row r="692" spans="1:20" x14ac:dyDescent="0.2">
      <c r="A692" s="14">
        <f t="shared" si="10"/>
        <v>680</v>
      </c>
      <c r="E692" s="12" t="str">
        <f>IF($C$8&gt;=A692,$E$1&amp;" "&amp;A692,"")</f>
        <v/>
      </c>
      <c r="J692" s="8"/>
      <c r="M692" s="1"/>
      <c r="N692" s="1"/>
      <c r="O692" s="1"/>
      <c r="P692" s="9"/>
      <c r="Q692" s="9"/>
      <c r="R692" s="8"/>
      <c r="S692" s="8"/>
      <c r="T692" s="1"/>
    </row>
    <row r="693" spans="1:20" x14ac:dyDescent="0.2">
      <c r="A693" s="14">
        <f t="shared" si="10"/>
        <v>681</v>
      </c>
      <c r="E693" s="12" t="str">
        <f>IF($C$8&gt;=A693,$E$1&amp;" "&amp;A693,"")</f>
        <v/>
      </c>
      <c r="J693" s="8"/>
      <c r="M693" s="1"/>
      <c r="N693" s="1"/>
      <c r="O693" s="1"/>
      <c r="P693" s="9"/>
      <c r="Q693" s="9"/>
      <c r="R693" s="8"/>
      <c r="S693" s="8"/>
      <c r="T693" s="1"/>
    </row>
    <row r="694" spans="1:20" x14ac:dyDescent="0.2">
      <c r="A694" s="14">
        <f t="shared" si="10"/>
        <v>682</v>
      </c>
      <c r="E694" s="12" t="str">
        <f>IF($C$8&gt;=A694,$E$1&amp;" "&amp;A694,"")</f>
        <v/>
      </c>
      <c r="J694" s="8"/>
      <c r="M694" s="1"/>
      <c r="N694" s="1"/>
      <c r="O694" s="1"/>
      <c r="P694" s="9"/>
      <c r="Q694" s="9"/>
      <c r="R694" s="8"/>
      <c r="S694" s="8"/>
      <c r="T694" s="1"/>
    </row>
    <row r="695" spans="1:20" x14ac:dyDescent="0.2">
      <c r="A695" s="14">
        <f t="shared" si="10"/>
        <v>683</v>
      </c>
      <c r="E695" s="12" t="str">
        <f>IF($C$8&gt;=A695,$E$1&amp;" "&amp;A695,"")</f>
        <v/>
      </c>
      <c r="J695" s="8"/>
      <c r="M695" s="1"/>
      <c r="N695" s="1"/>
      <c r="O695" s="1"/>
      <c r="P695" s="9"/>
      <c r="Q695" s="9"/>
      <c r="R695" s="8"/>
      <c r="S695" s="8"/>
      <c r="T695" s="1"/>
    </row>
    <row r="696" spans="1:20" x14ac:dyDescent="0.2">
      <c r="A696" s="14">
        <f t="shared" si="10"/>
        <v>684</v>
      </c>
      <c r="E696" s="12" t="str">
        <f>IF($C$8&gt;=A696,$E$1&amp;" "&amp;A696,"")</f>
        <v/>
      </c>
      <c r="J696" s="8"/>
      <c r="M696" s="1"/>
      <c r="N696" s="1"/>
      <c r="O696" s="1"/>
      <c r="P696" s="9"/>
      <c r="Q696" s="9"/>
      <c r="R696" s="8"/>
      <c r="S696" s="8"/>
      <c r="T696" s="1"/>
    </row>
    <row r="697" spans="1:20" x14ac:dyDescent="0.2">
      <c r="A697" s="14">
        <f t="shared" si="10"/>
        <v>685</v>
      </c>
      <c r="E697" s="12" t="str">
        <f>IF($C$8&gt;=A697,$E$1&amp;" "&amp;A697,"")</f>
        <v/>
      </c>
      <c r="J697" s="8"/>
      <c r="M697" s="1"/>
      <c r="N697" s="1"/>
      <c r="O697" s="1"/>
      <c r="P697" s="9"/>
      <c r="Q697" s="9"/>
      <c r="R697" s="8"/>
      <c r="S697" s="8"/>
      <c r="T697" s="1"/>
    </row>
    <row r="698" spans="1:20" x14ac:dyDescent="0.2">
      <c r="A698" s="14">
        <f t="shared" si="10"/>
        <v>686</v>
      </c>
      <c r="E698" s="12" t="str">
        <f>IF($C$8&gt;=A698,$E$1&amp;" "&amp;A698,"")</f>
        <v/>
      </c>
      <c r="J698" s="8"/>
      <c r="M698" s="1"/>
      <c r="N698" s="1"/>
      <c r="O698" s="1"/>
      <c r="P698" s="9"/>
      <c r="Q698" s="9"/>
      <c r="R698" s="8"/>
      <c r="S698" s="8"/>
      <c r="T698" s="1"/>
    </row>
    <row r="699" spans="1:20" x14ac:dyDescent="0.2">
      <c r="A699" s="14">
        <f t="shared" si="10"/>
        <v>687</v>
      </c>
      <c r="E699" s="12" t="str">
        <f>IF($C$8&gt;=A699,$E$1&amp;" "&amp;A699,"")</f>
        <v/>
      </c>
      <c r="J699" s="8"/>
      <c r="M699" s="1"/>
      <c r="N699" s="1"/>
      <c r="O699" s="1"/>
      <c r="P699" s="9"/>
      <c r="Q699" s="9"/>
      <c r="R699" s="8"/>
      <c r="S699" s="8"/>
      <c r="T699" s="1"/>
    </row>
    <row r="700" spans="1:20" x14ac:dyDescent="0.2">
      <c r="A700" s="14">
        <f t="shared" si="10"/>
        <v>688</v>
      </c>
      <c r="E700" s="12" t="str">
        <f>IF($C$8&gt;=A700,$E$1&amp;" "&amp;A700,"")</f>
        <v/>
      </c>
      <c r="J700" s="8"/>
      <c r="M700" s="1"/>
      <c r="N700" s="1"/>
      <c r="O700" s="1"/>
      <c r="P700" s="9"/>
      <c r="Q700" s="9"/>
      <c r="R700" s="8"/>
      <c r="S700" s="8"/>
      <c r="T700" s="1"/>
    </row>
    <row r="701" spans="1:20" x14ac:dyDescent="0.2">
      <c r="A701" s="14">
        <f t="shared" si="10"/>
        <v>689</v>
      </c>
      <c r="E701" s="12" t="str">
        <f>IF($C$8&gt;=A701,$E$1&amp;" "&amp;A701,"")</f>
        <v/>
      </c>
      <c r="J701" s="8"/>
      <c r="M701" s="1"/>
      <c r="N701" s="1"/>
      <c r="O701" s="1"/>
      <c r="P701" s="9"/>
      <c r="Q701" s="9"/>
      <c r="R701" s="8"/>
      <c r="S701" s="8"/>
      <c r="T701" s="1"/>
    </row>
    <row r="702" spans="1:20" x14ac:dyDescent="0.2">
      <c r="A702" s="14">
        <f t="shared" si="10"/>
        <v>690</v>
      </c>
      <c r="E702" s="12" t="str">
        <f>IF($C$8&gt;=A702,$E$1&amp;" "&amp;A702,"")</f>
        <v/>
      </c>
      <c r="J702" s="8"/>
      <c r="M702" s="1"/>
      <c r="N702" s="1"/>
      <c r="O702" s="1"/>
      <c r="P702" s="9"/>
      <c r="Q702" s="9"/>
      <c r="R702" s="8"/>
      <c r="S702" s="8"/>
      <c r="T702" s="1"/>
    </row>
    <row r="703" spans="1:20" x14ac:dyDescent="0.2">
      <c r="A703" s="14">
        <f t="shared" si="10"/>
        <v>691</v>
      </c>
      <c r="E703" s="12" t="str">
        <f>IF($C$8&gt;=A703,$E$1&amp;" "&amp;A703,"")</f>
        <v/>
      </c>
      <c r="J703" s="8"/>
      <c r="M703" s="1"/>
      <c r="N703" s="1"/>
      <c r="O703" s="1"/>
      <c r="P703" s="9"/>
      <c r="Q703" s="9"/>
      <c r="R703" s="8"/>
      <c r="S703" s="8"/>
      <c r="T703" s="1"/>
    </row>
    <row r="704" spans="1:20" x14ac:dyDescent="0.2">
      <c r="A704" s="14">
        <f t="shared" si="10"/>
        <v>692</v>
      </c>
      <c r="E704" s="12" t="str">
        <f>IF($C$8&gt;=A704,$E$1&amp;" "&amp;A704,"")</f>
        <v/>
      </c>
      <c r="J704" s="8"/>
      <c r="M704" s="1"/>
      <c r="N704" s="1"/>
      <c r="O704" s="1"/>
      <c r="P704" s="9"/>
      <c r="Q704" s="9"/>
      <c r="R704" s="8"/>
      <c r="S704" s="8"/>
      <c r="T704" s="1"/>
    </row>
    <row r="705" spans="1:20" x14ac:dyDescent="0.2">
      <c r="A705" s="14">
        <f t="shared" si="10"/>
        <v>693</v>
      </c>
      <c r="E705" s="12" t="str">
        <f>IF($C$8&gt;=A705,$E$1&amp;" "&amp;A705,"")</f>
        <v/>
      </c>
      <c r="J705" s="8"/>
      <c r="M705" s="1"/>
      <c r="N705" s="1"/>
      <c r="O705" s="1"/>
      <c r="P705" s="9"/>
      <c r="Q705" s="9"/>
      <c r="R705" s="8"/>
      <c r="S705" s="8"/>
      <c r="T705" s="1"/>
    </row>
    <row r="706" spans="1:20" x14ac:dyDescent="0.2">
      <c r="A706" s="14">
        <f t="shared" si="10"/>
        <v>694</v>
      </c>
      <c r="E706" s="12" t="str">
        <f>IF($C$8&gt;=A706,$E$1&amp;" "&amp;A706,"")</f>
        <v/>
      </c>
      <c r="J706" s="8"/>
      <c r="M706" s="1"/>
      <c r="N706" s="1"/>
      <c r="O706" s="1"/>
      <c r="P706" s="9"/>
      <c r="Q706" s="9"/>
      <c r="R706" s="8"/>
      <c r="S706" s="8"/>
      <c r="T706" s="1"/>
    </row>
    <row r="707" spans="1:20" x14ac:dyDescent="0.2">
      <c r="A707" s="14">
        <f t="shared" si="10"/>
        <v>695</v>
      </c>
      <c r="E707" s="12" t="str">
        <f>IF($C$8&gt;=A707,$E$1&amp;" "&amp;A707,"")</f>
        <v/>
      </c>
      <c r="J707" s="8"/>
      <c r="M707" s="1"/>
      <c r="N707" s="1"/>
      <c r="O707" s="1"/>
      <c r="P707" s="9"/>
      <c r="Q707" s="9"/>
      <c r="R707" s="8"/>
      <c r="S707" s="8"/>
      <c r="T707" s="1"/>
    </row>
    <row r="708" spans="1:20" x14ac:dyDescent="0.2">
      <c r="A708" s="14">
        <f t="shared" si="10"/>
        <v>696</v>
      </c>
      <c r="E708" s="12" t="str">
        <f>IF($C$8&gt;=A708,$E$1&amp;" "&amp;A708,"")</f>
        <v/>
      </c>
      <c r="J708" s="8"/>
      <c r="M708" s="1"/>
      <c r="N708" s="1"/>
      <c r="O708" s="1"/>
      <c r="P708" s="9"/>
      <c r="Q708" s="9"/>
      <c r="R708" s="8"/>
      <c r="S708" s="8"/>
      <c r="T708" s="1"/>
    </row>
    <row r="709" spans="1:20" x14ac:dyDescent="0.2">
      <c r="A709" s="14">
        <f t="shared" si="10"/>
        <v>697</v>
      </c>
      <c r="E709" s="12" t="str">
        <f>IF($C$8&gt;=A709,$E$1&amp;" "&amp;A709,"")</f>
        <v/>
      </c>
      <c r="J709" s="8"/>
      <c r="M709" s="1"/>
      <c r="N709" s="1"/>
      <c r="O709" s="1"/>
      <c r="P709" s="9"/>
      <c r="Q709" s="9"/>
      <c r="R709" s="8"/>
      <c r="S709" s="8"/>
      <c r="T709" s="1"/>
    </row>
    <row r="710" spans="1:20" x14ac:dyDescent="0.2">
      <c r="A710" s="14">
        <f t="shared" si="10"/>
        <v>698</v>
      </c>
      <c r="E710" s="12" t="str">
        <f>IF($C$8&gt;=A710,$E$1&amp;" "&amp;A710,"")</f>
        <v/>
      </c>
      <c r="J710" s="8"/>
      <c r="M710" s="1"/>
      <c r="N710" s="1"/>
      <c r="O710" s="1"/>
      <c r="P710" s="9"/>
      <c r="Q710" s="9"/>
      <c r="R710" s="8"/>
      <c r="S710" s="8"/>
      <c r="T710" s="1"/>
    </row>
    <row r="711" spans="1:20" x14ac:dyDescent="0.2">
      <c r="A711" s="14">
        <f t="shared" si="10"/>
        <v>699</v>
      </c>
      <c r="E711" s="12" t="str">
        <f>IF($C$8&gt;=A711,$E$1&amp;" "&amp;A711,"")</f>
        <v/>
      </c>
      <c r="J711" s="8"/>
      <c r="M711" s="1"/>
      <c r="N711" s="1"/>
      <c r="O711" s="1"/>
      <c r="P711" s="9"/>
      <c r="Q711" s="9"/>
      <c r="R711" s="8"/>
      <c r="S711" s="8"/>
      <c r="T711" s="1"/>
    </row>
    <row r="712" spans="1:20" x14ac:dyDescent="0.2">
      <c r="A712" s="14">
        <f t="shared" si="10"/>
        <v>700</v>
      </c>
      <c r="E712" s="12" t="str">
        <f>IF($C$8&gt;=A712,$E$1&amp;" "&amp;A712,"")</f>
        <v/>
      </c>
      <c r="J712" s="8"/>
      <c r="M712" s="1"/>
      <c r="N712" s="1"/>
      <c r="O712" s="1"/>
      <c r="P712" s="9"/>
      <c r="Q712" s="9"/>
      <c r="R712" s="8"/>
      <c r="S712" s="8"/>
      <c r="T712" s="1"/>
    </row>
    <row r="713" spans="1:20" x14ac:dyDescent="0.2">
      <c r="A713" s="14">
        <f t="shared" si="10"/>
        <v>701</v>
      </c>
      <c r="E713" s="12" t="str">
        <f>IF($C$8&gt;=A713,$E$1&amp;" "&amp;A713,"")</f>
        <v/>
      </c>
      <c r="J713" s="8"/>
      <c r="M713" s="1"/>
      <c r="N713" s="1"/>
      <c r="O713" s="1"/>
      <c r="P713" s="9"/>
      <c r="Q713" s="9"/>
      <c r="R713" s="8"/>
      <c r="S713" s="8"/>
      <c r="T713" s="1"/>
    </row>
    <row r="714" spans="1:20" x14ac:dyDescent="0.2">
      <c r="A714" s="14">
        <f t="shared" si="10"/>
        <v>702</v>
      </c>
      <c r="E714" s="12" t="str">
        <f>IF($C$8&gt;=A714,$E$1&amp;" "&amp;A714,"")</f>
        <v/>
      </c>
      <c r="J714" s="8"/>
      <c r="M714" s="1"/>
      <c r="N714" s="1"/>
      <c r="O714" s="1"/>
      <c r="P714" s="9"/>
      <c r="Q714" s="9"/>
      <c r="R714" s="8"/>
      <c r="S714" s="8"/>
      <c r="T714" s="1"/>
    </row>
    <row r="715" spans="1:20" x14ac:dyDescent="0.2">
      <c r="A715" s="14">
        <f t="shared" si="10"/>
        <v>703</v>
      </c>
      <c r="E715" s="12" t="str">
        <f>IF($C$8&gt;=A715,$E$1&amp;" "&amp;A715,"")</f>
        <v/>
      </c>
      <c r="J715" s="8"/>
      <c r="M715" s="1"/>
      <c r="N715" s="1"/>
      <c r="O715" s="1"/>
      <c r="P715" s="9"/>
      <c r="Q715" s="9"/>
      <c r="R715" s="8"/>
      <c r="S715" s="8"/>
      <c r="T715" s="1"/>
    </row>
    <row r="716" spans="1:20" x14ac:dyDescent="0.2">
      <c r="A716" s="14">
        <f t="shared" si="10"/>
        <v>704</v>
      </c>
      <c r="E716" s="12" t="str">
        <f>IF($C$8&gt;=A716,$E$1&amp;" "&amp;A716,"")</f>
        <v/>
      </c>
      <c r="J716" s="8"/>
      <c r="M716" s="1"/>
      <c r="N716" s="1"/>
      <c r="O716" s="1"/>
      <c r="P716" s="9"/>
      <c r="Q716" s="9"/>
      <c r="R716" s="8"/>
      <c r="S716" s="8"/>
      <c r="T716" s="1"/>
    </row>
    <row r="717" spans="1:20" x14ac:dyDescent="0.2">
      <c r="A717" s="14">
        <f t="shared" si="10"/>
        <v>705</v>
      </c>
      <c r="E717" s="12" t="str">
        <f>IF($C$8&gt;=A717,$E$1&amp;" "&amp;A717,"")</f>
        <v/>
      </c>
      <c r="J717" s="8"/>
      <c r="M717" s="1"/>
      <c r="N717" s="1"/>
      <c r="O717" s="1"/>
      <c r="P717" s="9"/>
      <c r="Q717" s="9"/>
      <c r="R717" s="8"/>
      <c r="S717" s="8"/>
      <c r="T717" s="1"/>
    </row>
    <row r="718" spans="1:20" x14ac:dyDescent="0.2">
      <c r="A718" s="14">
        <f t="shared" si="10"/>
        <v>706</v>
      </c>
      <c r="E718" s="12" t="str">
        <f>IF($C$8&gt;=A718,$E$1&amp;" "&amp;A718,"")</f>
        <v/>
      </c>
      <c r="J718" s="8"/>
      <c r="M718" s="1"/>
      <c r="N718" s="1"/>
      <c r="O718" s="1"/>
      <c r="P718" s="9"/>
      <c r="Q718" s="9"/>
      <c r="R718" s="8"/>
      <c r="S718" s="8"/>
      <c r="T718" s="1"/>
    </row>
    <row r="719" spans="1:20" x14ac:dyDescent="0.2">
      <c r="A719" s="14">
        <f t="shared" ref="A719:A782" si="11">A718+1</f>
        <v>707</v>
      </c>
      <c r="E719" s="12" t="str">
        <f>IF($C$8&gt;=A719,$E$1&amp;" "&amp;A719,"")</f>
        <v/>
      </c>
      <c r="J719" s="8"/>
      <c r="M719" s="1"/>
      <c r="N719" s="1"/>
      <c r="O719" s="1"/>
      <c r="P719" s="9"/>
      <c r="Q719" s="9"/>
      <c r="R719" s="8"/>
      <c r="S719" s="8"/>
      <c r="T719" s="1"/>
    </row>
    <row r="720" spans="1:20" x14ac:dyDescent="0.2">
      <c r="A720" s="14">
        <f t="shared" si="11"/>
        <v>708</v>
      </c>
      <c r="E720" s="12" t="str">
        <f>IF($C$8&gt;=A720,$E$1&amp;" "&amp;A720,"")</f>
        <v/>
      </c>
      <c r="J720" s="8"/>
      <c r="M720" s="1"/>
      <c r="N720" s="1"/>
      <c r="O720" s="1"/>
      <c r="P720" s="9"/>
      <c r="Q720" s="9"/>
      <c r="R720" s="8"/>
      <c r="S720" s="8"/>
      <c r="T720" s="1"/>
    </row>
    <row r="721" spans="1:20" x14ac:dyDescent="0.2">
      <c r="A721" s="14">
        <f t="shared" si="11"/>
        <v>709</v>
      </c>
      <c r="E721" s="12" t="str">
        <f>IF($C$8&gt;=A721,$E$1&amp;" "&amp;A721,"")</f>
        <v/>
      </c>
      <c r="J721" s="8"/>
      <c r="M721" s="1"/>
      <c r="N721" s="1"/>
      <c r="O721" s="1"/>
      <c r="P721" s="9"/>
      <c r="Q721" s="9"/>
      <c r="R721" s="8"/>
      <c r="S721" s="8"/>
      <c r="T721" s="1"/>
    </row>
    <row r="722" spans="1:20" x14ac:dyDescent="0.2">
      <c r="A722" s="14">
        <f t="shared" si="11"/>
        <v>710</v>
      </c>
      <c r="E722" s="12" t="str">
        <f>IF($C$8&gt;=A722,$E$1&amp;" "&amp;A722,"")</f>
        <v/>
      </c>
      <c r="J722" s="8"/>
      <c r="M722" s="1"/>
      <c r="N722" s="1"/>
      <c r="O722" s="1"/>
      <c r="P722" s="9"/>
      <c r="Q722" s="9"/>
      <c r="R722" s="8"/>
      <c r="S722" s="8"/>
      <c r="T722" s="1"/>
    </row>
    <row r="723" spans="1:20" x14ac:dyDescent="0.2">
      <c r="A723" s="14">
        <f t="shared" si="11"/>
        <v>711</v>
      </c>
      <c r="E723" s="12" t="str">
        <f>IF($C$8&gt;=A723,$E$1&amp;" "&amp;A723,"")</f>
        <v/>
      </c>
      <c r="J723" s="8"/>
      <c r="M723" s="1"/>
      <c r="N723" s="1"/>
      <c r="O723" s="1"/>
      <c r="P723" s="9"/>
      <c r="Q723" s="9"/>
      <c r="R723" s="8"/>
      <c r="S723" s="8"/>
      <c r="T723" s="1"/>
    </row>
    <row r="724" spans="1:20" x14ac:dyDescent="0.2">
      <c r="A724" s="14">
        <f t="shared" si="11"/>
        <v>712</v>
      </c>
      <c r="E724" s="12" t="str">
        <f>IF($C$8&gt;=A724,$E$1&amp;" "&amp;A724,"")</f>
        <v/>
      </c>
      <c r="J724" s="8"/>
      <c r="M724" s="1"/>
      <c r="N724" s="1"/>
      <c r="O724" s="1"/>
      <c r="P724" s="9"/>
      <c r="Q724" s="9"/>
      <c r="R724" s="8"/>
      <c r="S724" s="8"/>
      <c r="T724" s="1"/>
    </row>
    <row r="725" spans="1:20" x14ac:dyDescent="0.2">
      <c r="A725" s="14">
        <f t="shared" si="11"/>
        <v>713</v>
      </c>
      <c r="E725" s="12" t="str">
        <f>IF($C$8&gt;=A725,$E$1&amp;" "&amp;A725,"")</f>
        <v/>
      </c>
      <c r="J725" s="8"/>
      <c r="M725" s="1"/>
      <c r="N725" s="1"/>
      <c r="O725" s="1"/>
      <c r="P725" s="9"/>
      <c r="Q725" s="9"/>
      <c r="R725" s="8"/>
      <c r="S725" s="8"/>
      <c r="T725" s="1"/>
    </row>
    <row r="726" spans="1:20" x14ac:dyDescent="0.2">
      <c r="A726" s="14">
        <f t="shared" si="11"/>
        <v>714</v>
      </c>
      <c r="E726" s="12" t="str">
        <f>IF($C$8&gt;=A726,$E$1&amp;" "&amp;A726,"")</f>
        <v/>
      </c>
      <c r="J726" s="8"/>
      <c r="M726" s="1"/>
      <c r="N726" s="1"/>
      <c r="O726" s="1"/>
      <c r="P726" s="9"/>
      <c r="Q726" s="9"/>
      <c r="R726" s="8"/>
      <c r="S726" s="8"/>
      <c r="T726" s="1"/>
    </row>
    <row r="727" spans="1:20" x14ac:dyDescent="0.2">
      <c r="A727" s="14">
        <f t="shared" si="11"/>
        <v>715</v>
      </c>
      <c r="E727" s="12" t="str">
        <f>IF($C$8&gt;=A727,$E$1&amp;" "&amp;A727,"")</f>
        <v/>
      </c>
      <c r="J727" s="8"/>
      <c r="M727" s="1"/>
      <c r="N727" s="1"/>
      <c r="O727" s="1"/>
      <c r="P727" s="9"/>
      <c r="Q727" s="9"/>
      <c r="R727" s="8"/>
      <c r="S727" s="8"/>
      <c r="T727" s="1"/>
    </row>
    <row r="728" spans="1:20" x14ac:dyDescent="0.2">
      <c r="A728" s="14">
        <f t="shared" si="11"/>
        <v>716</v>
      </c>
      <c r="E728" s="12" t="str">
        <f>IF($C$8&gt;=A728,$E$1&amp;" "&amp;A728,"")</f>
        <v/>
      </c>
      <c r="J728" s="8"/>
      <c r="M728" s="1"/>
      <c r="N728" s="1"/>
      <c r="O728" s="1"/>
      <c r="P728" s="9"/>
      <c r="Q728" s="9"/>
      <c r="R728" s="8"/>
      <c r="S728" s="8"/>
      <c r="T728" s="1"/>
    </row>
    <row r="729" spans="1:20" x14ac:dyDescent="0.2">
      <c r="A729" s="14">
        <f t="shared" si="11"/>
        <v>717</v>
      </c>
      <c r="E729" s="12" t="str">
        <f>IF($C$8&gt;=A729,$E$1&amp;" "&amp;A729,"")</f>
        <v/>
      </c>
      <c r="J729" s="8"/>
      <c r="M729" s="1"/>
      <c r="N729" s="1"/>
      <c r="O729" s="1"/>
      <c r="P729" s="9"/>
      <c r="Q729" s="9"/>
      <c r="R729" s="8"/>
      <c r="S729" s="8"/>
      <c r="T729" s="1"/>
    </row>
    <row r="730" spans="1:20" x14ac:dyDescent="0.2">
      <c r="A730" s="14">
        <f t="shared" si="11"/>
        <v>718</v>
      </c>
      <c r="E730" s="12" t="str">
        <f>IF($C$8&gt;=A730,$E$1&amp;" "&amp;A730,"")</f>
        <v/>
      </c>
      <c r="J730" s="8"/>
      <c r="M730" s="1"/>
      <c r="N730" s="1"/>
      <c r="O730" s="1"/>
      <c r="P730" s="9"/>
      <c r="Q730" s="9"/>
      <c r="R730" s="8"/>
      <c r="S730" s="8"/>
      <c r="T730" s="1"/>
    </row>
    <row r="731" spans="1:20" x14ac:dyDescent="0.2">
      <c r="A731" s="14">
        <f t="shared" si="11"/>
        <v>719</v>
      </c>
      <c r="E731" s="12" t="str">
        <f>IF($C$8&gt;=A731,$E$1&amp;" "&amp;A731,"")</f>
        <v/>
      </c>
      <c r="J731" s="8"/>
      <c r="M731" s="1"/>
      <c r="N731" s="1"/>
      <c r="O731" s="1"/>
      <c r="P731" s="9"/>
      <c r="Q731" s="9"/>
      <c r="R731" s="8"/>
      <c r="S731" s="8"/>
      <c r="T731" s="1"/>
    </row>
    <row r="732" spans="1:20" x14ac:dyDescent="0.2">
      <c r="A732" s="14">
        <f t="shared" si="11"/>
        <v>720</v>
      </c>
      <c r="E732" s="12" t="str">
        <f>IF($C$8&gt;=A732,$E$1&amp;" "&amp;A732,"")</f>
        <v/>
      </c>
      <c r="J732" s="8"/>
      <c r="M732" s="1"/>
      <c r="N732" s="1"/>
      <c r="O732" s="1"/>
      <c r="P732" s="9"/>
      <c r="Q732" s="9"/>
      <c r="R732" s="8"/>
      <c r="S732" s="8"/>
      <c r="T732" s="1"/>
    </row>
    <row r="733" spans="1:20" x14ac:dyDescent="0.2">
      <c r="A733" s="14">
        <f t="shared" si="11"/>
        <v>721</v>
      </c>
      <c r="E733" s="12" t="str">
        <f>IF($C$8&gt;=A733,$E$1&amp;" "&amp;A733,"")</f>
        <v/>
      </c>
      <c r="J733" s="8"/>
      <c r="M733" s="1"/>
      <c r="N733" s="1"/>
      <c r="O733" s="1"/>
      <c r="P733" s="9"/>
      <c r="Q733" s="9"/>
      <c r="R733" s="8"/>
      <c r="S733" s="8"/>
      <c r="T733" s="1"/>
    </row>
    <row r="734" spans="1:20" x14ac:dyDescent="0.2">
      <c r="A734" s="14">
        <f t="shared" si="11"/>
        <v>722</v>
      </c>
      <c r="E734" s="12" t="str">
        <f>IF($C$8&gt;=A734,$E$1&amp;" "&amp;A734,"")</f>
        <v/>
      </c>
      <c r="J734" s="8"/>
      <c r="M734" s="1"/>
      <c r="N734" s="1"/>
      <c r="O734" s="1"/>
      <c r="P734" s="9"/>
      <c r="Q734" s="9"/>
      <c r="R734" s="8"/>
      <c r="S734" s="8"/>
      <c r="T734" s="1"/>
    </row>
    <row r="735" spans="1:20" x14ac:dyDescent="0.2">
      <c r="A735" s="14">
        <f t="shared" si="11"/>
        <v>723</v>
      </c>
      <c r="E735" s="12" t="str">
        <f>IF($C$8&gt;=A735,$E$1&amp;" "&amp;A735,"")</f>
        <v/>
      </c>
      <c r="J735" s="8"/>
      <c r="M735" s="1"/>
      <c r="N735" s="1"/>
      <c r="O735" s="1"/>
      <c r="P735" s="9"/>
      <c r="Q735" s="9"/>
      <c r="R735" s="8"/>
      <c r="S735" s="8"/>
      <c r="T735" s="1"/>
    </row>
    <row r="736" spans="1:20" x14ac:dyDescent="0.2">
      <c r="A736" s="14">
        <f t="shared" si="11"/>
        <v>724</v>
      </c>
      <c r="E736" s="12" t="str">
        <f>IF($C$8&gt;=A736,$E$1&amp;" "&amp;A736,"")</f>
        <v/>
      </c>
      <c r="J736" s="8"/>
      <c r="M736" s="1"/>
      <c r="N736" s="1"/>
      <c r="O736" s="1"/>
      <c r="P736" s="9"/>
      <c r="Q736" s="9"/>
      <c r="R736" s="8"/>
      <c r="S736" s="8"/>
      <c r="T736" s="1"/>
    </row>
    <row r="737" spans="1:20" x14ac:dyDescent="0.2">
      <c r="A737" s="14">
        <f t="shared" si="11"/>
        <v>725</v>
      </c>
      <c r="E737" s="12" t="str">
        <f>IF($C$8&gt;=A737,$E$1&amp;" "&amp;A737,"")</f>
        <v/>
      </c>
      <c r="J737" s="8"/>
      <c r="M737" s="1"/>
      <c r="N737" s="1"/>
      <c r="O737" s="1"/>
      <c r="P737" s="9"/>
      <c r="Q737" s="9"/>
      <c r="R737" s="8"/>
      <c r="S737" s="8"/>
      <c r="T737" s="1"/>
    </row>
    <row r="738" spans="1:20" x14ac:dyDescent="0.2">
      <c r="A738" s="14">
        <f t="shared" si="11"/>
        <v>726</v>
      </c>
      <c r="E738" s="12" t="str">
        <f>IF($C$8&gt;=A738,$E$1&amp;" "&amp;A738,"")</f>
        <v/>
      </c>
      <c r="J738" s="8"/>
      <c r="M738" s="1"/>
      <c r="N738" s="1"/>
      <c r="O738" s="1"/>
      <c r="P738" s="9"/>
      <c r="Q738" s="9"/>
      <c r="R738" s="8"/>
      <c r="S738" s="8"/>
      <c r="T738" s="1"/>
    </row>
    <row r="739" spans="1:20" x14ac:dyDescent="0.2">
      <c r="A739" s="14">
        <f t="shared" si="11"/>
        <v>727</v>
      </c>
      <c r="E739" s="12" t="str">
        <f>IF($C$8&gt;=A739,$E$1&amp;" "&amp;A739,"")</f>
        <v/>
      </c>
      <c r="J739" s="8"/>
      <c r="M739" s="1"/>
      <c r="N739" s="1"/>
      <c r="O739" s="1"/>
      <c r="P739" s="9"/>
      <c r="Q739" s="9"/>
      <c r="R739" s="8"/>
      <c r="S739" s="8"/>
      <c r="T739" s="1"/>
    </row>
    <row r="740" spans="1:20" x14ac:dyDescent="0.2">
      <c r="A740" s="14">
        <f t="shared" si="11"/>
        <v>728</v>
      </c>
      <c r="E740" s="12" t="str">
        <f>IF($C$8&gt;=A740,$E$1&amp;" "&amp;A740,"")</f>
        <v/>
      </c>
      <c r="J740" s="8"/>
      <c r="M740" s="1"/>
      <c r="N740" s="1"/>
      <c r="O740" s="1"/>
      <c r="P740" s="9"/>
      <c r="Q740" s="9"/>
      <c r="R740" s="8"/>
      <c r="S740" s="8"/>
      <c r="T740" s="1"/>
    </row>
    <row r="741" spans="1:20" x14ac:dyDescent="0.2">
      <c r="A741" s="14">
        <f t="shared" si="11"/>
        <v>729</v>
      </c>
      <c r="E741" s="12" t="str">
        <f>IF($C$8&gt;=A741,$E$1&amp;" "&amp;A741,"")</f>
        <v/>
      </c>
      <c r="J741" s="8"/>
      <c r="M741" s="1"/>
      <c r="N741" s="1"/>
      <c r="O741" s="1"/>
      <c r="P741" s="9"/>
      <c r="Q741" s="9"/>
      <c r="R741" s="8"/>
      <c r="S741" s="8"/>
      <c r="T741" s="1"/>
    </row>
    <row r="742" spans="1:20" x14ac:dyDescent="0.2">
      <c r="A742" s="14">
        <f t="shared" si="11"/>
        <v>730</v>
      </c>
      <c r="E742" s="12" t="str">
        <f>IF($C$8&gt;=A742,$E$1&amp;" "&amp;A742,"")</f>
        <v/>
      </c>
      <c r="J742" s="8"/>
      <c r="M742" s="1"/>
      <c r="N742" s="1"/>
      <c r="O742" s="1"/>
      <c r="P742" s="9"/>
      <c r="Q742" s="9"/>
      <c r="R742" s="8"/>
      <c r="S742" s="8"/>
      <c r="T742" s="1"/>
    </row>
    <row r="743" spans="1:20" x14ac:dyDescent="0.2">
      <c r="A743" s="14">
        <f t="shared" si="11"/>
        <v>731</v>
      </c>
      <c r="E743" s="12" t="str">
        <f>IF($C$8&gt;=A743,$E$1&amp;" "&amp;A743,"")</f>
        <v/>
      </c>
      <c r="J743" s="8"/>
      <c r="M743" s="1"/>
      <c r="N743" s="1"/>
      <c r="O743" s="1"/>
      <c r="P743" s="9"/>
      <c r="Q743" s="9"/>
      <c r="R743" s="8"/>
      <c r="S743" s="8"/>
      <c r="T743" s="1"/>
    </row>
    <row r="744" spans="1:20" x14ac:dyDescent="0.2">
      <c r="A744" s="14">
        <f t="shared" si="11"/>
        <v>732</v>
      </c>
      <c r="E744" s="12" t="str">
        <f>IF($C$8&gt;=A744,$E$1&amp;" "&amp;A744,"")</f>
        <v/>
      </c>
      <c r="J744" s="8"/>
      <c r="M744" s="1"/>
      <c r="N744" s="1"/>
      <c r="O744" s="1"/>
      <c r="P744" s="9"/>
      <c r="Q744" s="9"/>
      <c r="R744" s="8"/>
      <c r="S744" s="8"/>
      <c r="T744" s="1"/>
    </row>
    <row r="745" spans="1:20" x14ac:dyDescent="0.2">
      <c r="A745" s="14">
        <f t="shared" si="11"/>
        <v>733</v>
      </c>
      <c r="E745" s="12" t="str">
        <f>IF($C$8&gt;=A745,$E$1&amp;" "&amp;A745,"")</f>
        <v/>
      </c>
      <c r="J745" s="8"/>
      <c r="M745" s="1"/>
      <c r="N745" s="1"/>
      <c r="O745" s="1"/>
      <c r="P745" s="9"/>
      <c r="Q745" s="9"/>
      <c r="R745" s="8"/>
      <c r="S745" s="8"/>
      <c r="T745" s="1"/>
    </row>
    <row r="746" spans="1:20" x14ac:dyDescent="0.2">
      <c r="A746" s="14">
        <f t="shared" si="11"/>
        <v>734</v>
      </c>
      <c r="E746" s="12" t="str">
        <f>IF($C$8&gt;=A746,$E$1&amp;" "&amp;A746,"")</f>
        <v/>
      </c>
      <c r="J746" s="8"/>
      <c r="M746" s="1"/>
      <c r="N746" s="1"/>
      <c r="O746" s="1"/>
      <c r="P746" s="9"/>
      <c r="Q746" s="9"/>
      <c r="R746" s="8"/>
      <c r="S746" s="8"/>
      <c r="T746" s="1"/>
    </row>
    <row r="747" spans="1:20" x14ac:dyDescent="0.2">
      <c r="A747" s="14">
        <f t="shared" si="11"/>
        <v>735</v>
      </c>
      <c r="E747" s="12" t="str">
        <f>IF($C$8&gt;=A747,$E$1&amp;" "&amp;A747,"")</f>
        <v/>
      </c>
      <c r="J747" s="8"/>
      <c r="M747" s="1"/>
      <c r="N747" s="1"/>
      <c r="O747" s="1"/>
      <c r="P747" s="9"/>
      <c r="Q747" s="9"/>
      <c r="R747" s="8"/>
      <c r="S747" s="8"/>
      <c r="T747" s="1"/>
    </row>
    <row r="748" spans="1:20" x14ac:dyDescent="0.2">
      <c r="A748" s="14">
        <f t="shared" si="11"/>
        <v>736</v>
      </c>
      <c r="E748" s="12" t="str">
        <f>IF($C$8&gt;=A748,$E$1&amp;" "&amp;A748,"")</f>
        <v/>
      </c>
      <c r="J748" s="8"/>
      <c r="M748" s="1"/>
      <c r="N748" s="1"/>
      <c r="O748" s="1"/>
      <c r="P748" s="9"/>
      <c r="Q748" s="9"/>
      <c r="R748" s="8"/>
      <c r="S748" s="8"/>
      <c r="T748" s="1"/>
    </row>
    <row r="749" spans="1:20" x14ac:dyDescent="0.2">
      <c r="A749" s="14">
        <f t="shared" si="11"/>
        <v>737</v>
      </c>
      <c r="E749" s="12" t="str">
        <f>IF($C$8&gt;=A749,$E$1&amp;" "&amp;A749,"")</f>
        <v/>
      </c>
      <c r="J749" s="8"/>
      <c r="M749" s="1"/>
      <c r="N749" s="1"/>
      <c r="O749" s="1"/>
      <c r="P749" s="9"/>
      <c r="Q749" s="9"/>
      <c r="R749" s="8"/>
      <c r="S749" s="8"/>
      <c r="T749" s="1"/>
    </row>
    <row r="750" spans="1:20" x14ac:dyDescent="0.2">
      <c r="A750" s="14">
        <f t="shared" si="11"/>
        <v>738</v>
      </c>
      <c r="E750" s="12" t="str">
        <f>IF($C$8&gt;=A750,$E$1&amp;" "&amp;A750,"")</f>
        <v/>
      </c>
      <c r="J750" s="8"/>
      <c r="M750" s="1"/>
      <c r="N750" s="1"/>
      <c r="O750" s="1"/>
      <c r="P750" s="9"/>
      <c r="Q750" s="9"/>
      <c r="R750" s="8"/>
      <c r="S750" s="8"/>
      <c r="T750" s="1"/>
    </row>
    <row r="751" spans="1:20" x14ac:dyDescent="0.2">
      <c r="A751" s="14">
        <f t="shared" si="11"/>
        <v>739</v>
      </c>
      <c r="E751" s="12" t="str">
        <f>IF($C$8&gt;=A751,$E$1&amp;" "&amp;A751,"")</f>
        <v/>
      </c>
      <c r="J751" s="8"/>
      <c r="M751" s="1"/>
      <c r="N751" s="1"/>
      <c r="O751" s="1"/>
      <c r="P751" s="9"/>
      <c r="Q751" s="9"/>
      <c r="R751" s="8"/>
      <c r="S751" s="8"/>
      <c r="T751" s="1"/>
    </row>
    <row r="752" spans="1:20" x14ac:dyDescent="0.2">
      <c r="A752" s="14">
        <f t="shared" si="11"/>
        <v>740</v>
      </c>
      <c r="E752" s="12" t="str">
        <f>IF($C$8&gt;=A752,$E$1&amp;" "&amp;A752,"")</f>
        <v/>
      </c>
      <c r="J752" s="8"/>
      <c r="M752" s="1"/>
      <c r="N752" s="1"/>
      <c r="O752" s="1"/>
      <c r="P752" s="9"/>
      <c r="Q752" s="9"/>
      <c r="R752" s="8"/>
      <c r="S752" s="8"/>
      <c r="T752" s="1"/>
    </row>
    <row r="753" spans="1:20" x14ac:dyDescent="0.2">
      <c r="A753" s="14">
        <f t="shared" si="11"/>
        <v>741</v>
      </c>
      <c r="E753" s="12" t="str">
        <f>IF($C$8&gt;=A753,$E$1&amp;" "&amp;A753,"")</f>
        <v/>
      </c>
      <c r="J753" s="8"/>
      <c r="M753" s="1"/>
      <c r="N753" s="1"/>
      <c r="O753" s="1"/>
      <c r="P753" s="9"/>
      <c r="Q753" s="9"/>
      <c r="R753" s="8"/>
      <c r="S753" s="8"/>
      <c r="T753" s="1"/>
    </row>
    <row r="754" spans="1:20" x14ac:dyDescent="0.2">
      <c r="A754" s="14">
        <f t="shared" si="11"/>
        <v>742</v>
      </c>
      <c r="E754" s="12" t="str">
        <f>IF($C$8&gt;=A754,$E$1&amp;" "&amp;A754,"")</f>
        <v/>
      </c>
      <c r="J754" s="8"/>
      <c r="M754" s="1"/>
      <c r="N754" s="1"/>
      <c r="O754" s="1"/>
      <c r="P754" s="9"/>
      <c r="Q754" s="9"/>
      <c r="R754" s="8"/>
      <c r="S754" s="8"/>
      <c r="T754" s="1"/>
    </row>
    <row r="755" spans="1:20" x14ac:dyDescent="0.2">
      <c r="A755" s="14">
        <f t="shared" si="11"/>
        <v>743</v>
      </c>
      <c r="E755" s="12" t="str">
        <f>IF($C$8&gt;=A755,$E$1&amp;" "&amp;A755,"")</f>
        <v/>
      </c>
      <c r="J755" s="8"/>
      <c r="M755" s="1"/>
      <c r="N755" s="1"/>
      <c r="O755" s="1"/>
      <c r="P755" s="9"/>
      <c r="Q755" s="9"/>
      <c r="R755" s="8"/>
      <c r="S755" s="8"/>
      <c r="T755" s="1"/>
    </row>
    <row r="756" spans="1:20" x14ac:dyDescent="0.2">
      <c r="A756" s="14">
        <f t="shared" si="11"/>
        <v>744</v>
      </c>
      <c r="E756" s="12" t="str">
        <f>IF($C$8&gt;=A756,$E$1&amp;" "&amp;A756,"")</f>
        <v/>
      </c>
      <c r="J756" s="8"/>
      <c r="M756" s="1"/>
      <c r="N756" s="1"/>
      <c r="O756" s="1"/>
      <c r="P756" s="9"/>
      <c r="Q756" s="9"/>
      <c r="R756" s="8"/>
      <c r="S756" s="8"/>
      <c r="T756" s="1"/>
    </row>
    <row r="757" spans="1:20" x14ac:dyDescent="0.2">
      <c r="A757" s="14">
        <f t="shared" si="11"/>
        <v>745</v>
      </c>
      <c r="E757" s="12" t="str">
        <f>IF($C$8&gt;=A757,$E$1&amp;" "&amp;A757,"")</f>
        <v/>
      </c>
      <c r="J757" s="8"/>
      <c r="M757" s="1"/>
      <c r="N757" s="1"/>
      <c r="O757" s="1"/>
      <c r="P757" s="9"/>
      <c r="Q757" s="9"/>
      <c r="R757" s="8"/>
      <c r="S757" s="8"/>
      <c r="T757" s="1"/>
    </row>
    <row r="758" spans="1:20" x14ac:dyDescent="0.2">
      <c r="A758" s="14">
        <f t="shared" si="11"/>
        <v>746</v>
      </c>
      <c r="E758" s="12" t="str">
        <f>IF($C$8&gt;=A758,$E$1&amp;" "&amp;A758,"")</f>
        <v/>
      </c>
      <c r="J758" s="8"/>
      <c r="M758" s="1"/>
      <c r="N758" s="1"/>
      <c r="O758" s="1"/>
      <c r="P758" s="9"/>
      <c r="Q758" s="9"/>
      <c r="R758" s="8"/>
      <c r="S758" s="8"/>
      <c r="T758" s="1"/>
    </row>
    <row r="759" spans="1:20" x14ac:dyDescent="0.2">
      <c r="A759" s="14">
        <f t="shared" si="11"/>
        <v>747</v>
      </c>
      <c r="E759" s="12" t="str">
        <f>IF($C$8&gt;=A759,$E$1&amp;" "&amp;A759,"")</f>
        <v/>
      </c>
      <c r="J759" s="8"/>
      <c r="M759" s="1"/>
      <c r="N759" s="1"/>
      <c r="O759" s="1"/>
      <c r="P759" s="9"/>
      <c r="Q759" s="9"/>
      <c r="R759" s="8"/>
      <c r="S759" s="8"/>
      <c r="T759" s="1"/>
    </row>
    <row r="760" spans="1:20" x14ac:dyDescent="0.2">
      <c r="A760" s="14">
        <f t="shared" si="11"/>
        <v>748</v>
      </c>
      <c r="E760" s="12" t="str">
        <f>IF($C$8&gt;=A760,$E$1&amp;" "&amp;A760,"")</f>
        <v/>
      </c>
      <c r="J760" s="8"/>
      <c r="M760" s="1"/>
      <c r="N760" s="1"/>
      <c r="O760" s="1"/>
      <c r="P760" s="9"/>
      <c r="Q760" s="9"/>
      <c r="R760" s="8"/>
      <c r="S760" s="8"/>
      <c r="T760" s="1"/>
    </row>
    <row r="761" spans="1:20" x14ac:dyDescent="0.2">
      <c r="A761" s="14">
        <f t="shared" si="11"/>
        <v>749</v>
      </c>
      <c r="E761" s="12" t="str">
        <f>IF($C$8&gt;=A761,$E$1&amp;" "&amp;A761,"")</f>
        <v/>
      </c>
      <c r="J761" s="8"/>
      <c r="M761" s="1"/>
      <c r="N761" s="1"/>
      <c r="O761" s="1"/>
      <c r="P761" s="9"/>
      <c r="Q761" s="9"/>
      <c r="R761" s="8"/>
      <c r="S761" s="8"/>
      <c r="T761" s="1"/>
    </row>
    <row r="762" spans="1:20" x14ac:dyDescent="0.2">
      <c r="A762" s="14">
        <f t="shared" si="11"/>
        <v>750</v>
      </c>
      <c r="E762" s="12" t="str">
        <f>IF($C$8&gt;=A762,$E$1&amp;" "&amp;A762,"")</f>
        <v/>
      </c>
      <c r="J762" s="8"/>
      <c r="M762" s="1"/>
      <c r="N762" s="1"/>
      <c r="O762" s="1"/>
      <c r="P762" s="9"/>
      <c r="Q762" s="9"/>
      <c r="R762" s="8"/>
      <c r="S762" s="8"/>
      <c r="T762" s="1"/>
    </row>
    <row r="763" spans="1:20" x14ac:dyDescent="0.2">
      <c r="A763" s="14">
        <f t="shared" si="11"/>
        <v>751</v>
      </c>
      <c r="E763" s="12" t="str">
        <f>IF($C$8&gt;=A763,$E$1&amp;" "&amp;A763,"")</f>
        <v/>
      </c>
      <c r="J763" s="8"/>
      <c r="M763" s="1"/>
      <c r="N763" s="1"/>
      <c r="O763" s="1"/>
      <c r="P763" s="9"/>
      <c r="Q763" s="9"/>
      <c r="R763" s="8"/>
      <c r="S763" s="8"/>
      <c r="T763" s="1"/>
    </row>
    <row r="764" spans="1:20" x14ac:dyDescent="0.2">
      <c r="A764" s="14">
        <f t="shared" si="11"/>
        <v>752</v>
      </c>
      <c r="E764" s="12" t="str">
        <f>IF($C$8&gt;=A764,$E$1&amp;" "&amp;A764,"")</f>
        <v/>
      </c>
      <c r="J764" s="8"/>
      <c r="M764" s="1"/>
      <c r="N764" s="1"/>
      <c r="O764" s="1"/>
      <c r="P764" s="9"/>
      <c r="Q764" s="9"/>
      <c r="R764" s="8"/>
      <c r="S764" s="8"/>
      <c r="T764" s="1"/>
    </row>
    <row r="765" spans="1:20" x14ac:dyDescent="0.2">
      <c r="A765" s="14">
        <f t="shared" si="11"/>
        <v>753</v>
      </c>
      <c r="E765" s="12" t="str">
        <f>IF($C$8&gt;=A765,$E$1&amp;" "&amp;A765,"")</f>
        <v/>
      </c>
      <c r="J765" s="8"/>
      <c r="M765" s="1"/>
      <c r="N765" s="1"/>
      <c r="O765" s="1"/>
      <c r="P765" s="9"/>
      <c r="Q765" s="9"/>
      <c r="R765" s="8"/>
      <c r="S765" s="8"/>
      <c r="T765" s="1"/>
    </row>
    <row r="766" spans="1:20" x14ac:dyDescent="0.2">
      <c r="A766" s="14">
        <f t="shared" si="11"/>
        <v>754</v>
      </c>
      <c r="E766" s="12" t="str">
        <f>IF($C$8&gt;=A766,$E$1&amp;" "&amp;A766,"")</f>
        <v/>
      </c>
      <c r="J766" s="8"/>
      <c r="M766" s="1"/>
      <c r="N766" s="1"/>
      <c r="O766" s="1"/>
      <c r="P766" s="9"/>
      <c r="Q766" s="9"/>
      <c r="R766" s="8"/>
      <c r="S766" s="8"/>
      <c r="T766" s="1"/>
    </row>
    <row r="767" spans="1:20" x14ac:dyDescent="0.2">
      <c r="A767" s="14">
        <f t="shared" si="11"/>
        <v>755</v>
      </c>
      <c r="E767" s="12" t="str">
        <f>IF($C$8&gt;=A767,$E$1&amp;" "&amp;A767,"")</f>
        <v/>
      </c>
      <c r="J767" s="8"/>
      <c r="M767" s="1"/>
      <c r="N767" s="1"/>
      <c r="O767" s="1"/>
      <c r="P767" s="9"/>
      <c r="Q767" s="9"/>
      <c r="R767" s="8"/>
      <c r="S767" s="8"/>
      <c r="T767" s="1"/>
    </row>
    <row r="768" spans="1:20" x14ac:dyDescent="0.2">
      <c r="A768" s="14">
        <f t="shared" si="11"/>
        <v>756</v>
      </c>
      <c r="E768" s="12" t="str">
        <f>IF($C$8&gt;=A768,$E$1&amp;" "&amp;A768,"")</f>
        <v/>
      </c>
      <c r="J768" s="8"/>
      <c r="M768" s="1"/>
      <c r="N768" s="1"/>
      <c r="O768" s="1"/>
      <c r="P768" s="9"/>
      <c r="Q768" s="9"/>
      <c r="R768" s="8"/>
      <c r="S768" s="8"/>
      <c r="T768" s="1"/>
    </row>
    <row r="769" spans="1:20" x14ac:dyDescent="0.2">
      <c r="A769" s="14">
        <f t="shared" si="11"/>
        <v>757</v>
      </c>
      <c r="E769" s="12" t="str">
        <f>IF($C$8&gt;=A769,$E$1&amp;" "&amp;A769,"")</f>
        <v/>
      </c>
      <c r="J769" s="8"/>
      <c r="M769" s="1"/>
      <c r="N769" s="1"/>
      <c r="O769" s="1"/>
      <c r="P769" s="9"/>
      <c r="Q769" s="9"/>
      <c r="R769" s="8"/>
      <c r="S769" s="8"/>
      <c r="T769" s="1"/>
    </row>
    <row r="770" spans="1:20" x14ac:dyDescent="0.2">
      <c r="A770" s="14">
        <f t="shared" si="11"/>
        <v>758</v>
      </c>
      <c r="E770" s="12" t="str">
        <f>IF($C$8&gt;=A770,$E$1&amp;" "&amp;A770,"")</f>
        <v/>
      </c>
      <c r="J770" s="8"/>
      <c r="M770" s="1"/>
      <c r="N770" s="1"/>
      <c r="O770" s="1"/>
      <c r="P770" s="9"/>
      <c r="Q770" s="9"/>
      <c r="R770" s="8"/>
      <c r="S770" s="8"/>
      <c r="T770" s="1"/>
    </row>
    <row r="771" spans="1:20" x14ac:dyDescent="0.2">
      <c r="A771" s="14">
        <f t="shared" si="11"/>
        <v>759</v>
      </c>
      <c r="E771" s="12" t="str">
        <f>IF($C$8&gt;=A771,$E$1&amp;" "&amp;A771,"")</f>
        <v/>
      </c>
      <c r="J771" s="8"/>
      <c r="M771" s="1"/>
      <c r="N771" s="1"/>
      <c r="O771" s="1"/>
      <c r="P771" s="9"/>
      <c r="Q771" s="9"/>
      <c r="R771" s="8"/>
      <c r="S771" s="8"/>
      <c r="T771" s="1"/>
    </row>
    <row r="772" spans="1:20" x14ac:dyDescent="0.2">
      <c r="A772" s="14">
        <f t="shared" si="11"/>
        <v>760</v>
      </c>
      <c r="E772" s="12" t="str">
        <f>IF($C$8&gt;=A772,$E$1&amp;" "&amp;A772,"")</f>
        <v/>
      </c>
      <c r="J772" s="8"/>
      <c r="M772" s="1"/>
      <c r="N772" s="1"/>
      <c r="O772" s="1"/>
      <c r="P772" s="9"/>
      <c r="Q772" s="9"/>
      <c r="R772" s="8"/>
      <c r="S772" s="8"/>
      <c r="T772" s="1"/>
    </row>
    <row r="773" spans="1:20" x14ac:dyDescent="0.2">
      <c r="A773" s="14">
        <f t="shared" si="11"/>
        <v>761</v>
      </c>
      <c r="E773" s="12" t="str">
        <f>IF($C$8&gt;=A773,$E$1&amp;" "&amp;A773,"")</f>
        <v/>
      </c>
      <c r="J773" s="8"/>
      <c r="M773" s="1"/>
      <c r="N773" s="1"/>
      <c r="O773" s="1"/>
      <c r="P773" s="9"/>
      <c r="Q773" s="9"/>
      <c r="R773" s="8"/>
      <c r="S773" s="8"/>
      <c r="T773" s="1"/>
    </row>
    <row r="774" spans="1:20" x14ac:dyDescent="0.2">
      <c r="A774" s="14">
        <f t="shared" si="11"/>
        <v>762</v>
      </c>
      <c r="E774" s="12" t="str">
        <f>IF($C$8&gt;=A774,$E$1&amp;" "&amp;A774,"")</f>
        <v/>
      </c>
      <c r="J774" s="8"/>
      <c r="M774" s="1"/>
      <c r="N774" s="1"/>
      <c r="O774" s="1"/>
      <c r="P774" s="9"/>
      <c r="Q774" s="9"/>
      <c r="R774" s="8"/>
      <c r="S774" s="8"/>
      <c r="T774" s="1"/>
    </row>
    <row r="775" spans="1:20" x14ac:dyDescent="0.2">
      <c r="A775" s="14">
        <f t="shared" si="11"/>
        <v>763</v>
      </c>
      <c r="E775" s="12" t="str">
        <f>IF($C$8&gt;=A775,$E$1&amp;" "&amp;A775,"")</f>
        <v/>
      </c>
      <c r="J775" s="8"/>
      <c r="M775" s="1"/>
      <c r="N775" s="1"/>
      <c r="O775" s="1"/>
      <c r="P775" s="9"/>
      <c r="Q775" s="9"/>
      <c r="R775" s="8"/>
      <c r="S775" s="8"/>
      <c r="T775" s="1"/>
    </row>
    <row r="776" spans="1:20" x14ac:dyDescent="0.2">
      <c r="A776" s="14">
        <f t="shared" si="11"/>
        <v>764</v>
      </c>
      <c r="E776" s="12" t="str">
        <f>IF($C$8&gt;=A776,$E$1&amp;" "&amp;A776,"")</f>
        <v/>
      </c>
      <c r="J776" s="8"/>
      <c r="M776" s="1"/>
      <c r="N776" s="1"/>
      <c r="O776" s="1"/>
      <c r="P776" s="9"/>
      <c r="Q776" s="9"/>
      <c r="R776" s="8"/>
      <c r="S776" s="8"/>
      <c r="T776" s="1"/>
    </row>
    <row r="777" spans="1:20" x14ac:dyDescent="0.2">
      <c r="A777" s="14">
        <f t="shared" si="11"/>
        <v>765</v>
      </c>
      <c r="E777" s="12" t="str">
        <f>IF($C$8&gt;=A777,$E$1&amp;" "&amp;A777,"")</f>
        <v/>
      </c>
      <c r="J777" s="8"/>
      <c r="M777" s="1"/>
      <c r="N777" s="1"/>
      <c r="O777" s="1"/>
      <c r="P777" s="9"/>
      <c r="Q777" s="9"/>
      <c r="R777" s="8"/>
      <c r="S777" s="8"/>
      <c r="T777" s="1"/>
    </row>
    <row r="778" spans="1:20" x14ac:dyDescent="0.2">
      <c r="A778" s="14">
        <f t="shared" si="11"/>
        <v>766</v>
      </c>
      <c r="E778" s="12" t="str">
        <f>IF($C$8&gt;=A778,$E$1&amp;" "&amp;A778,"")</f>
        <v/>
      </c>
      <c r="J778" s="8"/>
      <c r="M778" s="1"/>
      <c r="N778" s="1"/>
      <c r="O778" s="1"/>
      <c r="P778" s="9"/>
      <c r="Q778" s="9"/>
      <c r="R778" s="8"/>
      <c r="S778" s="8"/>
      <c r="T778" s="1"/>
    </row>
    <row r="779" spans="1:20" x14ac:dyDescent="0.2">
      <c r="A779" s="14">
        <f t="shared" si="11"/>
        <v>767</v>
      </c>
      <c r="E779" s="12" t="str">
        <f>IF($C$8&gt;=A779,$E$1&amp;" "&amp;A779,"")</f>
        <v/>
      </c>
      <c r="J779" s="8"/>
      <c r="M779" s="1"/>
      <c r="N779" s="1"/>
      <c r="O779" s="1"/>
      <c r="P779" s="9"/>
      <c r="Q779" s="9"/>
      <c r="R779" s="8"/>
      <c r="S779" s="8"/>
      <c r="T779" s="1"/>
    </row>
    <row r="780" spans="1:20" x14ac:dyDescent="0.2">
      <c r="A780" s="14">
        <f t="shared" si="11"/>
        <v>768</v>
      </c>
      <c r="E780" s="12" t="str">
        <f>IF($C$8&gt;=A780,$E$1&amp;" "&amp;A780,"")</f>
        <v/>
      </c>
      <c r="J780" s="8"/>
      <c r="M780" s="1"/>
      <c r="N780" s="1"/>
      <c r="O780" s="1"/>
      <c r="P780" s="9"/>
      <c r="Q780" s="9"/>
      <c r="R780" s="8"/>
      <c r="S780" s="8"/>
      <c r="T780" s="1"/>
    </row>
    <row r="781" spans="1:20" x14ac:dyDescent="0.2">
      <c r="A781" s="14">
        <f t="shared" si="11"/>
        <v>769</v>
      </c>
      <c r="E781" s="12" t="str">
        <f>IF($C$8&gt;=A781,$E$1&amp;" "&amp;A781,"")</f>
        <v/>
      </c>
      <c r="J781" s="8"/>
      <c r="M781" s="1"/>
      <c r="N781" s="1"/>
      <c r="O781" s="1"/>
      <c r="P781" s="9"/>
      <c r="Q781" s="9"/>
      <c r="R781" s="8"/>
      <c r="S781" s="8"/>
      <c r="T781" s="1"/>
    </row>
    <row r="782" spans="1:20" x14ac:dyDescent="0.2">
      <c r="A782" s="14">
        <f t="shared" si="11"/>
        <v>770</v>
      </c>
      <c r="E782" s="12" t="str">
        <f>IF($C$8&gt;=A782,$E$1&amp;" "&amp;A782,"")</f>
        <v/>
      </c>
      <c r="J782" s="8"/>
      <c r="M782" s="1"/>
      <c r="N782" s="1"/>
      <c r="O782" s="1"/>
      <c r="P782" s="9"/>
      <c r="Q782" s="9"/>
      <c r="R782" s="8"/>
      <c r="S782" s="8"/>
      <c r="T782" s="1"/>
    </row>
    <row r="783" spans="1:20" x14ac:dyDescent="0.2">
      <c r="A783" s="14">
        <f t="shared" ref="A783:A846" si="12">A782+1</f>
        <v>771</v>
      </c>
      <c r="E783" s="12" t="str">
        <f>IF($C$8&gt;=A783,$E$1&amp;" "&amp;A783,"")</f>
        <v/>
      </c>
      <c r="J783" s="8"/>
      <c r="M783" s="1"/>
      <c r="N783" s="1"/>
      <c r="O783" s="1"/>
      <c r="P783" s="9"/>
      <c r="Q783" s="9"/>
      <c r="R783" s="8"/>
      <c r="S783" s="8"/>
      <c r="T783" s="1"/>
    </row>
    <row r="784" spans="1:20" x14ac:dyDescent="0.2">
      <c r="A784" s="14">
        <f t="shared" si="12"/>
        <v>772</v>
      </c>
      <c r="E784" s="12" t="str">
        <f>IF($C$8&gt;=A784,$E$1&amp;" "&amp;A784,"")</f>
        <v/>
      </c>
      <c r="J784" s="8"/>
      <c r="M784" s="1"/>
      <c r="N784" s="1"/>
      <c r="O784" s="1"/>
      <c r="P784" s="9"/>
      <c r="Q784" s="9"/>
      <c r="R784" s="8"/>
      <c r="S784" s="8"/>
      <c r="T784" s="1"/>
    </row>
    <row r="785" spans="1:20" x14ac:dyDescent="0.2">
      <c r="A785" s="14">
        <f t="shared" si="12"/>
        <v>773</v>
      </c>
      <c r="E785" s="12" t="str">
        <f>IF($C$8&gt;=A785,$E$1&amp;" "&amp;A785,"")</f>
        <v/>
      </c>
      <c r="J785" s="8"/>
      <c r="M785" s="1"/>
      <c r="N785" s="1"/>
      <c r="O785" s="1"/>
      <c r="P785" s="9"/>
      <c r="Q785" s="9"/>
      <c r="R785" s="8"/>
      <c r="S785" s="8"/>
      <c r="T785" s="1"/>
    </row>
    <row r="786" spans="1:20" x14ac:dyDescent="0.2">
      <c r="A786" s="14">
        <f t="shared" si="12"/>
        <v>774</v>
      </c>
      <c r="E786" s="12" t="str">
        <f>IF($C$8&gt;=A786,$E$1&amp;" "&amp;A786,"")</f>
        <v/>
      </c>
      <c r="J786" s="8"/>
      <c r="M786" s="1"/>
      <c r="N786" s="1"/>
      <c r="O786" s="1"/>
      <c r="P786" s="9"/>
      <c r="Q786" s="9"/>
      <c r="R786" s="8"/>
      <c r="S786" s="8"/>
      <c r="T786" s="1"/>
    </row>
    <row r="787" spans="1:20" x14ac:dyDescent="0.2">
      <c r="A787" s="14">
        <f t="shared" si="12"/>
        <v>775</v>
      </c>
      <c r="E787" s="12" t="str">
        <f>IF($C$8&gt;=A787,$E$1&amp;" "&amp;A787,"")</f>
        <v/>
      </c>
      <c r="J787" s="8"/>
      <c r="M787" s="1"/>
      <c r="N787" s="1"/>
      <c r="O787" s="1"/>
      <c r="P787" s="9"/>
      <c r="Q787" s="9"/>
      <c r="R787" s="8"/>
      <c r="S787" s="8"/>
      <c r="T787" s="1"/>
    </row>
    <row r="788" spans="1:20" x14ac:dyDescent="0.2">
      <c r="A788" s="14">
        <f t="shared" si="12"/>
        <v>776</v>
      </c>
      <c r="E788" s="12" t="str">
        <f>IF($C$8&gt;=A788,$E$1&amp;" "&amp;A788,"")</f>
        <v/>
      </c>
      <c r="J788" s="8"/>
      <c r="M788" s="1"/>
      <c r="N788" s="1"/>
      <c r="O788" s="1"/>
      <c r="P788" s="9"/>
      <c r="Q788" s="9"/>
      <c r="R788" s="8"/>
      <c r="S788" s="8"/>
      <c r="T788" s="1"/>
    </row>
    <row r="789" spans="1:20" x14ac:dyDescent="0.2">
      <c r="A789" s="14">
        <f t="shared" si="12"/>
        <v>777</v>
      </c>
      <c r="E789" s="12" t="str">
        <f>IF($C$8&gt;=A789,$E$1&amp;" "&amp;A789,"")</f>
        <v/>
      </c>
      <c r="J789" s="8"/>
      <c r="M789" s="1"/>
      <c r="N789" s="1"/>
      <c r="O789" s="1"/>
      <c r="P789" s="9"/>
      <c r="Q789" s="9"/>
      <c r="R789" s="8"/>
      <c r="S789" s="8"/>
      <c r="T789" s="1"/>
    </row>
    <row r="790" spans="1:20" x14ac:dyDescent="0.2">
      <c r="A790" s="14">
        <f t="shared" si="12"/>
        <v>778</v>
      </c>
      <c r="E790" s="12" t="str">
        <f>IF($C$8&gt;=A790,$E$1&amp;" "&amp;A790,"")</f>
        <v/>
      </c>
      <c r="J790" s="8"/>
      <c r="M790" s="1"/>
      <c r="N790" s="1"/>
      <c r="O790" s="1"/>
      <c r="P790" s="9"/>
      <c r="Q790" s="9"/>
      <c r="R790" s="8"/>
      <c r="S790" s="8"/>
      <c r="T790" s="1"/>
    </row>
    <row r="791" spans="1:20" x14ac:dyDescent="0.2">
      <c r="A791" s="14">
        <f t="shared" si="12"/>
        <v>779</v>
      </c>
      <c r="E791" s="12" t="str">
        <f>IF($C$8&gt;=A791,$E$1&amp;" "&amp;A791,"")</f>
        <v/>
      </c>
      <c r="J791" s="8"/>
      <c r="M791" s="1"/>
      <c r="N791" s="1"/>
      <c r="O791" s="1"/>
      <c r="P791" s="9"/>
      <c r="Q791" s="9"/>
      <c r="R791" s="8"/>
      <c r="S791" s="8"/>
      <c r="T791" s="1"/>
    </row>
    <row r="792" spans="1:20" x14ac:dyDescent="0.2">
      <c r="A792" s="14">
        <f t="shared" si="12"/>
        <v>780</v>
      </c>
      <c r="E792" s="12" t="str">
        <f>IF($C$8&gt;=A792,$E$1&amp;" "&amp;A792,"")</f>
        <v/>
      </c>
      <c r="J792" s="8"/>
      <c r="M792" s="1"/>
      <c r="N792" s="1"/>
      <c r="O792" s="1"/>
      <c r="P792" s="9"/>
      <c r="Q792" s="9"/>
      <c r="R792" s="8"/>
      <c r="S792" s="8"/>
      <c r="T792" s="1"/>
    </row>
    <row r="793" spans="1:20" x14ac:dyDescent="0.2">
      <c r="A793" s="14">
        <f t="shared" si="12"/>
        <v>781</v>
      </c>
      <c r="E793" s="12" t="str">
        <f>IF($C$8&gt;=A793,$E$1&amp;" "&amp;A793,"")</f>
        <v/>
      </c>
      <c r="J793" s="8"/>
      <c r="M793" s="1"/>
      <c r="N793" s="1"/>
      <c r="O793" s="1"/>
      <c r="P793" s="9"/>
      <c r="Q793" s="9"/>
      <c r="R793" s="8"/>
      <c r="S793" s="8"/>
      <c r="T793" s="1"/>
    </row>
    <row r="794" spans="1:20" x14ac:dyDescent="0.2">
      <c r="A794" s="14">
        <f t="shared" si="12"/>
        <v>782</v>
      </c>
      <c r="E794" s="12" t="str">
        <f>IF($C$8&gt;=A794,$E$1&amp;" "&amp;A794,"")</f>
        <v/>
      </c>
      <c r="J794" s="8"/>
      <c r="M794" s="1"/>
      <c r="N794" s="1"/>
      <c r="O794" s="1"/>
      <c r="P794" s="9"/>
      <c r="Q794" s="9"/>
      <c r="R794" s="8"/>
      <c r="S794" s="8"/>
      <c r="T794" s="1"/>
    </row>
    <row r="795" spans="1:20" x14ac:dyDescent="0.2">
      <c r="A795" s="14">
        <f t="shared" si="12"/>
        <v>783</v>
      </c>
      <c r="E795" s="12" t="str">
        <f>IF($C$8&gt;=A795,$E$1&amp;" "&amp;A795,"")</f>
        <v/>
      </c>
      <c r="J795" s="8"/>
      <c r="M795" s="1"/>
      <c r="N795" s="1"/>
      <c r="O795" s="1"/>
      <c r="P795" s="9"/>
      <c r="Q795" s="9"/>
      <c r="R795" s="8"/>
      <c r="S795" s="8"/>
      <c r="T795" s="1"/>
    </row>
    <row r="796" spans="1:20" x14ac:dyDescent="0.2">
      <c r="A796" s="14">
        <f t="shared" si="12"/>
        <v>784</v>
      </c>
      <c r="E796" s="12" t="str">
        <f>IF($C$8&gt;=A796,$E$1&amp;" "&amp;A796,"")</f>
        <v/>
      </c>
      <c r="J796" s="8"/>
      <c r="M796" s="1"/>
      <c r="N796" s="1"/>
      <c r="O796" s="1"/>
      <c r="P796" s="9"/>
      <c r="Q796" s="9"/>
      <c r="R796" s="8"/>
      <c r="S796" s="8"/>
      <c r="T796" s="1"/>
    </row>
    <row r="797" spans="1:20" x14ac:dyDescent="0.2">
      <c r="A797" s="14">
        <f t="shared" si="12"/>
        <v>785</v>
      </c>
      <c r="E797" s="12" t="str">
        <f>IF($C$8&gt;=A797,$E$1&amp;" "&amp;A797,"")</f>
        <v/>
      </c>
      <c r="J797" s="8"/>
      <c r="M797" s="1"/>
      <c r="N797" s="1"/>
      <c r="O797" s="1"/>
      <c r="P797" s="9"/>
      <c r="Q797" s="9"/>
      <c r="R797" s="8"/>
      <c r="S797" s="8"/>
      <c r="T797" s="1"/>
    </row>
    <row r="798" spans="1:20" x14ac:dyDescent="0.2">
      <c r="A798" s="14">
        <f t="shared" si="12"/>
        <v>786</v>
      </c>
      <c r="E798" s="12" t="str">
        <f>IF($C$8&gt;=A798,$E$1&amp;" "&amp;A798,"")</f>
        <v/>
      </c>
      <c r="J798" s="8"/>
      <c r="M798" s="1"/>
      <c r="N798" s="1"/>
      <c r="O798" s="1"/>
      <c r="P798" s="9"/>
      <c r="Q798" s="9"/>
      <c r="R798" s="8"/>
      <c r="S798" s="8"/>
      <c r="T798" s="1"/>
    </row>
    <row r="799" spans="1:20" x14ac:dyDescent="0.2">
      <c r="A799" s="14">
        <f t="shared" si="12"/>
        <v>787</v>
      </c>
      <c r="E799" s="12" t="str">
        <f>IF($C$8&gt;=A799,$E$1&amp;" "&amp;A799,"")</f>
        <v/>
      </c>
      <c r="J799" s="8"/>
      <c r="M799" s="1"/>
      <c r="N799" s="1"/>
      <c r="O799" s="1"/>
      <c r="P799" s="9"/>
      <c r="Q799" s="9"/>
      <c r="R799" s="8"/>
      <c r="S799" s="8"/>
      <c r="T799" s="1"/>
    </row>
    <row r="800" spans="1:20" x14ac:dyDescent="0.2">
      <c r="A800" s="14">
        <f t="shared" si="12"/>
        <v>788</v>
      </c>
      <c r="E800" s="12" t="str">
        <f>IF($C$8&gt;=A800,$E$1&amp;" "&amp;A800,"")</f>
        <v/>
      </c>
      <c r="J800" s="8"/>
      <c r="M800" s="1"/>
      <c r="N800" s="1"/>
      <c r="O800" s="1"/>
      <c r="P800" s="9"/>
      <c r="Q800" s="9"/>
      <c r="R800" s="8"/>
      <c r="S800" s="8"/>
      <c r="T800" s="1"/>
    </row>
    <row r="801" spans="1:20" x14ac:dyDescent="0.2">
      <c r="A801" s="14">
        <f t="shared" si="12"/>
        <v>789</v>
      </c>
      <c r="E801" s="12" t="str">
        <f>IF($C$8&gt;=A801,$E$1&amp;" "&amp;A801,"")</f>
        <v/>
      </c>
      <c r="J801" s="8"/>
      <c r="M801" s="1"/>
      <c r="N801" s="1"/>
      <c r="O801" s="1"/>
      <c r="P801" s="9"/>
      <c r="Q801" s="9"/>
      <c r="R801" s="8"/>
      <c r="S801" s="8"/>
      <c r="T801" s="1"/>
    </row>
    <row r="802" spans="1:20" x14ac:dyDescent="0.2">
      <c r="A802" s="14">
        <f t="shared" si="12"/>
        <v>790</v>
      </c>
      <c r="E802" s="12" t="str">
        <f>IF($C$8&gt;=A802,$E$1&amp;" "&amp;A802,"")</f>
        <v/>
      </c>
      <c r="J802" s="8"/>
      <c r="M802" s="1"/>
      <c r="N802" s="1"/>
      <c r="O802" s="1"/>
      <c r="P802" s="9"/>
      <c r="Q802" s="9"/>
      <c r="R802" s="8"/>
      <c r="S802" s="8"/>
      <c r="T802" s="1"/>
    </row>
    <row r="803" spans="1:20" x14ac:dyDescent="0.2">
      <c r="A803" s="14">
        <f t="shared" si="12"/>
        <v>791</v>
      </c>
      <c r="E803" s="12" t="str">
        <f>IF($C$8&gt;=A803,$E$1&amp;" "&amp;A803,"")</f>
        <v/>
      </c>
      <c r="J803" s="8"/>
      <c r="M803" s="1"/>
      <c r="N803" s="1"/>
      <c r="O803" s="1"/>
      <c r="P803" s="9"/>
      <c r="Q803" s="9"/>
      <c r="R803" s="8"/>
      <c r="S803" s="8"/>
      <c r="T803" s="1"/>
    </row>
    <row r="804" spans="1:20" x14ac:dyDescent="0.2">
      <c r="A804" s="14">
        <f t="shared" si="12"/>
        <v>792</v>
      </c>
      <c r="E804" s="12" t="str">
        <f>IF($C$8&gt;=A804,$E$1&amp;" "&amp;A804,"")</f>
        <v/>
      </c>
      <c r="J804" s="8"/>
      <c r="M804" s="1"/>
      <c r="N804" s="1"/>
      <c r="O804" s="1"/>
      <c r="P804" s="9"/>
      <c r="Q804" s="9"/>
      <c r="R804" s="8"/>
      <c r="S804" s="8"/>
      <c r="T804" s="1"/>
    </row>
    <row r="805" spans="1:20" x14ac:dyDescent="0.2">
      <c r="A805" s="14">
        <f t="shared" si="12"/>
        <v>793</v>
      </c>
      <c r="E805" s="12" t="str">
        <f>IF($C$8&gt;=A805,$E$1&amp;" "&amp;A805,"")</f>
        <v/>
      </c>
      <c r="J805" s="8"/>
      <c r="M805" s="1"/>
      <c r="N805" s="1"/>
      <c r="O805" s="1"/>
      <c r="P805" s="9"/>
      <c r="Q805" s="9"/>
      <c r="R805" s="8"/>
      <c r="S805" s="8"/>
      <c r="T805" s="1"/>
    </row>
    <row r="806" spans="1:20" x14ac:dyDescent="0.2">
      <c r="A806" s="14">
        <f t="shared" si="12"/>
        <v>794</v>
      </c>
      <c r="E806" s="12" t="str">
        <f>IF($C$8&gt;=A806,$E$1&amp;" "&amp;A806,"")</f>
        <v/>
      </c>
      <c r="J806" s="8"/>
      <c r="M806" s="1"/>
      <c r="N806" s="1"/>
      <c r="O806" s="1"/>
      <c r="P806" s="9"/>
      <c r="Q806" s="9"/>
      <c r="R806" s="8"/>
      <c r="S806" s="8"/>
      <c r="T806" s="1"/>
    </row>
    <row r="807" spans="1:20" x14ac:dyDescent="0.2">
      <c r="A807" s="14">
        <f t="shared" si="12"/>
        <v>795</v>
      </c>
      <c r="E807" s="12" t="str">
        <f>IF($C$8&gt;=A807,$E$1&amp;" "&amp;A807,"")</f>
        <v/>
      </c>
      <c r="J807" s="8"/>
      <c r="M807" s="1"/>
      <c r="N807" s="1"/>
      <c r="O807" s="1"/>
      <c r="P807" s="9"/>
      <c r="Q807" s="9"/>
      <c r="R807" s="8"/>
      <c r="S807" s="8"/>
      <c r="T807" s="1"/>
    </row>
    <row r="808" spans="1:20" x14ac:dyDescent="0.2">
      <c r="A808" s="14">
        <f t="shared" si="12"/>
        <v>796</v>
      </c>
      <c r="E808" s="12" t="str">
        <f>IF($C$8&gt;=A808,$E$1&amp;" "&amp;A808,"")</f>
        <v/>
      </c>
      <c r="J808" s="8"/>
      <c r="M808" s="1"/>
      <c r="N808" s="1"/>
      <c r="O808" s="1"/>
      <c r="P808" s="9"/>
      <c r="Q808" s="9"/>
      <c r="R808" s="8"/>
      <c r="S808" s="8"/>
      <c r="T808" s="1"/>
    </row>
    <row r="809" spans="1:20" x14ac:dyDescent="0.2">
      <c r="A809" s="14">
        <f t="shared" si="12"/>
        <v>797</v>
      </c>
      <c r="E809" s="12" t="str">
        <f>IF($C$8&gt;=A809,$E$1&amp;" "&amp;A809,"")</f>
        <v/>
      </c>
      <c r="J809" s="8"/>
      <c r="M809" s="1"/>
      <c r="N809" s="1"/>
      <c r="O809" s="1"/>
      <c r="P809" s="9"/>
      <c r="Q809" s="9"/>
      <c r="R809" s="8"/>
      <c r="S809" s="8"/>
      <c r="T809" s="1"/>
    </row>
    <row r="810" spans="1:20" x14ac:dyDescent="0.2">
      <c r="A810" s="14">
        <f t="shared" si="12"/>
        <v>798</v>
      </c>
      <c r="E810" s="12" t="str">
        <f>IF($C$8&gt;=A810,$E$1&amp;" "&amp;A810,"")</f>
        <v/>
      </c>
      <c r="J810" s="8"/>
      <c r="M810" s="1"/>
      <c r="N810" s="1"/>
      <c r="O810" s="1"/>
      <c r="P810" s="9"/>
      <c r="Q810" s="9"/>
      <c r="R810" s="8"/>
      <c r="S810" s="8"/>
      <c r="T810" s="1"/>
    </row>
    <row r="811" spans="1:20" x14ac:dyDescent="0.2">
      <c r="A811" s="14">
        <f t="shared" si="12"/>
        <v>799</v>
      </c>
      <c r="E811" s="12" t="str">
        <f>IF($C$8&gt;=A811,$E$1&amp;" "&amp;A811,"")</f>
        <v/>
      </c>
      <c r="J811" s="8"/>
      <c r="M811" s="1"/>
      <c r="N811" s="1"/>
      <c r="O811" s="1"/>
      <c r="P811" s="9"/>
      <c r="Q811" s="9"/>
      <c r="R811" s="8"/>
      <c r="S811" s="8"/>
      <c r="T811" s="1"/>
    </row>
    <row r="812" spans="1:20" x14ac:dyDescent="0.2">
      <c r="A812" s="14">
        <f t="shared" si="12"/>
        <v>800</v>
      </c>
      <c r="E812" s="12" t="str">
        <f>IF($C$8&gt;=A812,$E$1&amp;" "&amp;A812,"")</f>
        <v/>
      </c>
      <c r="J812" s="8"/>
      <c r="M812" s="1"/>
      <c r="N812" s="1"/>
      <c r="O812" s="1"/>
      <c r="P812" s="9"/>
      <c r="Q812" s="9"/>
      <c r="R812" s="8"/>
      <c r="S812" s="8"/>
      <c r="T812" s="1"/>
    </row>
    <row r="813" spans="1:20" x14ac:dyDescent="0.2">
      <c r="A813" s="14">
        <f t="shared" si="12"/>
        <v>801</v>
      </c>
      <c r="E813" s="12" t="str">
        <f>IF($C$8&gt;=A813,$E$1&amp;" "&amp;A813,"")</f>
        <v/>
      </c>
      <c r="J813" s="8"/>
      <c r="M813" s="1"/>
      <c r="N813" s="1"/>
      <c r="O813" s="1"/>
      <c r="P813" s="9"/>
      <c r="Q813" s="9"/>
      <c r="R813" s="8"/>
      <c r="S813" s="8"/>
      <c r="T813" s="1"/>
    </row>
    <row r="814" spans="1:20" x14ac:dyDescent="0.2">
      <c r="A814" s="14">
        <f t="shared" si="12"/>
        <v>802</v>
      </c>
      <c r="E814" s="12" t="str">
        <f>IF($C$8&gt;=A814,$E$1&amp;" "&amp;A814,"")</f>
        <v/>
      </c>
      <c r="J814" s="8"/>
      <c r="M814" s="1"/>
      <c r="N814" s="1"/>
      <c r="O814" s="1"/>
      <c r="P814" s="9"/>
      <c r="Q814" s="9"/>
      <c r="R814" s="8"/>
      <c r="S814" s="8"/>
      <c r="T814" s="1"/>
    </row>
    <row r="815" spans="1:20" x14ac:dyDescent="0.2">
      <c r="A815" s="14">
        <f t="shared" si="12"/>
        <v>803</v>
      </c>
      <c r="E815" s="12" t="str">
        <f>IF($C$8&gt;=A815,$E$1&amp;" "&amp;A815,"")</f>
        <v/>
      </c>
      <c r="J815" s="8"/>
      <c r="M815" s="1"/>
      <c r="N815" s="1"/>
      <c r="O815" s="1"/>
      <c r="P815" s="9"/>
      <c r="Q815" s="9"/>
      <c r="R815" s="8"/>
      <c r="S815" s="8"/>
      <c r="T815" s="1"/>
    </row>
    <row r="816" spans="1:20" x14ac:dyDescent="0.2">
      <c r="A816" s="14">
        <f t="shared" si="12"/>
        <v>804</v>
      </c>
      <c r="E816" s="12" t="str">
        <f>IF($C$8&gt;=A816,$E$1&amp;" "&amp;A816,"")</f>
        <v/>
      </c>
      <c r="J816" s="8"/>
      <c r="M816" s="1"/>
      <c r="N816" s="1"/>
      <c r="O816" s="1"/>
      <c r="P816" s="9"/>
      <c r="Q816" s="9"/>
      <c r="R816" s="8"/>
      <c r="S816" s="8"/>
      <c r="T816" s="1"/>
    </row>
    <row r="817" spans="1:20" x14ac:dyDescent="0.2">
      <c r="A817" s="14">
        <f t="shared" si="12"/>
        <v>805</v>
      </c>
      <c r="E817" s="12" t="str">
        <f>IF($C$8&gt;=A817,$E$1&amp;" "&amp;A817,"")</f>
        <v/>
      </c>
      <c r="J817" s="8"/>
      <c r="M817" s="1"/>
      <c r="N817" s="1"/>
      <c r="O817" s="1"/>
      <c r="P817" s="9"/>
      <c r="Q817" s="9"/>
      <c r="R817" s="8"/>
      <c r="S817" s="8"/>
      <c r="T817" s="1"/>
    </row>
    <row r="818" spans="1:20" x14ac:dyDescent="0.2">
      <c r="A818" s="14">
        <f t="shared" si="12"/>
        <v>806</v>
      </c>
      <c r="E818" s="12" t="str">
        <f>IF($C$8&gt;=A818,$E$1&amp;" "&amp;A818,"")</f>
        <v/>
      </c>
      <c r="J818" s="8"/>
      <c r="M818" s="1"/>
      <c r="N818" s="1"/>
      <c r="O818" s="1"/>
      <c r="P818" s="9"/>
      <c r="Q818" s="9"/>
      <c r="R818" s="8"/>
      <c r="S818" s="8"/>
      <c r="T818" s="1"/>
    </row>
    <row r="819" spans="1:20" x14ac:dyDescent="0.2">
      <c r="A819" s="14">
        <f t="shared" si="12"/>
        <v>807</v>
      </c>
      <c r="E819" s="12" t="str">
        <f>IF($C$8&gt;=A819,$E$1&amp;" "&amp;A819,"")</f>
        <v/>
      </c>
      <c r="J819" s="8"/>
      <c r="M819" s="1"/>
      <c r="N819" s="1"/>
      <c r="O819" s="1"/>
      <c r="P819" s="9"/>
      <c r="Q819" s="9"/>
      <c r="R819" s="8"/>
      <c r="S819" s="8"/>
      <c r="T819" s="1"/>
    </row>
    <row r="820" spans="1:20" x14ac:dyDescent="0.2">
      <c r="A820" s="14">
        <f t="shared" si="12"/>
        <v>808</v>
      </c>
      <c r="E820" s="12" t="str">
        <f>IF($C$8&gt;=A820,$E$1&amp;" "&amp;A820,"")</f>
        <v/>
      </c>
      <c r="J820" s="8"/>
      <c r="M820" s="1"/>
      <c r="N820" s="1"/>
      <c r="O820" s="1"/>
      <c r="P820" s="9"/>
      <c r="Q820" s="9"/>
      <c r="R820" s="8"/>
      <c r="S820" s="8"/>
      <c r="T820" s="1"/>
    </row>
    <row r="821" spans="1:20" x14ac:dyDescent="0.2">
      <c r="A821" s="14">
        <f t="shared" si="12"/>
        <v>809</v>
      </c>
      <c r="E821" s="12" t="str">
        <f>IF($C$8&gt;=A821,$E$1&amp;" "&amp;A821,"")</f>
        <v/>
      </c>
      <c r="J821" s="8"/>
      <c r="M821" s="1"/>
      <c r="N821" s="1"/>
      <c r="O821" s="1"/>
      <c r="P821" s="9"/>
      <c r="Q821" s="9"/>
      <c r="R821" s="8"/>
      <c r="S821" s="8"/>
      <c r="T821" s="1"/>
    </row>
    <row r="822" spans="1:20" x14ac:dyDescent="0.2">
      <c r="A822" s="14">
        <f t="shared" si="12"/>
        <v>810</v>
      </c>
      <c r="E822" s="12" t="str">
        <f>IF($C$8&gt;=A822,$E$1&amp;" "&amp;A822,"")</f>
        <v/>
      </c>
      <c r="J822" s="8"/>
      <c r="M822" s="1"/>
      <c r="N822" s="1"/>
      <c r="O822" s="1"/>
      <c r="P822" s="9"/>
      <c r="Q822" s="9"/>
      <c r="R822" s="8"/>
      <c r="S822" s="8"/>
      <c r="T822" s="1"/>
    </row>
    <row r="823" spans="1:20" x14ac:dyDescent="0.2">
      <c r="A823" s="14">
        <f t="shared" si="12"/>
        <v>811</v>
      </c>
      <c r="E823" s="12" t="str">
        <f>IF($C$8&gt;=A823,$E$1&amp;" "&amp;A823,"")</f>
        <v/>
      </c>
      <c r="J823" s="8"/>
      <c r="M823" s="1"/>
      <c r="N823" s="1"/>
      <c r="O823" s="1"/>
      <c r="P823" s="9"/>
      <c r="Q823" s="9"/>
      <c r="R823" s="8"/>
      <c r="S823" s="8"/>
      <c r="T823" s="1"/>
    </row>
    <row r="824" spans="1:20" x14ac:dyDescent="0.2">
      <c r="A824" s="14">
        <f t="shared" si="12"/>
        <v>812</v>
      </c>
      <c r="E824" s="12" t="str">
        <f>IF($C$8&gt;=A824,$E$1&amp;" "&amp;A824,"")</f>
        <v/>
      </c>
      <c r="J824" s="8"/>
      <c r="M824" s="1"/>
      <c r="N824" s="1"/>
      <c r="O824" s="1"/>
      <c r="P824" s="9"/>
      <c r="Q824" s="9"/>
      <c r="R824" s="8"/>
      <c r="S824" s="8"/>
      <c r="T824" s="1"/>
    </row>
    <row r="825" spans="1:20" x14ac:dyDescent="0.2">
      <c r="A825" s="14">
        <f t="shared" si="12"/>
        <v>813</v>
      </c>
      <c r="E825" s="12" t="str">
        <f>IF($C$8&gt;=A825,$E$1&amp;" "&amp;A825,"")</f>
        <v/>
      </c>
      <c r="J825" s="8"/>
      <c r="M825" s="1"/>
      <c r="N825" s="1"/>
      <c r="O825" s="1"/>
      <c r="P825" s="9"/>
      <c r="Q825" s="9"/>
      <c r="R825" s="8"/>
      <c r="S825" s="8"/>
      <c r="T825" s="1"/>
    </row>
    <row r="826" spans="1:20" x14ac:dyDescent="0.2">
      <c r="A826" s="14">
        <f t="shared" si="12"/>
        <v>814</v>
      </c>
      <c r="E826" s="12" t="str">
        <f>IF($C$8&gt;=A826,$E$1&amp;" "&amp;A826,"")</f>
        <v/>
      </c>
      <c r="J826" s="8"/>
      <c r="M826" s="1"/>
      <c r="N826" s="1"/>
      <c r="O826" s="1"/>
      <c r="P826" s="9"/>
      <c r="Q826" s="9"/>
      <c r="R826" s="8"/>
      <c r="S826" s="8"/>
      <c r="T826" s="1"/>
    </row>
    <row r="827" spans="1:20" x14ac:dyDescent="0.2">
      <c r="A827" s="14">
        <f t="shared" si="12"/>
        <v>815</v>
      </c>
      <c r="E827" s="12" t="str">
        <f>IF($C$8&gt;=A827,$E$1&amp;" "&amp;A827,"")</f>
        <v/>
      </c>
      <c r="J827" s="8"/>
      <c r="M827" s="1"/>
      <c r="N827" s="1"/>
      <c r="O827" s="1"/>
      <c r="P827" s="9"/>
      <c r="Q827" s="9"/>
      <c r="R827" s="8"/>
      <c r="S827" s="8"/>
      <c r="T827" s="1"/>
    </row>
    <row r="828" spans="1:20" x14ac:dyDescent="0.2">
      <c r="A828" s="14">
        <f t="shared" si="12"/>
        <v>816</v>
      </c>
      <c r="E828" s="12" t="str">
        <f>IF($C$8&gt;=A828,$E$1&amp;" "&amp;A828,"")</f>
        <v/>
      </c>
      <c r="J828" s="8"/>
      <c r="M828" s="1"/>
      <c r="N828" s="1"/>
      <c r="O828" s="1"/>
      <c r="P828" s="9"/>
      <c r="Q828" s="9"/>
      <c r="R828" s="8"/>
      <c r="S828" s="8"/>
      <c r="T828" s="1"/>
    </row>
    <row r="829" spans="1:20" x14ac:dyDescent="0.2">
      <c r="A829" s="14">
        <f t="shared" si="12"/>
        <v>817</v>
      </c>
      <c r="E829" s="12" t="str">
        <f>IF($C$8&gt;=A829,$E$1&amp;" "&amp;A829,"")</f>
        <v/>
      </c>
      <c r="J829" s="8"/>
      <c r="M829" s="1"/>
      <c r="N829" s="1"/>
      <c r="O829" s="1"/>
      <c r="P829" s="9"/>
      <c r="Q829" s="9"/>
      <c r="R829" s="8"/>
      <c r="S829" s="8"/>
      <c r="T829" s="1"/>
    </row>
    <row r="830" spans="1:20" x14ac:dyDescent="0.2">
      <c r="A830" s="14">
        <f t="shared" si="12"/>
        <v>818</v>
      </c>
      <c r="E830" s="12" t="str">
        <f>IF($C$8&gt;=A830,$E$1&amp;" "&amp;A830,"")</f>
        <v/>
      </c>
      <c r="J830" s="8"/>
      <c r="M830" s="1"/>
      <c r="N830" s="1"/>
      <c r="O830" s="1"/>
      <c r="P830" s="9"/>
      <c r="Q830" s="9"/>
      <c r="R830" s="8"/>
      <c r="S830" s="8"/>
      <c r="T830" s="1"/>
    </row>
    <row r="831" spans="1:20" x14ac:dyDescent="0.2">
      <c r="A831" s="14">
        <f t="shared" si="12"/>
        <v>819</v>
      </c>
      <c r="E831" s="12" t="str">
        <f>IF($C$8&gt;=A831,$E$1&amp;" "&amp;A831,"")</f>
        <v/>
      </c>
      <c r="J831" s="8"/>
      <c r="M831" s="1"/>
      <c r="N831" s="1"/>
      <c r="O831" s="1"/>
      <c r="P831" s="9"/>
      <c r="Q831" s="9"/>
      <c r="R831" s="8"/>
      <c r="S831" s="8"/>
      <c r="T831" s="1"/>
    </row>
    <row r="832" spans="1:20" x14ac:dyDescent="0.2">
      <c r="A832" s="14">
        <f t="shared" si="12"/>
        <v>820</v>
      </c>
      <c r="E832" s="12" t="str">
        <f>IF($C$8&gt;=A832,$E$1&amp;" "&amp;A832,"")</f>
        <v/>
      </c>
      <c r="J832" s="8"/>
      <c r="M832" s="1"/>
      <c r="N832" s="1"/>
      <c r="O832" s="1"/>
      <c r="P832" s="9"/>
      <c r="Q832" s="9"/>
      <c r="R832" s="8"/>
      <c r="S832" s="8"/>
      <c r="T832" s="1"/>
    </row>
    <row r="833" spans="1:20" x14ac:dyDescent="0.2">
      <c r="A833" s="14">
        <f t="shared" si="12"/>
        <v>821</v>
      </c>
      <c r="E833" s="12" t="str">
        <f>IF($C$8&gt;=A833,$E$1&amp;" "&amp;A833,"")</f>
        <v/>
      </c>
      <c r="J833" s="8"/>
      <c r="M833" s="1"/>
      <c r="N833" s="1"/>
      <c r="O833" s="1"/>
      <c r="P833" s="9"/>
      <c r="Q833" s="9"/>
      <c r="R833" s="8"/>
      <c r="S833" s="8"/>
      <c r="T833" s="1"/>
    </row>
    <row r="834" spans="1:20" x14ac:dyDescent="0.2">
      <c r="A834" s="14">
        <f t="shared" si="12"/>
        <v>822</v>
      </c>
      <c r="E834" s="12" t="str">
        <f>IF($C$8&gt;=A834,$E$1&amp;" "&amp;A834,"")</f>
        <v/>
      </c>
      <c r="J834" s="8"/>
      <c r="M834" s="1"/>
      <c r="N834" s="1"/>
      <c r="O834" s="1"/>
      <c r="P834" s="9"/>
      <c r="Q834" s="9"/>
      <c r="R834" s="8"/>
      <c r="S834" s="8"/>
      <c r="T834" s="1"/>
    </row>
    <row r="835" spans="1:20" x14ac:dyDescent="0.2">
      <c r="A835" s="14">
        <f t="shared" si="12"/>
        <v>823</v>
      </c>
      <c r="E835" s="12" t="str">
        <f>IF($C$8&gt;=A835,$E$1&amp;" "&amp;A835,"")</f>
        <v/>
      </c>
      <c r="J835" s="8"/>
      <c r="M835" s="1"/>
      <c r="N835" s="1"/>
      <c r="O835" s="1"/>
      <c r="P835" s="9"/>
      <c r="Q835" s="9"/>
      <c r="R835" s="8"/>
      <c r="S835" s="8"/>
      <c r="T835" s="1"/>
    </row>
    <row r="836" spans="1:20" x14ac:dyDescent="0.2">
      <c r="A836" s="14">
        <f t="shared" si="12"/>
        <v>824</v>
      </c>
      <c r="E836" s="12" t="str">
        <f>IF($C$8&gt;=A836,$E$1&amp;" "&amp;A836,"")</f>
        <v/>
      </c>
      <c r="J836" s="8"/>
      <c r="M836" s="1"/>
      <c r="N836" s="1"/>
      <c r="O836" s="1"/>
      <c r="P836" s="9"/>
      <c r="Q836" s="9"/>
      <c r="R836" s="8"/>
      <c r="S836" s="8"/>
      <c r="T836" s="1"/>
    </row>
    <row r="837" spans="1:20" x14ac:dyDescent="0.2">
      <c r="A837" s="14">
        <f t="shared" si="12"/>
        <v>825</v>
      </c>
      <c r="E837" s="12" t="str">
        <f>IF($C$8&gt;=A837,$E$1&amp;" "&amp;A837,"")</f>
        <v/>
      </c>
      <c r="J837" s="8"/>
      <c r="M837" s="1"/>
      <c r="N837" s="1"/>
      <c r="O837" s="1"/>
      <c r="P837" s="9"/>
      <c r="Q837" s="9"/>
      <c r="R837" s="8"/>
      <c r="S837" s="8"/>
      <c r="T837" s="1"/>
    </row>
    <row r="838" spans="1:20" x14ac:dyDescent="0.2">
      <c r="A838" s="14">
        <f t="shared" si="12"/>
        <v>826</v>
      </c>
      <c r="E838" s="12" t="str">
        <f>IF($C$8&gt;=A838,$E$1&amp;" "&amp;A838,"")</f>
        <v/>
      </c>
      <c r="J838" s="8"/>
      <c r="M838" s="1"/>
      <c r="N838" s="1"/>
      <c r="O838" s="1"/>
      <c r="P838" s="9"/>
      <c r="Q838" s="9"/>
      <c r="R838" s="8"/>
      <c r="S838" s="8"/>
      <c r="T838" s="1"/>
    </row>
    <row r="839" spans="1:20" x14ac:dyDescent="0.2">
      <c r="A839" s="14">
        <f t="shared" si="12"/>
        <v>827</v>
      </c>
      <c r="E839" s="12" t="str">
        <f>IF($C$8&gt;=A839,$E$1&amp;" "&amp;A839,"")</f>
        <v/>
      </c>
      <c r="J839" s="8"/>
      <c r="M839" s="1"/>
      <c r="N839" s="1"/>
      <c r="O839" s="1"/>
      <c r="P839" s="9"/>
      <c r="Q839" s="9"/>
      <c r="R839" s="8"/>
      <c r="S839" s="8"/>
      <c r="T839" s="1"/>
    </row>
    <row r="840" spans="1:20" x14ac:dyDescent="0.2">
      <c r="A840" s="14">
        <f t="shared" si="12"/>
        <v>828</v>
      </c>
      <c r="E840" s="12" t="str">
        <f>IF($C$8&gt;=A840,$E$1&amp;" "&amp;A840,"")</f>
        <v/>
      </c>
      <c r="J840" s="8"/>
      <c r="M840" s="1"/>
      <c r="N840" s="1"/>
      <c r="O840" s="1"/>
      <c r="P840" s="9"/>
      <c r="Q840" s="9"/>
      <c r="R840" s="8"/>
      <c r="S840" s="8"/>
      <c r="T840" s="1"/>
    </row>
    <row r="841" spans="1:20" x14ac:dyDescent="0.2">
      <c r="A841" s="14">
        <f t="shared" si="12"/>
        <v>829</v>
      </c>
      <c r="E841" s="12" t="str">
        <f>IF($C$8&gt;=A841,$E$1&amp;" "&amp;A841,"")</f>
        <v/>
      </c>
      <c r="J841" s="8"/>
      <c r="M841" s="1"/>
      <c r="N841" s="1"/>
      <c r="O841" s="1"/>
      <c r="P841" s="9"/>
      <c r="Q841" s="9"/>
      <c r="R841" s="8"/>
      <c r="S841" s="8"/>
      <c r="T841" s="1"/>
    </row>
    <row r="842" spans="1:20" x14ac:dyDescent="0.2">
      <c r="A842" s="14">
        <f t="shared" si="12"/>
        <v>830</v>
      </c>
      <c r="E842" s="12" t="str">
        <f>IF($C$8&gt;=A842,$E$1&amp;" "&amp;A842,"")</f>
        <v/>
      </c>
      <c r="J842" s="8"/>
      <c r="M842" s="1"/>
      <c r="N842" s="1"/>
      <c r="O842" s="1"/>
      <c r="P842" s="9"/>
      <c r="Q842" s="9"/>
      <c r="R842" s="8"/>
      <c r="S842" s="8"/>
      <c r="T842" s="1"/>
    </row>
    <row r="843" spans="1:20" x14ac:dyDescent="0.2">
      <c r="A843" s="14">
        <f t="shared" si="12"/>
        <v>831</v>
      </c>
      <c r="E843" s="12" t="str">
        <f>IF($C$8&gt;=A843,$E$1&amp;" "&amp;A843,"")</f>
        <v/>
      </c>
      <c r="J843" s="8"/>
      <c r="M843" s="1"/>
      <c r="N843" s="1"/>
      <c r="O843" s="1"/>
      <c r="P843" s="9"/>
      <c r="Q843" s="9"/>
      <c r="R843" s="8"/>
      <c r="S843" s="8"/>
      <c r="T843" s="1"/>
    </row>
    <row r="844" spans="1:20" x14ac:dyDescent="0.2">
      <c r="A844" s="14">
        <f t="shared" si="12"/>
        <v>832</v>
      </c>
      <c r="E844" s="12" t="str">
        <f>IF($C$8&gt;=A844,$E$1&amp;" "&amp;A844,"")</f>
        <v/>
      </c>
      <c r="J844" s="8"/>
      <c r="M844" s="1"/>
      <c r="N844" s="1"/>
      <c r="O844" s="1"/>
      <c r="P844" s="9"/>
      <c r="Q844" s="9"/>
      <c r="R844" s="8"/>
      <c r="S844" s="8"/>
      <c r="T844" s="1"/>
    </row>
    <row r="845" spans="1:20" x14ac:dyDescent="0.2">
      <c r="A845" s="14">
        <f t="shared" si="12"/>
        <v>833</v>
      </c>
      <c r="E845" s="12" t="str">
        <f>IF($C$8&gt;=A845,$E$1&amp;" "&amp;A845,"")</f>
        <v/>
      </c>
      <c r="J845" s="8"/>
      <c r="M845" s="1"/>
      <c r="N845" s="1"/>
      <c r="O845" s="1"/>
      <c r="P845" s="9"/>
      <c r="Q845" s="9"/>
      <c r="R845" s="8"/>
      <c r="S845" s="8"/>
      <c r="T845" s="1"/>
    </row>
    <row r="846" spans="1:20" x14ac:dyDescent="0.2">
      <c r="A846" s="14">
        <f t="shared" si="12"/>
        <v>834</v>
      </c>
      <c r="E846" s="12" t="str">
        <f>IF($C$8&gt;=A846,$E$1&amp;" "&amp;A846,"")</f>
        <v/>
      </c>
      <c r="J846" s="8"/>
      <c r="M846" s="1"/>
      <c r="N846" s="1"/>
      <c r="O846" s="1"/>
      <c r="P846" s="9"/>
      <c r="Q846" s="9"/>
      <c r="R846" s="8"/>
      <c r="S846" s="8"/>
      <c r="T846" s="1"/>
    </row>
    <row r="847" spans="1:20" x14ac:dyDescent="0.2">
      <c r="A847" s="14">
        <f t="shared" ref="A847:A910" si="13">A846+1</f>
        <v>835</v>
      </c>
      <c r="E847" s="12" t="str">
        <f>IF($C$8&gt;=A847,$E$1&amp;" "&amp;A847,"")</f>
        <v/>
      </c>
      <c r="J847" s="8"/>
      <c r="M847" s="1"/>
      <c r="N847" s="1"/>
      <c r="O847" s="1"/>
      <c r="P847" s="9"/>
      <c r="Q847" s="9"/>
      <c r="R847" s="8"/>
      <c r="S847" s="8"/>
      <c r="T847" s="1"/>
    </row>
    <row r="848" spans="1:20" x14ac:dyDescent="0.2">
      <c r="A848" s="14">
        <f t="shared" si="13"/>
        <v>836</v>
      </c>
      <c r="E848" s="12" t="str">
        <f>IF($C$8&gt;=A848,$E$1&amp;" "&amp;A848,"")</f>
        <v/>
      </c>
      <c r="J848" s="8"/>
      <c r="M848" s="1"/>
      <c r="N848" s="1"/>
      <c r="O848" s="1"/>
      <c r="P848" s="9"/>
      <c r="Q848" s="9"/>
      <c r="R848" s="8"/>
      <c r="S848" s="8"/>
      <c r="T848" s="1"/>
    </row>
    <row r="849" spans="1:20" x14ac:dyDescent="0.2">
      <c r="A849" s="14">
        <f t="shared" si="13"/>
        <v>837</v>
      </c>
      <c r="E849" s="12" t="str">
        <f>IF($C$8&gt;=A849,$E$1&amp;" "&amp;A849,"")</f>
        <v/>
      </c>
      <c r="J849" s="8"/>
      <c r="M849" s="1"/>
      <c r="N849" s="1"/>
      <c r="O849" s="1"/>
      <c r="P849" s="9"/>
      <c r="Q849" s="9"/>
      <c r="R849" s="8"/>
      <c r="S849" s="8"/>
      <c r="T849" s="1"/>
    </row>
    <row r="850" spans="1:20" x14ac:dyDescent="0.2">
      <c r="A850" s="14">
        <f t="shared" si="13"/>
        <v>838</v>
      </c>
      <c r="E850" s="12" t="str">
        <f>IF($C$8&gt;=A850,$E$1&amp;" "&amp;A850,"")</f>
        <v/>
      </c>
      <c r="J850" s="8"/>
      <c r="M850" s="1"/>
      <c r="N850" s="1"/>
      <c r="O850" s="1"/>
      <c r="P850" s="9"/>
      <c r="Q850" s="9"/>
      <c r="R850" s="8"/>
      <c r="S850" s="8"/>
      <c r="T850" s="1"/>
    </row>
    <row r="851" spans="1:20" x14ac:dyDescent="0.2">
      <c r="A851" s="14">
        <f t="shared" si="13"/>
        <v>839</v>
      </c>
      <c r="E851" s="12" t="str">
        <f>IF($C$8&gt;=A851,$E$1&amp;" "&amp;A851,"")</f>
        <v/>
      </c>
      <c r="J851" s="8"/>
      <c r="M851" s="1"/>
      <c r="N851" s="1"/>
      <c r="O851" s="1"/>
      <c r="P851" s="9"/>
      <c r="Q851" s="9"/>
      <c r="R851" s="8"/>
      <c r="S851" s="8"/>
      <c r="T851" s="1"/>
    </row>
    <row r="852" spans="1:20" x14ac:dyDescent="0.2">
      <c r="A852" s="14">
        <f t="shared" si="13"/>
        <v>840</v>
      </c>
      <c r="E852" s="12" t="str">
        <f>IF($C$8&gt;=A852,$E$1&amp;" "&amp;A852,"")</f>
        <v/>
      </c>
      <c r="J852" s="8"/>
      <c r="M852" s="1"/>
      <c r="N852" s="1"/>
      <c r="O852" s="1"/>
      <c r="P852" s="9"/>
      <c r="Q852" s="9"/>
      <c r="R852" s="8"/>
      <c r="S852" s="8"/>
      <c r="T852" s="1"/>
    </row>
    <row r="853" spans="1:20" x14ac:dyDescent="0.2">
      <c r="A853" s="14">
        <f t="shared" si="13"/>
        <v>841</v>
      </c>
      <c r="E853" s="12" t="str">
        <f>IF($C$8&gt;=A853,$E$1&amp;" "&amp;A853,"")</f>
        <v/>
      </c>
      <c r="J853" s="8"/>
      <c r="M853" s="1"/>
      <c r="N853" s="1"/>
      <c r="O853" s="1"/>
      <c r="P853" s="9"/>
      <c r="Q853" s="9"/>
      <c r="R853" s="8"/>
      <c r="S853" s="8"/>
      <c r="T853" s="1"/>
    </row>
    <row r="854" spans="1:20" x14ac:dyDescent="0.2">
      <c r="A854" s="14">
        <f t="shared" si="13"/>
        <v>842</v>
      </c>
      <c r="E854" s="12" t="str">
        <f>IF($C$8&gt;=A854,$E$1&amp;" "&amp;A854,"")</f>
        <v/>
      </c>
      <c r="J854" s="8"/>
      <c r="M854" s="1"/>
      <c r="N854" s="1"/>
      <c r="O854" s="1"/>
      <c r="P854" s="9"/>
      <c r="Q854" s="9"/>
      <c r="R854" s="8"/>
      <c r="S854" s="8"/>
      <c r="T854" s="1"/>
    </row>
    <row r="855" spans="1:20" x14ac:dyDescent="0.2">
      <c r="A855" s="14">
        <f t="shared" si="13"/>
        <v>843</v>
      </c>
      <c r="E855" s="12" t="str">
        <f>IF($C$8&gt;=A855,$E$1&amp;" "&amp;A855,"")</f>
        <v/>
      </c>
      <c r="J855" s="8"/>
      <c r="M855" s="1"/>
      <c r="N855" s="1"/>
      <c r="O855" s="1"/>
      <c r="P855" s="9"/>
      <c r="Q855" s="9"/>
      <c r="R855" s="8"/>
      <c r="S855" s="8"/>
      <c r="T855" s="1"/>
    </row>
    <row r="856" spans="1:20" x14ac:dyDescent="0.2">
      <c r="A856" s="14">
        <f t="shared" si="13"/>
        <v>844</v>
      </c>
      <c r="E856" s="12" t="str">
        <f>IF($C$8&gt;=A856,$E$1&amp;" "&amp;A856,"")</f>
        <v/>
      </c>
      <c r="J856" s="8"/>
      <c r="M856" s="1"/>
      <c r="N856" s="1"/>
      <c r="O856" s="1"/>
      <c r="P856" s="9"/>
      <c r="Q856" s="9"/>
      <c r="R856" s="8"/>
      <c r="S856" s="8"/>
      <c r="T856" s="1"/>
    </row>
    <row r="857" spans="1:20" x14ac:dyDescent="0.2">
      <c r="A857" s="14">
        <f t="shared" si="13"/>
        <v>845</v>
      </c>
      <c r="E857" s="12" t="str">
        <f>IF($C$8&gt;=A857,$E$1&amp;" "&amp;A857,"")</f>
        <v/>
      </c>
      <c r="J857" s="8"/>
      <c r="M857" s="1"/>
      <c r="N857" s="1"/>
      <c r="O857" s="1"/>
      <c r="P857" s="9"/>
      <c r="Q857" s="9"/>
      <c r="R857" s="8"/>
      <c r="S857" s="8"/>
      <c r="T857" s="1"/>
    </row>
    <row r="858" spans="1:20" x14ac:dyDescent="0.2">
      <c r="A858" s="14">
        <f t="shared" si="13"/>
        <v>846</v>
      </c>
      <c r="E858" s="12" t="str">
        <f>IF($C$8&gt;=A858,$E$1&amp;" "&amp;A858,"")</f>
        <v/>
      </c>
      <c r="J858" s="8"/>
      <c r="M858" s="1"/>
      <c r="N858" s="1"/>
      <c r="O858" s="1"/>
      <c r="P858" s="9"/>
      <c r="Q858" s="9"/>
      <c r="R858" s="8"/>
      <c r="S858" s="8"/>
      <c r="T858" s="1"/>
    </row>
    <row r="859" spans="1:20" x14ac:dyDescent="0.2">
      <c r="A859" s="14">
        <f t="shared" si="13"/>
        <v>847</v>
      </c>
      <c r="E859" s="12" t="str">
        <f>IF($C$8&gt;=A859,$E$1&amp;" "&amp;A859,"")</f>
        <v/>
      </c>
      <c r="J859" s="8"/>
      <c r="M859" s="1"/>
      <c r="N859" s="1"/>
      <c r="O859" s="1"/>
      <c r="P859" s="9"/>
      <c r="Q859" s="9"/>
      <c r="R859" s="8"/>
      <c r="S859" s="8"/>
      <c r="T859" s="1"/>
    </row>
    <row r="860" spans="1:20" x14ac:dyDescent="0.2">
      <c r="A860" s="14">
        <f t="shared" si="13"/>
        <v>848</v>
      </c>
      <c r="E860" s="12" t="str">
        <f>IF($C$8&gt;=A860,$E$1&amp;" "&amp;A860,"")</f>
        <v/>
      </c>
      <c r="J860" s="8"/>
      <c r="M860" s="1"/>
      <c r="N860" s="1"/>
      <c r="O860" s="1"/>
      <c r="P860" s="9"/>
      <c r="Q860" s="9"/>
      <c r="R860" s="8"/>
      <c r="S860" s="8"/>
      <c r="T860" s="1"/>
    </row>
    <row r="861" spans="1:20" x14ac:dyDescent="0.2">
      <c r="A861" s="14">
        <f t="shared" si="13"/>
        <v>849</v>
      </c>
      <c r="E861" s="12" t="str">
        <f>IF($C$8&gt;=A861,$E$1&amp;" "&amp;A861,"")</f>
        <v/>
      </c>
      <c r="J861" s="8"/>
      <c r="M861" s="1"/>
      <c r="N861" s="1"/>
      <c r="O861" s="1"/>
      <c r="P861" s="9"/>
      <c r="Q861" s="9"/>
      <c r="R861" s="8"/>
      <c r="S861" s="8"/>
      <c r="T861" s="1"/>
    </row>
    <row r="862" spans="1:20" x14ac:dyDescent="0.2">
      <c r="A862" s="14">
        <f t="shared" si="13"/>
        <v>850</v>
      </c>
      <c r="E862" s="12" t="str">
        <f>IF($C$8&gt;=A862,$E$1&amp;" "&amp;A862,"")</f>
        <v/>
      </c>
      <c r="J862" s="8"/>
      <c r="M862" s="1"/>
      <c r="N862" s="1"/>
      <c r="O862" s="1"/>
      <c r="P862" s="9"/>
      <c r="Q862" s="9"/>
      <c r="R862" s="8"/>
      <c r="S862" s="8"/>
      <c r="T862" s="1"/>
    </row>
    <row r="863" spans="1:20" x14ac:dyDescent="0.2">
      <c r="A863" s="14">
        <f t="shared" si="13"/>
        <v>851</v>
      </c>
      <c r="E863" s="12" t="str">
        <f>IF($C$8&gt;=A863,$E$1&amp;" "&amp;A863,"")</f>
        <v/>
      </c>
      <c r="J863" s="8"/>
      <c r="M863" s="1"/>
      <c r="N863" s="1"/>
      <c r="O863" s="1"/>
      <c r="P863" s="9"/>
      <c r="Q863" s="9"/>
      <c r="R863" s="8"/>
      <c r="S863" s="8"/>
      <c r="T863" s="1"/>
    </row>
    <row r="864" spans="1:20" x14ac:dyDescent="0.2">
      <c r="A864" s="14">
        <f t="shared" si="13"/>
        <v>852</v>
      </c>
      <c r="E864" s="12" t="str">
        <f>IF($C$8&gt;=A864,$E$1&amp;" "&amp;A864,"")</f>
        <v/>
      </c>
      <c r="J864" s="8"/>
      <c r="M864" s="1"/>
      <c r="N864" s="1"/>
      <c r="O864" s="1"/>
      <c r="P864" s="9"/>
      <c r="Q864" s="9"/>
      <c r="R864" s="8"/>
      <c r="S864" s="8"/>
      <c r="T864" s="1"/>
    </row>
    <row r="865" spans="1:20" x14ac:dyDescent="0.2">
      <c r="A865" s="14">
        <f t="shared" si="13"/>
        <v>853</v>
      </c>
      <c r="E865" s="12" t="str">
        <f>IF($C$8&gt;=A865,$E$1&amp;" "&amp;A865,"")</f>
        <v/>
      </c>
      <c r="J865" s="8"/>
      <c r="M865" s="1"/>
      <c r="N865" s="1"/>
      <c r="O865" s="1"/>
      <c r="P865" s="9"/>
      <c r="Q865" s="9"/>
      <c r="R865" s="8"/>
      <c r="S865" s="8"/>
      <c r="T865" s="1"/>
    </row>
    <row r="866" spans="1:20" x14ac:dyDescent="0.2">
      <c r="A866" s="14">
        <f t="shared" si="13"/>
        <v>854</v>
      </c>
      <c r="E866" s="12" t="str">
        <f>IF($C$8&gt;=A866,$E$1&amp;" "&amp;A866,"")</f>
        <v/>
      </c>
      <c r="J866" s="8"/>
      <c r="M866" s="1"/>
      <c r="N866" s="1"/>
      <c r="O866" s="1"/>
      <c r="P866" s="9"/>
      <c r="Q866" s="9"/>
      <c r="R866" s="8"/>
      <c r="S866" s="8"/>
      <c r="T866" s="1"/>
    </row>
    <row r="867" spans="1:20" x14ac:dyDescent="0.2">
      <c r="A867" s="14">
        <f t="shared" si="13"/>
        <v>855</v>
      </c>
      <c r="E867" s="12" t="str">
        <f>IF($C$8&gt;=A867,$E$1&amp;" "&amp;A867,"")</f>
        <v/>
      </c>
      <c r="J867" s="8"/>
      <c r="M867" s="1"/>
      <c r="N867" s="1"/>
      <c r="O867" s="1"/>
      <c r="P867" s="9"/>
      <c r="Q867" s="9"/>
      <c r="R867" s="8"/>
      <c r="S867" s="8"/>
      <c r="T867" s="1"/>
    </row>
    <row r="868" spans="1:20" x14ac:dyDescent="0.2">
      <c r="A868" s="14">
        <f t="shared" si="13"/>
        <v>856</v>
      </c>
      <c r="E868" s="12" t="str">
        <f>IF($C$8&gt;=A868,$E$1&amp;" "&amp;A868,"")</f>
        <v/>
      </c>
      <c r="J868" s="8"/>
      <c r="M868" s="1"/>
      <c r="N868" s="1"/>
      <c r="O868" s="1"/>
      <c r="P868" s="9"/>
      <c r="Q868" s="9"/>
      <c r="R868" s="8"/>
      <c r="S868" s="8"/>
      <c r="T868" s="1"/>
    </row>
    <row r="869" spans="1:20" x14ac:dyDescent="0.2">
      <c r="A869" s="14">
        <f t="shared" si="13"/>
        <v>857</v>
      </c>
      <c r="E869" s="12" t="str">
        <f>IF($C$8&gt;=A869,$E$1&amp;" "&amp;A869,"")</f>
        <v/>
      </c>
      <c r="J869" s="8"/>
      <c r="M869" s="1"/>
      <c r="N869" s="1"/>
      <c r="O869" s="1"/>
      <c r="P869" s="9"/>
      <c r="Q869" s="9"/>
      <c r="R869" s="8"/>
      <c r="S869" s="8"/>
      <c r="T869" s="1"/>
    </row>
    <row r="870" spans="1:20" x14ac:dyDescent="0.2">
      <c r="A870" s="14">
        <f t="shared" si="13"/>
        <v>858</v>
      </c>
      <c r="E870" s="12" t="str">
        <f>IF($C$8&gt;=A870,$E$1&amp;" "&amp;A870,"")</f>
        <v/>
      </c>
      <c r="J870" s="8"/>
      <c r="M870" s="1"/>
      <c r="N870" s="1"/>
      <c r="O870" s="1"/>
      <c r="P870" s="9"/>
      <c r="Q870" s="9"/>
      <c r="R870" s="8"/>
      <c r="S870" s="8"/>
      <c r="T870" s="1"/>
    </row>
    <row r="871" spans="1:20" x14ac:dyDescent="0.2">
      <c r="A871" s="14">
        <f t="shared" si="13"/>
        <v>859</v>
      </c>
      <c r="E871" s="12" t="str">
        <f>IF($C$8&gt;=A871,$E$1&amp;" "&amp;A871,"")</f>
        <v/>
      </c>
      <c r="J871" s="8"/>
      <c r="M871" s="1"/>
      <c r="N871" s="1"/>
      <c r="O871" s="1"/>
      <c r="P871" s="9"/>
      <c r="Q871" s="9"/>
      <c r="R871" s="8"/>
      <c r="S871" s="8"/>
      <c r="T871" s="1"/>
    </row>
    <row r="872" spans="1:20" x14ac:dyDescent="0.2">
      <c r="A872" s="14">
        <f t="shared" si="13"/>
        <v>860</v>
      </c>
      <c r="E872" s="12" t="str">
        <f>IF($C$8&gt;=A872,$E$1&amp;" "&amp;A872,"")</f>
        <v/>
      </c>
      <c r="J872" s="8"/>
      <c r="M872" s="1"/>
      <c r="N872" s="1"/>
      <c r="O872" s="1"/>
      <c r="P872" s="9"/>
      <c r="Q872" s="9"/>
      <c r="R872" s="8"/>
      <c r="S872" s="8"/>
      <c r="T872" s="1"/>
    </row>
    <row r="873" spans="1:20" x14ac:dyDescent="0.2">
      <c r="A873" s="14">
        <f t="shared" si="13"/>
        <v>861</v>
      </c>
      <c r="E873" s="12" t="str">
        <f>IF($C$8&gt;=A873,$E$1&amp;" "&amp;A873,"")</f>
        <v/>
      </c>
      <c r="J873" s="8"/>
      <c r="M873" s="1"/>
      <c r="N873" s="1"/>
      <c r="O873" s="1"/>
      <c r="P873" s="9"/>
      <c r="Q873" s="9"/>
      <c r="R873" s="8"/>
      <c r="S873" s="8"/>
      <c r="T873" s="1"/>
    </row>
    <row r="874" spans="1:20" x14ac:dyDescent="0.2">
      <c r="A874" s="14">
        <f t="shared" si="13"/>
        <v>862</v>
      </c>
      <c r="E874" s="12" t="str">
        <f>IF($C$8&gt;=A874,$E$1&amp;" "&amp;A874,"")</f>
        <v/>
      </c>
      <c r="J874" s="8"/>
      <c r="M874" s="1"/>
      <c r="N874" s="1"/>
      <c r="O874" s="1"/>
      <c r="P874" s="9"/>
      <c r="Q874" s="9"/>
      <c r="R874" s="8"/>
      <c r="S874" s="8"/>
      <c r="T874" s="1"/>
    </row>
    <row r="875" spans="1:20" x14ac:dyDescent="0.2">
      <c r="A875" s="14">
        <f t="shared" si="13"/>
        <v>863</v>
      </c>
      <c r="E875" s="12" t="str">
        <f>IF($C$8&gt;=A875,$E$1&amp;" "&amp;A875,"")</f>
        <v/>
      </c>
      <c r="J875" s="8"/>
      <c r="M875" s="1"/>
      <c r="N875" s="1"/>
      <c r="O875" s="1"/>
      <c r="P875" s="9"/>
      <c r="Q875" s="9"/>
      <c r="R875" s="8"/>
      <c r="S875" s="8"/>
      <c r="T875" s="1"/>
    </row>
    <row r="876" spans="1:20" x14ac:dyDescent="0.2">
      <c r="A876" s="14">
        <f t="shared" si="13"/>
        <v>864</v>
      </c>
      <c r="E876" s="12" t="str">
        <f>IF($C$8&gt;=A876,$E$1&amp;" "&amp;A876,"")</f>
        <v/>
      </c>
      <c r="J876" s="8"/>
      <c r="M876" s="1"/>
      <c r="N876" s="1"/>
      <c r="O876" s="1"/>
      <c r="P876" s="9"/>
      <c r="Q876" s="9"/>
      <c r="R876" s="8"/>
      <c r="S876" s="8"/>
      <c r="T876" s="1"/>
    </row>
    <row r="877" spans="1:20" x14ac:dyDescent="0.2">
      <c r="A877" s="14">
        <f t="shared" si="13"/>
        <v>865</v>
      </c>
      <c r="E877" s="12" t="str">
        <f>IF($C$8&gt;=A877,$E$1&amp;" "&amp;A877,"")</f>
        <v/>
      </c>
      <c r="J877" s="8"/>
      <c r="M877" s="1"/>
      <c r="N877" s="1"/>
      <c r="O877" s="1"/>
      <c r="P877" s="9"/>
      <c r="Q877" s="9"/>
      <c r="R877" s="8"/>
      <c r="S877" s="8"/>
      <c r="T877" s="1"/>
    </row>
    <row r="878" spans="1:20" x14ac:dyDescent="0.2">
      <c r="A878" s="14">
        <f t="shared" si="13"/>
        <v>866</v>
      </c>
      <c r="E878" s="12" t="str">
        <f>IF($C$8&gt;=A878,$E$1&amp;" "&amp;A878,"")</f>
        <v/>
      </c>
      <c r="J878" s="8"/>
      <c r="M878" s="1"/>
      <c r="N878" s="1"/>
      <c r="O878" s="1"/>
      <c r="P878" s="9"/>
      <c r="Q878" s="9"/>
      <c r="R878" s="8"/>
      <c r="S878" s="8"/>
      <c r="T878" s="1"/>
    </row>
    <row r="879" spans="1:20" x14ac:dyDescent="0.2">
      <c r="A879" s="14">
        <f t="shared" si="13"/>
        <v>867</v>
      </c>
      <c r="E879" s="12" t="str">
        <f>IF($C$8&gt;=A879,$E$1&amp;" "&amp;A879,"")</f>
        <v/>
      </c>
      <c r="J879" s="8"/>
      <c r="M879" s="1"/>
      <c r="N879" s="1"/>
      <c r="O879" s="1"/>
      <c r="P879" s="9"/>
      <c r="Q879" s="9"/>
      <c r="R879" s="8"/>
      <c r="S879" s="8"/>
      <c r="T879" s="1"/>
    </row>
    <row r="880" spans="1:20" x14ac:dyDescent="0.2">
      <c r="A880" s="14">
        <f t="shared" si="13"/>
        <v>868</v>
      </c>
      <c r="E880" s="12" t="str">
        <f>IF($C$8&gt;=A880,$E$1&amp;" "&amp;A880,"")</f>
        <v/>
      </c>
      <c r="J880" s="8"/>
      <c r="M880" s="1"/>
      <c r="N880" s="1"/>
      <c r="O880" s="1"/>
      <c r="P880" s="9"/>
      <c r="Q880" s="9"/>
      <c r="R880" s="8"/>
      <c r="S880" s="8"/>
      <c r="T880" s="1"/>
    </row>
    <row r="881" spans="1:20" x14ac:dyDescent="0.2">
      <c r="A881" s="14">
        <f t="shared" si="13"/>
        <v>869</v>
      </c>
      <c r="E881" s="12" t="str">
        <f>IF($C$8&gt;=A881,$E$1&amp;" "&amp;A881,"")</f>
        <v/>
      </c>
      <c r="J881" s="8"/>
      <c r="M881" s="1"/>
      <c r="N881" s="1"/>
      <c r="O881" s="1"/>
      <c r="P881" s="9"/>
      <c r="Q881" s="9"/>
      <c r="R881" s="8"/>
      <c r="S881" s="8"/>
      <c r="T881" s="1"/>
    </row>
    <row r="882" spans="1:20" x14ac:dyDescent="0.2">
      <c r="A882" s="14">
        <f t="shared" si="13"/>
        <v>870</v>
      </c>
      <c r="E882" s="12" t="str">
        <f>IF($C$8&gt;=A882,$E$1&amp;" "&amp;A882,"")</f>
        <v/>
      </c>
      <c r="J882" s="8"/>
      <c r="M882" s="1"/>
      <c r="N882" s="1"/>
      <c r="O882" s="1"/>
      <c r="P882" s="9"/>
      <c r="Q882" s="9"/>
      <c r="R882" s="8"/>
      <c r="S882" s="8"/>
      <c r="T882" s="1"/>
    </row>
    <row r="883" spans="1:20" x14ac:dyDescent="0.2">
      <c r="A883" s="14">
        <f t="shared" si="13"/>
        <v>871</v>
      </c>
      <c r="E883" s="12" t="str">
        <f>IF($C$8&gt;=A883,$E$1&amp;" "&amp;A883,"")</f>
        <v/>
      </c>
      <c r="J883" s="8"/>
      <c r="M883" s="1"/>
      <c r="N883" s="1"/>
      <c r="O883" s="1"/>
      <c r="P883" s="9"/>
      <c r="Q883" s="9"/>
      <c r="R883" s="8"/>
      <c r="S883" s="8"/>
      <c r="T883" s="1"/>
    </row>
    <row r="884" spans="1:20" x14ac:dyDescent="0.2">
      <c r="A884" s="14">
        <f t="shared" si="13"/>
        <v>872</v>
      </c>
      <c r="E884" s="12" t="str">
        <f>IF($C$8&gt;=A884,$E$1&amp;" "&amp;A884,"")</f>
        <v/>
      </c>
      <c r="J884" s="8"/>
      <c r="M884" s="1"/>
      <c r="N884" s="1"/>
      <c r="O884" s="1"/>
      <c r="P884" s="9"/>
      <c r="Q884" s="9"/>
      <c r="R884" s="8"/>
      <c r="S884" s="8"/>
      <c r="T884" s="1"/>
    </row>
    <row r="885" spans="1:20" x14ac:dyDescent="0.2">
      <c r="A885" s="14">
        <f t="shared" si="13"/>
        <v>873</v>
      </c>
      <c r="E885" s="12" t="str">
        <f>IF($C$8&gt;=A885,$E$1&amp;" "&amp;A885,"")</f>
        <v/>
      </c>
      <c r="J885" s="8"/>
      <c r="M885" s="1"/>
      <c r="N885" s="1"/>
      <c r="O885" s="1"/>
      <c r="P885" s="9"/>
      <c r="Q885" s="9"/>
      <c r="R885" s="8"/>
      <c r="S885" s="8"/>
      <c r="T885" s="1"/>
    </row>
    <row r="886" spans="1:20" x14ac:dyDescent="0.2">
      <c r="A886" s="14">
        <f t="shared" si="13"/>
        <v>874</v>
      </c>
      <c r="E886" s="12" t="str">
        <f>IF($C$8&gt;=A886,$E$1&amp;" "&amp;A886,"")</f>
        <v/>
      </c>
      <c r="J886" s="8"/>
      <c r="M886" s="1"/>
      <c r="N886" s="1"/>
      <c r="O886" s="1"/>
      <c r="P886" s="9"/>
      <c r="Q886" s="9"/>
      <c r="R886" s="8"/>
      <c r="S886" s="8"/>
      <c r="T886" s="1"/>
    </row>
    <row r="887" spans="1:20" x14ac:dyDescent="0.2">
      <c r="A887" s="14">
        <f t="shared" si="13"/>
        <v>875</v>
      </c>
      <c r="E887" s="12" t="str">
        <f>IF($C$8&gt;=A887,$E$1&amp;" "&amp;A887,"")</f>
        <v/>
      </c>
      <c r="J887" s="8"/>
      <c r="M887" s="1"/>
      <c r="N887" s="1"/>
      <c r="O887" s="1"/>
      <c r="P887" s="9"/>
      <c r="Q887" s="9"/>
      <c r="R887" s="8"/>
      <c r="S887" s="8"/>
      <c r="T887" s="1"/>
    </row>
    <row r="888" spans="1:20" x14ac:dyDescent="0.2">
      <c r="A888" s="14">
        <f t="shared" si="13"/>
        <v>876</v>
      </c>
      <c r="E888" s="12" t="str">
        <f>IF($C$8&gt;=A888,$E$1&amp;" "&amp;A888,"")</f>
        <v/>
      </c>
      <c r="J888" s="8"/>
      <c r="M888" s="1"/>
      <c r="N888" s="1"/>
      <c r="O888" s="1"/>
      <c r="P888" s="9"/>
      <c r="Q888" s="9"/>
      <c r="R888" s="8"/>
      <c r="S888" s="8"/>
      <c r="T888" s="1"/>
    </row>
    <row r="889" spans="1:20" x14ac:dyDescent="0.2">
      <c r="A889" s="14">
        <f t="shared" si="13"/>
        <v>877</v>
      </c>
      <c r="E889" s="12" t="str">
        <f>IF($C$8&gt;=A889,$E$1&amp;" "&amp;A889,"")</f>
        <v/>
      </c>
      <c r="J889" s="8"/>
      <c r="M889" s="1"/>
      <c r="N889" s="1"/>
      <c r="O889" s="1"/>
      <c r="P889" s="9"/>
      <c r="Q889" s="9"/>
      <c r="R889" s="8"/>
      <c r="S889" s="8"/>
      <c r="T889" s="1"/>
    </row>
    <row r="890" spans="1:20" x14ac:dyDescent="0.2">
      <c r="A890" s="14">
        <f t="shared" si="13"/>
        <v>878</v>
      </c>
      <c r="E890" s="12" t="str">
        <f>IF($C$8&gt;=A890,$E$1&amp;" "&amp;A890,"")</f>
        <v/>
      </c>
      <c r="J890" s="8"/>
      <c r="M890" s="1"/>
      <c r="N890" s="1"/>
      <c r="O890" s="1"/>
      <c r="P890" s="9"/>
      <c r="Q890" s="9"/>
      <c r="R890" s="8"/>
      <c r="S890" s="8"/>
      <c r="T890" s="1"/>
    </row>
    <row r="891" spans="1:20" x14ac:dyDescent="0.2">
      <c r="A891" s="14">
        <f t="shared" si="13"/>
        <v>879</v>
      </c>
      <c r="E891" s="12" t="str">
        <f>IF($C$8&gt;=A891,$E$1&amp;" "&amp;A891,"")</f>
        <v/>
      </c>
      <c r="J891" s="8"/>
      <c r="M891" s="1"/>
      <c r="N891" s="1"/>
      <c r="O891" s="1"/>
      <c r="P891" s="9"/>
      <c r="Q891" s="9"/>
      <c r="R891" s="8"/>
      <c r="S891" s="8"/>
      <c r="T891" s="1"/>
    </row>
    <row r="892" spans="1:20" x14ac:dyDescent="0.2">
      <c r="A892" s="14">
        <f t="shared" si="13"/>
        <v>880</v>
      </c>
      <c r="E892" s="12" t="str">
        <f>IF($C$8&gt;=A892,$E$1&amp;" "&amp;A892,"")</f>
        <v/>
      </c>
      <c r="J892" s="8"/>
      <c r="M892" s="1"/>
      <c r="N892" s="1"/>
      <c r="O892" s="1"/>
      <c r="P892" s="9"/>
      <c r="Q892" s="9"/>
      <c r="R892" s="8"/>
      <c r="S892" s="8"/>
      <c r="T892" s="1"/>
    </row>
    <row r="893" spans="1:20" x14ac:dyDescent="0.2">
      <c r="A893" s="14">
        <f t="shared" si="13"/>
        <v>881</v>
      </c>
      <c r="E893" s="12" t="str">
        <f>IF($C$8&gt;=A893,$E$1&amp;" "&amp;A893,"")</f>
        <v/>
      </c>
      <c r="J893" s="8"/>
      <c r="M893" s="1"/>
      <c r="N893" s="1"/>
      <c r="O893" s="1"/>
      <c r="P893" s="9"/>
      <c r="Q893" s="9"/>
      <c r="R893" s="8"/>
      <c r="S893" s="8"/>
      <c r="T893" s="1"/>
    </row>
    <row r="894" spans="1:20" x14ac:dyDescent="0.2">
      <c r="A894" s="14">
        <f t="shared" si="13"/>
        <v>882</v>
      </c>
      <c r="E894" s="12" t="str">
        <f>IF($C$8&gt;=A894,$E$1&amp;" "&amp;A894,"")</f>
        <v/>
      </c>
      <c r="J894" s="8"/>
      <c r="M894" s="1"/>
      <c r="N894" s="1"/>
      <c r="O894" s="1"/>
      <c r="P894" s="9"/>
      <c r="Q894" s="9"/>
      <c r="R894" s="8"/>
      <c r="S894" s="8"/>
      <c r="T894" s="1"/>
    </row>
    <row r="895" spans="1:20" x14ac:dyDescent="0.2">
      <c r="A895" s="14">
        <f t="shared" si="13"/>
        <v>883</v>
      </c>
      <c r="E895" s="12" t="str">
        <f>IF($C$8&gt;=A895,$E$1&amp;" "&amp;A895,"")</f>
        <v/>
      </c>
      <c r="J895" s="8"/>
      <c r="M895" s="1"/>
      <c r="N895" s="1"/>
      <c r="O895" s="1"/>
      <c r="P895" s="9"/>
      <c r="Q895" s="9"/>
      <c r="R895" s="8"/>
      <c r="S895" s="8"/>
      <c r="T895" s="1"/>
    </row>
    <row r="896" spans="1:20" x14ac:dyDescent="0.2">
      <c r="A896" s="14">
        <f t="shared" si="13"/>
        <v>884</v>
      </c>
      <c r="E896" s="12" t="str">
        <f>IF($C$8&gt;=A896,$E$1&amp;" "&amp;A896,"")</f>
        <v/>
      </c>
      <c r="J896" s="8"/>
      <c r="M896" s="1"/>
      <c r="N896" s="1"/>
      <c r="O896" s="1"/>
      <c r="P896" s="9"/>
      <c r="Q896" s="9"/>
      <c r="R896" s="8"/>
      <c r="S896" s="8"/>
      <c r="T896" s="1"/>
    </row>
    <row r="897" spans="1:20" x14ac:dyDescent="0.2">
      <c r="A897" s="14">
        <f t="shared" si="13"/>
        <v>885</v>
      </c>
      <c r="E897" s="12" t="str">
        <f>IF($C$8&gt;=A897,$E$1&amp;" "&amp;A897,"")</f>
        <v/>
      </c>
      <c r="J897" s="8"/>
      <c r="M897" s="1"/>
      <c r="N897" s="1"/>
      <c r="O897" s="1"/>
      <c r="P897" s="9"/>
      <c r="Q897" s="9"/>
      <c r="R897" s="8"/>
      <c r="S897" s="8"/>
      <c r="T897" s="1"/>
    </row>
    <row r="898" spans="1:20" x14ac:dyDescent="0.2">
      <c r="A898" s="14">
        <f t="shared" si="13"/>
        <v>886</v>
      </c>
      <c r="E898" s="12" t="str">
        <f>IF($C$8&gt;=A898,$E$1&amp;" "&amp;A898,"")</f>
        <v/>
      </c>
      <c r="J898" s="8"/>
      <c r="M898" s="1"/>
      <c r="N898" s="1"/>
      <c r="O898" s="1"/>
      <c r="P898" s="9"/>
      <c r="Q898" s="9"/>
      <c r="R898" s="8"/>
      <c r="S898" s="8"/>
      <c r="T898" s="1"/>
    </row>
    <row r="899" spans="1:20" x14ac:dyDescent="0.2">
      <c r="A899" s="14">
        <f t="shared" si="13"/>
        <v>887</v>
      </c>
      <c r="E899" s="12" t="str">
        <f>IF($C$8&gt;=A899,$E$1&amp;" "&amp;A899,"")</f>
        <v/>
      </c>
      <c r="J899" s="8"/>
      <c r="M899" s="1"/>
      <c r="N899" s="1"/>
      <c r="O899" s="1"/>
      <c r="P899" s="9"/>
      <c r="Q899" s="9"/>
      <c r="R899" s="8"/>
      <c r="S899" s="8"/>
      <c r="T899" s="1"/>
    </row>
    <row r="900" spans="1:20" x14ac:dyDescent="0.2">
      <c r="A900" s="14">
        <f t="shared" si="13"/>
        <v>888</v>
      </c>
      <c r="E900" s="12" t="str">
        <f>IF($C$8&gt;=A900,$E$1&amp;" "&amp;A900,"")</f>
        <v/>
      </c>
      <c r="J900" s="8"/>
      <c r="M900" s="1"/>
      <c r="N900" s="1"/>
      <c r="O900" s="1"/>
      <c r="P900" s="9"/>
      <c r="Q900" s="9"/>
      <c r="R900" s="8"/>
      <c r="S900" s="8"/>
      <c r="T900" s="1"/>
    </row>
    <row r="901" spans="1:20" x14ac:dyDescent="0.2">
      <c r="A901" s="14">
        <f t="shared" si="13"/>
        <v>889</v>
      </c>
      <c r="E901" s="12" t="str">
        <f>IF($C$8&gt;=A901,$E$1&amp;" "&amp;A901,"")</f>
        <v/>
      </c>
      <c r="J901" s="8"/>
      <c r="M901" s="1"/>
      <c r="N901" s="1"/>
      <c r="O901" s="1"/>
      <c r="P901" s="9"/>
      <c r="Q901" s="9"/>
      <c r="R901" s="8"/>
      <c r="S901" s="8"/>
      <c r="T901" s="1"/>
    </row>
    <row r="902" spans="1:20" x14ac:dyDescent="0.2">
      <c r="A902" s="14">
        <f t="shared" si="13"/>
        <v>890</v>
      </c>
      <c r="E902" s="12" t="str">
        <f>IF($C$8&gt;=A902,$E$1&amp;" "&amp;A902,"")</f>
        <v/>
      </c>
      <c r="J902" s="8"/>
      <c r="M902" s="1"/>
      <c r="N902" s="1"/>
      <c r="O902" s="1"/>
      <c r="P902" s="9"/>
      <c r="Q902" s="9"/>
      <c r="R902" s="8"/>
      <c r="S902" s="8"/>
      <c r="T902" s="1"/>
    </row>
    <row r="903" spans="1:20" x14ac:dyDescent="0.2">
      <c r="A903" s="14">
        <f t="shared" si="13"/>
        <v>891</v>
      </c>
      <c r="E903" s="12" t="str">
        <f>IF($C$8&gt;=A903,$E$1&amp;" "&amp;A903,"")</f>
        <v/>
      </c>
      <c r="J903" s="8"/>
      <c r="M903" s="1"/>
      <c r="N903" s="1"/>
      <c r="O903" s="1"/>
      <c r="P903" s="9"/>
      <c r="Q903" s="9"/>
      <c r="R903" s="8"/>
      <c r="S903" s="8"/>
      <c r="T903" s="1"/>
    </row>
    <row r="904" spans="1:20" x14ac:dyDescent="0.2">
      <c r="A904" s="14">
        <f t="shared" si="13"/>
        <v>892</v>
      </c>
      <c r="E904" s="12" t="str">
        <f>IF($C$8&gt;=A904,$E$1&amp;" "&amp;A904,"")</f>
        <v/>
      </c>
      <c r="J904" s="8"/>
      <c r="M904" s="1"/>
      <c r="N904" s="1"/>
      <c r="O904" s="1"/>
      <c r="P904" s="9"/>
      <c r="Q904" s="9"/>
      <c r="R904" s="8"/>
      <c r="S904" s="8"/>
      <c r="T904" s="1"/>
    </row>
    <row r="905" spans="1:20" x14ac:dyDescent="0.2">
      <c r="A905" s="14">
        <f t="shared" si="13"/>
        <v>893</v>
      </c>
      <c r="E905" s="12" t="str">
        <f>IF($C$8&gt;=A905,$E$1&amp;" "&amp;A905,"")</f>
        <v/>
      </c>
      <c r="J905" s="8"/>
      <c r="M905" s="1"/>
      <c r="N905" s="1"/>
      <c r="O905" s="1"/>
      <c r="P905" s="9"/>
      <c r="Q905" s="9"/>
      <c r="R905" s="8"/>
      <c r="S905" s="8"/>
      <c r="T905" s="1"/>
    </row>
    <row r="906" spans="1:20" x14ac:dyDescent="0.2">
      <c r="A906" s="14">
        <f t="shared" si="13"/>
        <v>894</v>
      </c>
      <c r="E906" s="12" t="str">
        <f>IF($C$8&gt;=A906,$E$1&amp;" "&amp;A906,"")</f>
        <v/>
      </c>
      <c r="J906" s="8"/>
      <c r="M906" s="1"/>
      <c r="N906" s="1"/>
      <c r="O906" s="1"/>
      <c r="P906" s="9"/>
      <c r="Q906" s="9"/>
      <c r="R906" s="8"/>
      <c r="S906" s="8"/>
      <c r="T906" s="1"/>
    </row>
    <row r="907" spans="1:20" x14ac:dyDescent="0.2">
      <c r="A907" s="14">
        <f t="shared" si="13"/>
        <v>895</v>
      </c>
      <c r="E907" s="12" t="str">
        <f>IF($C$8&gt;=A907,$E$1&amp;" "&amp;A907,"")</f>
        <v/>
      </c>
      <c r="J907" s="8"/>
      <c r="M907" s="1"/>
      <c r="N907" s="1"/>
      <c r="O907" s="1"/>
      <c r="P907" s="9"/>
      <c r="Q907" s="9"/>
      <c r="R907" s="8"/>
      <c r="S907" s="8"/>
      <c r="T907" s="1"/>
    </row>
    <row r="908" spans="1:20" x14ac:dyDescent="0.2">
      <c r="A908" s="14">
        <f t="shared" si="13"/>
        <v>896</v>
      </c>
      <c r="E908" s="12" t="str">
        <f>IF($C$8&gt;=A908,$E$1&amp;" "&amp;A908,"")</f>
        <v/>
      </c>
      <c r="J908" s="8"/>
      <c r="M908" s="1"/>
      <c r="N908" s="1"/>
      <c r="O908" s="1"/>
      <c r="P908" s="9"/>
      <c r="Q908" s="9"/>
      <c r="R908" s="8"/>
      <c r="S908" s="8"/>
      <c r="T908" s="1"/>
    </row>
    <row r="909" spans="1:20" x14ac:dyDescent="0.2">
      <c r="A909" s="14">
        <f t="shared" si="13"/>
        <v>897</v>
      </c>
      <c r="E909" s="12" t="str">
        <f>IF($C$8&gt;=A909,$E$1&amp;" "&amp;A909,"")</f>
        <v/>
      </c>
      <c r="J909" s="8"/>
      <c r="M909" s="1"/>
      <c r="N909" s="1"/>
      <c r="O909" s="1"/>
      <c r="P909" s="9"/>
      <c r="Q909" s="9"/>
      <c r="R909" s="8"/>
      <c r="S909" s="8"/>
      <c r="T909" s="1"/>
    </row>
    <row r="910" spans="1:20" x14ac:dyDescent="0.2">
      <c r="A910" s="14">
        <f t="shared" si="13"/>
        <v>898</v>
      </c>
      <c r="E910" s="12" t="str">
        <f>IF($C$8&gt;=A910,$E$1&amp;" "&amp;A910,"")</f>
        <v/>
      </c>
      <c r="J910" s="8"/>
      <c r="M910" s="1"/>
      <c r="N910" s="1"/>
      <c r="O910" s="1"/>
      <c r="P910" s="9"/>
      <c r="Q910" s="9"/>
      <c r="R910" s="8"/>
      <c r="S910" s="8"/>
      <c r="T910" s="1"/>
    </row>
    <row r="911" spans="1:20" x14ac:dyDescent="0.2">
      <c r="A911" s="14">
        <f t="shared" ref="A911:A974" si="14">A910+1</f>
        <v>899</v>
      </c>
      <c r="E911" s="12" t="str">
        <f>IF($C$8&gt;=A911,$E$1&amp;" "&amp;A911,"")</f>
        <v/>
      </c>
      <c r="J911" s="8"/>
      <c r="M911" s="1"/>
      <c r="N911" s="1"/>
      <c r="O911" s="1"/>
      <c r="P911" s="9"/>
      <c r="Q911" s="9"/>
      <c r="R911" s="8"/>
      <c r="S911" s="8"/>
      <c r="T911" s="1"/>
    </row>
    <row r="912" spans="1:20" x14ac:dyDescent="0.2">
      <c r="A912" s="14">
        <f t="shared" si="14"/>
        <v>900</v>
      </c>
      <c r="E912" s="12" t="str">
        <f>IF($C$8&gt;=A912,$E$1&amp;" "&amp;A912,"")</f>
        <v/>
      </c>
      <c r="J912" s="8"/>
      <c r="M912" s="1"/>
      <c r="N912" s="1"/>
      <c r="O912" s="1"/>
      <c r="P912" s="9"/>
      <c r="Q912" s="9"/>
      <c r="R912" s="8"/>
      <c r="S912" s="8"/>
      <c r="T912" s="1"/>
    </row>
    <row r="913" spans="1:20" x14ac:dyDescent="0.2">
      <c r="A913" s="14">
        <f t="shared" si="14"/>
        <v>901</v>
      </c>
      <c r="E913" s="12" t="str">
        <f>IF($C$8&gt;=A913,$E$1&amp;" "&amp;A913,"")</f>
        <v/>
      </c>
      <c r="J913" s="8"/>
      <c r="M913" s="1"/>
      <c r="N913" s="1"/>
      <c r="O913" s="1"/>
      <c r="P913" s="9"/>
      <c r="Q913" s="9"/>
      <c r="R913" s="8"/>
      <c r="S913" s="8"/>
      <c r="T913" s="1"/>
    </row>
    <row r="914" spans="1:20" x14ac:dyDescent="0.2">
      <c r="A914" s="14">
        <f t="shared" si="14"/>
        <v>902</v>
      </c>
      <c r="E914" s="12" t="str">
        <f>IF($C$8&gt;=A914,$E$1&amp;" "&amp;A914,"")</f>
        <v/>
      </c>
      <c r="J914" s="8"/>
      <c r="M914" s="1"/>
      <c r="N914" s="1"/>
      <c r="O914" s="1"/>
      <c r="P914" s="9"/>
      <c r="Q914" s="9"/>
      <c r="R914" s="8"/>
      <c r="S914" s="8"/>
      <c r="T914" s="1"/>
    </row>
    <row r="915" spans="1:20" x14ac:dyDescent="0.2">
      <c r="A915" s="14">
        <f t="shared" si="14"/>
        <v>903</v>
      </c>
      <c r="E915" s="12" t="str">
        <f>IF($C$8&gt;=A915,$E$1&amp;" "&amp;A915,"")</f>
        <v/>
      </c>
      <c r="J915" s="8"/>
      <c r="M915" s="1"/>
      <c r="N915" s="1"/>
      <c r="O915" s="1"/>
      <c r="P915" s="9"/>
      <c r="Q915" s="9"/>
      <c r="R915" s="8"/>
      <c r="S915" s="8"/>
      <c r="T915" s="1"/>
    </row>
    <row r="916" spans="1:20" x14ac:dyDescent="0.2">
      <c r="A916" s="14">
        <f t="shared" si="14"/>
        <v>904</v>
      </c>
      <c r="E916" s="12" t="str">
        <f>IF($C$8&gt;=A916,$E$1&amp;" "&amp;A916,"")</f>
        <v/>
      </c>
      <c r="J916" s="8"/>
      <c r="M916" s="1"/>
      <c r="N916" s="1"/>
      <c r="O916" s="1"/>
      <c r="P916" s="9"/>
      <c r="Q916" s="9"/>
      <c r="R916" s="8"/>
      <c r="S916" s="8"/>
      <c r="T916" s="1"/>
    </row>
    <row r="917" spans="1:20" x14ac:dyDescent="0.2">
      <c r="A917" s="14">
        <f t="shared" si="14"/>
        <v>905</v>
      </c>
      <c r="E917" s="12" t="str">
        <f>IF($C$8&gt;=A917,$E$1&amp;" "&amp;A917,"")</f>
        <v/>
      </c>
      <c r="J917" s="8"/>
      <c r="M917" s="1"/>
      <c r="N917" s="1"/>
      <c r="O917" s="1"/>
      <c r="P917" s="9"/>
      <c r="Q917" s="9"/>
      <c r="R917" s="8"/>
      <c r="S917" s="8"/>
      <c r="T917" s="1"/>
    </row>
    <row r="918" spans="1:20" x14ac:dyDescent="0.2">
      <c r="A918" s="14">
        <f t="shared" si="14"/>
        <v>906</v>
      </c>
      <c r="E918" s="12" t="str">
        <f>IF($C$8&gt;=A918,$E$1&amp;" "&amp;A918,"")</f>
        <v/>
      </c>
      <c r="J918" s="8"/>
      <c r="M918" s="1"/>
      <c r="N918" s="1"/>
      <c r="O918" s="1"/>
      <c r="P918" s="9"/>
      <c r="Q918" s="9"/>
      <c r="R918" s="8"/>
      <c r="S918" s="8"/>
      <c r="T918" s="1"/>
    </row>
    <row r="919" spans="1:20" x14ac:dyDescent="0.2">
      <c r="A919" s="14">
        <f t="shared" si="14"/>
        <v>907</v>
      </c>
      <c r="E919" s="12" t="str">
        <f>IF($C$8&gt;=A919,$E$1&amp;" "&amp;A919,"")</f>
        <v/>
      </c>
      <c r="J919" s="8"/>
      <c r="M919" s="1"/>
      <c r="N919" s="1"/>
      <c r="O919" s="1"/>
      <c r="P919" s="9"/>
      <c r="Q919" s="9"/>
      <c r="R919" s="8"/>
      <c r="S919" s="8"/>
      <c r="T919" s="1"/>
    </row>
    <row r="920" spans="1:20" x14ac:dyDescent="0.2">
      <c r="A920" s="14">
        <f t="shared" si="14"/>
        <v>908</v>
      </c>
      <c r="E920" s="12" t="str">
        <f>IF($C$8&gt;=A920,$E$1&amp;" "&amp;A920,"")</f>
        <v/>
      </c>
      <c r="J920" s="8"/>
      <c r="M920" s="1"/>
      <c r="N920" s="1"/>
      <c r="O920" s="1"/>
      <c r="P920" s="9"/>
      <c r="Q920" s="9"/>
      <c r="R920" s="8"/>
      <c r="S920" s="8"/>
      <c r="T920" s="1"/>
    </row>
    <row r="921" spans="1:20" x14ac:dyDescent="0.2">
      <c r="A921" s="14">
        <f t="shared" si="14"/>
        <v>909</v>
      </c>
      <c r="E921" s="12" t="str">
        <f>IF($C$8&gt;=A921,$E$1&amp;" "&amp;A921,"")</f>
        <v/>
      </c>
      <c r="J921" s="8"/>
      <c r="M921" s="1"/>
      <c r="N921" s="1"/>
      <c r="O921" s="1"/>
      <c r="P921" s="9"/>
      <c r="Q921" s="9"/>
      <c r="R921" s="8"/>
      <c r="S921" s="8"/>
      <c r="T921" s="1"/>
    </row>
    <row r="922" spans="1:20" x14ac:dyDescent="0.2">
      <c r="A922" s="14">
        <f t="shared" si="14"/>
        <v>910</v>
      </c>
      <c r="E922" s="12" t="str">
        <f>IF($C$8&gt;=A922,$E$1&amp;" "&amp;A922,"")</f>
        <v/>
      </c>
      <c r="J922" s="8"/>
      <c r="M922" s="1"/>
      <c r="N922" s="1"/>
      <c r="O922" s="1"/>
      <c r="P922" s="9"/>
      <c r="Q922" s="9"/>
      <c r="R922" s="8"/>
      <c r="S922" s="8"/>
      <c r="T922" s="1"/>
    </row>
    <row r="923" spans="1:20" x14ac:dyDescent="0.2">
      <c r="A923" s="14">
        <f t="shared" si="14"/>
        <v>911</v>
      </c>
      <c r="E923" s="12" t="str">
        <f>IF($C$8&gt;=A923,$E$1&amp;" "&amp;A923,"")</f>
        <v/>
      </c>
      <c r="J923" s="8"/>
      <c r="M923" s="1"/>
      <c r="N923" s="1"/>
      <c r="O923" s="1"/>
      <c r="P923" s="9"/>
      <c r="Q923" s="9"/>
      <c r="R923" s="8"/>
      <c r="S923" s="8"/>
      <c r="T923" s="1"/>
    </row>
    <row r="924" spans="1:20" x14ac:dyDescent="0.2">
      <c r="A924" s="14">
        <f t="shared" si="14"/>
        <v>912</v>
      </c>
      <c r="E924" s="12" t="str">
        <f>IF($C$8&gt;=A924,$E$1&amp;" "&amp;A924,"")</f>
        <v/>
      </c>
      <c r="J924" s="8"/>
      <c r="M924" s="1"/>
      <c r="N924" s="1"/>
      <c r="O924" s="1"/>
      <c r="P924" s="9"/>
      <c r="Q924" s="9"/>
      <c r="R924" s="8"/>
      <c r="S924" s="8"/>
      <c r="T924" s="1"/>
    </row>
    <row r="925" spans="1:20" x14ac:dyDescent="0.2">
      <c r="A925" s="14">
        <f t="shared" si="14"/>
        <v>913</v>
      </c>
      <c r="E925" s="12" t="str">
        <f>IF($C$8&gt;=A925,$E$1&amp;" "&amp;A925,"")</f>
        <v/>
      </c>
      <c r="J925" s="8"/>
      <c r="M925" s="1"/>
      <c r="N925" s="1"/>
      <c r="O925" s="1"/>
      <c r="P925" s="9"/>
      <c r="Q925" s="9"/>
      <c r="R925" s="8"/>
      <c r="S925" s="8"/>
      <c r="T925" s="1"/>
    </row>
    <row r="926" spans="1:20" x14ac:dyDescent="0.2">
      <c r="A926" s="14">
        <f t="shared" si="14"/>
        <v>914</v>
      </c>
      <c r="E926" s="12" t="str">
        <f>IF($C$8&gt;=A926,$E$1&amp;" "&amp;A926,"")</f>
        <v/>
      </c>
      <c r="J926" s="8"/>
      <c r="M926" s="1"/>
      <c r="N926" s="1"/>
      <c r="O926" s="1"/>
      <c r="P926" s="9"/>
      <c r="Q926" s="9"/>
      <c r="R926" s="8"/>
      <c r="S926" s="8"/>
      <c r="T926" s="1"/>
    </row>
    <row r="927" spans="1:20" x14ac:dyDescent="0.2">
      <c r="A927" s="14">
        <f t="shared" si="14"/>
        <v>915</v>
      </c>
      <c r="E927" s="12" t="str">
        <f>IF($C$8&gt;=A927,$E$1&amp;" "&amp;A927,"")</f>
        <v/>
      </c>
      <c r="J927" s="8"/>
      <c r="M927" s="1"/>
      <c r="N927" s="1"/>
      <c r="O927" s="1"/>
      <c r="P927" s="9"/>
      <c r="Q927" s="9"/>
      <c r="R927" s="8"/>
      <c r="S927" s="8"/>
      <c r="T927" s="1"/>
    </row>
    <row r="928" spans="1:20" x14ac:dyDescent="0.2">
      <c r="A928" s="14">
        <f t="shared" si="14"/>
        <v>916</v>
      </c>
      <c r="E928" s="12" t="str">
        <f>IF($C$8&gt;=A928,$E$1&amp;" "&amp;A928,"")</f>
        <v/>
      </c>
      <c r="J928" s="8"/>
      <c r="M928" s="1"/>
      <c r="N928" s="1"/>
      <c r="O928" s="1"/>
      <c r="P928" s="9"/>
      <c r="Q928" s="9"/>
      <c r="R928" s="8"/>
      <c r="S928" s="8"/>
      <c r="T928" s="1"/>
    </row>
    <row r="929" spans="1:20" x14ac:dyDescent="0.2">
      <c r="A929" s="14">
        <f t="shared" si="14"/>
        <v>917</v>
      </c>
      <c r="E929" s="12" t="str">
        <f>IF($C$8&gt;=A929,$E$1&amp;" "&amp;A929,"")</f>
        <v/>
      </c>
      <c r="J929" s="8"/>
      <c r="M929" s="1"/>
      <c r="N929" s="1"/>
      <c r="O929" s="1"/>
      <c r="P929" s="9"/>
      <c r="Q929" s="9"/>
      <c r="R929" s="8"/>
      <c r="S929" s="8"/>
      <c r="T929" s="1"/>
    </row>
    <row r="930" spans="1:20" x14ac:dyDescent="0.2">
      <c r="A930" s="14">
        <f t="shared" si="14"/>
        <v>918</v>
      </c>
      <c r="E930" s="12" t="str">
        <f>IF($C$8&gt;=A930,$E$1&amp;" "&amp;A930,"")</f>
        <v/>
      </c>
      <c r="J930" s="8"/>
      <c r="M930" s="1"/>
      <c r="N930" s="1"/>
      <c r="O930" s="1"/>
      <c r="P930" s="9"/>
      <c r="Q930" s="9"/>
      <c r="R930" s="8"/>
      <c r="S930" s="8"/>
      <c r="T930" s="1"/>
    </row>
    <row r="931" spans="1:20" x14ac:dyDescent="0.2">
      <c r="A931" s="14">
        <f t="shared" si="14"/>
        <v>919</v>
      </c>
      <c r="E931" s="12" t="str">
        <f>IF($C$8&gt;=A931,$E$1&amp;" "&amp;A931,"")</f>
        <v/>
      </c>
      <c r="J931" s="8"/>
      <c r="M931" s="1"/>
      <c r="N931" s="1"/>
      <c r="O931" s="1"/>
      <c r="P931" s="9"/>
      <c r="Q931" s="9"/>
      <c r="R931" s="8"/>
      <c r="S931" s="8"/>
      <c r="T931" s="1"/>
    </row>
    <row r="932" spans="1:20" x14ac:dyDescent="0.2">
      <c r="A932" s="14">
        <f t="shared" si="14"/>
        <v>920</v>
      </c>
      <c r="E932" s="12" t="str">
        <f>IF($C$8&gt;=A932,$E$1&amp;" "&amp;A932,"")</f>
        <v/>
      </c>
      <c r="J932" s="8"/>
      <c r="M932" s="1"/>
      <c r="N932" s="1"/>
      <c r="O932" s="1"/>
      <c r="P932" s="9"/>
      <c r="Q932" s="9"/>
      <c r="R932" s="8"/>
      <c r="S932" s="8"/>
      <c r="T932" s="1"/>
    </row>
    <row r="933" spans="1:20" x14ac:dyDescent="0.2">
      <c r="A933" s="14">
        <f t="shared" si="14"/>
        <v>921</v>
      </c>
      <c r="E933" s="12" t="str">
        <f>IF($C$8&gt;=A933,$E$1&amp;" "&amp;A933,"")</f>
        <v/>
      </c>
      <c r="J933" s="8"/>
      <c r="M933" s="1"/>
      <c r="N933" s="1"/>
      <c r="O933" s="1"/>
      <c r="P933" s="9"/>
      <c r="Q933" s="9"/>
      <c r="R933" s="8"/>
      <c r="S933" s="8"/>
      <c r="T933" s="1"/>
    </row>
    <row r="934" spans="1:20" x14ac:dyDescent="0.2">
      <c r="A934" s="14">
        <f t="shared" si="14"/>
        <v>922</v>
      </c>
      <c r="E934" s="12" t="str">
        <f>IF($C$8&gt;=A934,$E$1&amp;" "&amp;A934,"")</f>
        <v/>
      </c>
      <c r="J934" s="8"/>
      <c r="M934" s="1"/>
      <c r="N934" s="1"/>
      <c r="O934" s="1"/>
      <c r="P934" s="9"/>
      <c r="Q934" s="9"/>
      <c r="R934" s="8"/>
      <c r="S934" s="8"/>
      <c r="T934" s="1"/>
    </row>
    <row r="935" spans="1:20" x14ac:dyDescent="0.2">
      <c r="A935" s="14">
        <f t="shared" si="14"/>
        <v>923</v>
      </c>
      <c r="E935" s="12" t="str">
        <f>IF($C$8&gt;=A935,$E$1&amp;" "&amp;A935,"")</f>
        <v/>
      </c>
      <c r="J935" s="8"/>
      <c r="M935" s="1"/>
      <c r="N935" s="1"/>
      <c r="O935" s="1"/>
      <c r="P935" s="9"/>
      <c r="Q935" s="9"/>
      <c r="R935" s="8"/>
      <c r="S935" s="8"/>
      <c r="T935" s="1"/>
    </row>
    <row r="936" spans="1:20" x14ac:dyDescent="0.2">
      <c r="A936" s="14">
        <f t="shared" si="14"/>
        <v>924</v>
      </c>
      <c r="E936" s="12" t="str">
        <f>IF($C$8&gt;=A936,$E$1&amp;" "&amp;A936,"")</f>
        <v/>
      </c>
      <c r="J936" s="8"/>
      <c r="M936" s="1"/>
      <c r="N936" s="1"/>
      <c r="O936" s="1"/>
      <c r="P936" s="9"/>
      <c r="Q936" s="9"/>
      <c r="R936" s="8"/>
      <c r="S936" s="8"/>
      <c r="T936" s="1"/>
    </row>
    <row r="937" spans="1:20" x14ac:dyDescent="0.2">
      <c r="A937" s="14">
        <f t="shared" si="14"/>
        <v>925</v>
      </c>
      <c r="E937" s="12" t="str">
        <f>IF($C$8&gt;=A937,$E$1&amp;" "&amp;A937,"")</f>
        <v/>
      </c>
      <c r="J937" s="8"/>
      <c r="M937" s="1"/>
      <c r="N937" s="1"/>
      <c r="O937" s="1"/>
      <c r="P937" s="9"/>
      <c r="Q937" s="9"/>
      <c r="R937" s="8"/>
      <c r="S937" s="8"/>
      <c r="T937" s="1"/>
    </row>
    <row r="938" spans="1:20" x14ac:dyDescent="0.2">
      <c r="A938" s="14">
        <f t="shared" si="14"/>
        <v>926</v>
      </c>
      <c r="E938" s="12" t="str">
        <f>IF($C$8&gt;=A938,$E$1&amp;" "&amp;A938,"")</f>
        <v/>
      </c>
      <c r="J938" s="8"/>
      <c r="M938" s="1"/>
      <c r="N938" s="1"/>
      <c r="O938" s="1"/>
      <c r="P938" s="9"/>
      <c r="Q938" s="9"/>
      <c r="R938" s="8"/>
      <c r="S938" s="8"/>
      <c r="T938" s="1"/>
    </row>
    <row r="939" spans="1:20" x14ac:dyDescent="0.2">
      <c r="A939" s="14">
        <f t="shared" si="14"/>
        <v>927</v>
      </c>
      <c r="E939" s="12" t="str">
        <f>IF($C$8&gt;=A939,$E$1&amp;" "&amp;A939,"")</f>
        <v/>
      </c>
      <c r="J939" s="8"/>
      <c r="M939" s="1"/>
      <c r="N939" s="1"/>
      <c r="O939" s="1"/>
      <c r="P939" s="9"/>
      <c r="Q939" s="9"/>
      <c r="R939" s="8"/>
      <c r="S939" s="8"/>
      <c r="T939" s="1"/>
    </row>
    <row r="940" spans="1:20" x14ac:dyDescent="0.2">
      <c r="A940" s="14">
        <f t="shared" si="14"/>
        <v>928</v>
      </c>
      <c r="E940" s="12" t="str">
        <f>IF($C$8&gt;=A940,$E$1&amp;" "&amp;A940,"")</f>
        <v/>
      </c>
      <c r="J940" s="8"/>
      <c r="M940" s="1"/>
      <c r="N940" s="1"/>
      <c r="O940" s="1"/>
      <c r="P940" s="9"/>
      <c r="Q940" s="9"/>
      <c r="R940" s="8"/>
      <c r="S940" s="8"/>
      <c r="T940" s="1"/>
    </row>
    <row r="941" spans="1:20" x14ac:dyDescent="0.2">
      <c r="A941" s="14">
        <f t="shared" si="14"/>
        <v>929</v>
      </c>
      <c r="E941" s="12" t="str">
        <f>IF($C$8&gt;=A941,$E$1&amp;" "&amp;A941,"")</f>
        <v/>
      </c>
      <c r="J941" s="8"/>
      <c r="M941" s="1"/>
      <c r="N941" s="1"/>
      <c r="O941" s="1"/>
      <c r="P941" s="9"/>
      <c r="Q941" s="9"/>
      <c r="R941" s="8"/>
      <c r="S941" s="8"/>
      <c r="T941" s="1"/>
    </row>
    <row r="942" spans="1:20" x14ac:dyDescent="0.2">
      <c r="A942" s="14">
        <f t="shared" si="14"/>
        <v>930</v>
      </c>
      <c r="E942" s="12" t="str">
        <f>IF($C$8&gt;=A942,$E$1&amp;" "&amp;A942,"")</f>
        <v/>
      </c>
      <c r="J942" s="8"/>
      <c r="M942" s="1"/>
      <c r="N942" s="1"/>
      <c r="O942" s="1"/>
      <c r="P942" s="9"/>
      <c r="Q942" s="9"/>
      <c r="R942" s="8"/>
      <c r="S942" s="8"/>
      <c r="T942" s="1"/>
    </row>
    <row r="943" spans="1:20" x14ac:dyDescent="0.2">
      <c r="A943" s="14">
        <f t="shared" si="14"/>
        <v>931</v>
      </c>
      <c r="E943" s="12" t="str">
        <f>IF($C$8&gt;=A943,$E$1&amp;" "&amp;A943,"")</f>
        <v/>
      </c>
      <c r="J943" s="8"/>
      <c r="M943" s="1"/>
      <c r="N943" s="1"/>
      <c r="O943" s="1"/>
      <c r="P943" s="9"/>
      <c r="Q943" s="9"/>
      <c r="R943" s="8"/>
      <c r="S943" s="8"/>
      <c r="T943" s="1"/>
    </row>
    <row r="944" spans="1:20" x14ac:dyDescent="0.2">
      <c r="A944" s="14">
        <f t="shared" si="14"/>
        <v>932</v>
      </c>
      <c r="E944" s="12" t="str">
        <f>IF($C$8&gt;=A944,$E$1&amp;" "&amp;A944,"")</f>
        <v/>
      </c>
      <c r="J944" s="8"/>
      <c r="M944" s="1"/>
      <c r="N944" s="1"/>
      <c r="O944" s="1"/>
      <c r="P944" s="9"/>
      <c r="Q944" s="9"/>
      <c r="R944" s="8"/>
      <c r="S944" s="8"/>
      <c r="T944" s="1"/>
    </row>
    <row r="945" spans="1:20" x14ac:dyDescent="0.2">
      <c r="A945" s="14">
        <f t="shared" si="14"/>
        <v>933</v>
      </c>
      <c r="E945" s="12" t="str">
        <f>IF($C$8&gt;=A945,$E$1&amp;" "&amp;A945,"")</f>
        <v/>
      </c>
      <c r="J945" s="8"/>
      <c r="M945" s="1"/>
      <c r="N945" s="1"/>
      <c r="O945" s="1"/>
      <c r="P945" s="9"/>
      <c r="Q945" s="9"/>
      <c r="R945" s="8"/>
      <c r="S945" s="8"/>
      <c r="T945" s="1"/>
    </row>
    <row r="946" spans="1:20" x14ac:dyDescent="0.2">
      <c r="A946" s="14">
        <f t="shared" si="14"/>
        <v>934</v>
      </c>
      <c r="E946" s="12" t="str">
        <f>IF($C$8&gt;=A946,$E$1&amp;" "&amp;A946,"")</f>
        <v/>
      </c>
      <c r="J946" s="8"/>
      <c r="M946" s="1"/>
      <c r="N946" s="1"/>
      <c r="O946" s="1"/>
      <c r="P946" s="9"/>
      <c r="Q946" s="9"/>
      <c r="R946" s="8"/>
      <c r="S946" s="8"/>
      <c r="T946" s="1"/>
    </row>
    <row r="947" spans="1:20" x14ac:dyDescent="0.2">
      <c r="A947" s="14">
        <f t="shared" si="14"/>
        <v>935</v>
      </c>
      <c r="E947" s="12" t="str">
        <f>IF($C$8&gt;=A947,$E$1&amp;" "&amp;A947,"")</f>
        <v/>
      </c>
      <c r="J947" s="8"/>
      <c r="M947" s="1"/>
      <c r="N947" s="1"/>
      <c r="O947" s="1"/>
      <c r="P947" s="9"/>
      <c r="Q947" s="9"/>
      <c r="R947" s="8"/>
      <c r="S947" s="8"/>
      <c r="T947" s="1"/>
    </row>
    <row r="948" spans="1:20" x14ac:dyDescent="0.2">
      <c r="A948" s="14">
        <f t="shared" si="14"/>
        <v>936</v>
      </c>
      <c r="E948" s="12" t="str">
        <f>IF($C$8&gt;=A948,$E$1&amp;" "&amp;A948,"")</f>
        <v/>
      </c>
      <c r="J948" s="8"/>
      <c r="M948" s="1"/>
      <c r="N948" s="1"/>
      <c r="O948" s="1"/>
      <c r="P948" s="9"/>
      <c r="Q948" s="9"/>
      <c r="R948" s="8"/>
      <c r="S948" s="8"/>
      <c r="T948" s="1"/>
    </row>
    <row r="949" spans="1:20" x14ac:dyDescent="0.2">
      <c r="A949" s="14">
        <f t="shared" si="14"/>
        <v>937</v>
      </c>
      <c r="E949" s="12" t="str">
        <f>IF($C$8&gt;=A949,$E$1&amp;" "&amp;A949,"")</f>
        <v/>
      </c>
      <c r="J949" s="8"/>
      <c r="M949" s="1"/>
      <c r="N949" s="1"/>
      <c r="O949" s="1"/>
      <c r="P949" s="9"/>
      <c r="Q949" s="9"/>
      <c r="R949" s="8"/>
      <c r="S949" s="8"/>
      <c r="T949" s="1"/>
    </row>
    <row r="950" spans="1:20" x14ac:dyDescent="0.2">
      <c r="A950" s="14">
        <f t="shared" si="14"/>
        <v>938</v>
      </c>
      <c r="E950" s="12" t="str">
        <f>IF($C$8&gt;=A950,$E$1&amp;" "&amp;A950,"")</f>
        <v/>
      </c>
      <c r="J950" s="8"/>
      <c r="M950" s="1"/>
      <c r="N950" s="1"/>
      <c r="O950" s="1"/>
      <c r="P950" s="9"/>
      <c r="Q950" s="9"/>
      <c r="R950" s="8"/>
      <c r="S950" s="8"/>
      <c r="T950" s="1"/>
    </row>
    <row r="951" spans="1:20" x14ac:dyDescent="0.2">
      <c r="A951" s="14">
        <f t="shared" si="14"/>
        <v>939</v>
      </c>
      <c r="E951" s="12" t="str">
        <f>IF($C$8&gt;=A951,$E$1&amp;" "&amp;A951,"")</f>
        <v/>
      </c>
      <c r="J951" s="8"/>
      <c r="M951" s="1"/>
      <c r="N951" s="1"/>
      <c r="O951" s="1"/>
      <c r="P951" s="9"/>
      <c r="Q951" s="9"/>
      <c r="R951" s="8"/>
      <c r="S951" s="8"/>
      <c r="T951" s="1"/>
    </row>
    <row r="952" spans="1:20" x14ac:dyDescent="0.2">
      <c r="A952" s="14">
        <f t="shared" si="14"/>
        <v>940</v>
      </c>
      <c r="E952" s="12" t="str">
        <f>IF($C$8&gt;=A952,$E$1&amp;" "&amp;A952,"")</f>
        <v/>
      </c>
      <c r="J952" s="8"/>
      <c r="M952" s="1"/>
      <c r="N952" s="1"/>
      <c r="O952" s="1"/>
      <c r="P952" s="9"/>
      <c r="Q952" s="9"/>
      <c r="R952" s="8"/>
      <c r="S952" s="8"/>
      <c r="T952" s="1"/>
    </row>
    <row r="953" spans="1:20" x14ac:dyDescent="0.2">
      <c r="A953" s="14">
        <f t="shared" si="14"/>
        <v>941</v>
      </c>
      <c r="E953" s="12" t="str">
        <f>IF($C$8&gt;=A953,$E$1&amp;" "&amp;A953,"")</f>
        <v/>
      </c>
      <c r="J953" s="8"/>
      <c r="M953" s="1"/>
      <c r="N953" s="1"/>
      <c r="O953" s="1"/>
      <c r="P953" s="9"/>
      <c r="Q953" s="9"/>
      <c r="R953" s="8"/>
      <c r="S953" s="8"/>
      <c r="T953" s="1"/>
    </row>
    <row r="954" spans="1:20" x14ac:dyDescent="0.2">
      <c r="A954" s="14">
        <f t="shared" si="14"/>
        <v>942</v>
      </c>
      <c r="E954" s="12" t="str">
        <f>IF($C$8&gt;=A954,$E$1&amp;" "&amp;A954,"")</f>
        <v/>
      </c>
      <c r="J954" s="8"/>
      <c r="M954" s="1"/>
      <c r="N954" s="1"/>
      <c r="O954" s="1"/>
      <c r="P954" s="9"/>
      <c r="Q954" s="9"/>
      <c r="R954" s="8"/>
      <c r="S954" s="8"/>
      <c r="T954" s="1"/>
    </row>
    <row r="955" spans="1:20" x14ac:dyDescent="0.2">
      <c r="A955" s="14">
        <f t="shared" si="14"/>
        <v>943</v>
      </c>
      <c r="E955" s="12" t="str">
        <f>IF($C$8&gt;=A955,$E$1&amp;" "&amp;A955,"")</f>
        <v/>
      </c>
      <c r="J955" s="8"/>
      <c r="M955" s="1"/>
      <c r="N955" s="1"/>
      <c r="O955" s="1"/>
      <c r="P955" s="9"/>
      <c r="Q955" s="9"/>
      <c r="R955" s="8"/>
      <c r="S955" s="8"/>
      <c r="T955" s="1"/>
    </row>
    <row r="956" spans="1:20" x14ac:dyDescent="0.2">
      <c r="A956" s="14">
        <f t="shared" si="14"/>
        <v>944</v>
      </c>
      <c r="E956" s="12" t="str">
        <f>IF($C$8&gt;=A956,$E$1&amp;" "&amp;A956,"")</f>
        <v/>
      </c>
      <c r="J956" s="8"/>
      <c r="M956" s="1"/>
      <c r="N956" s="1"/>
      <c r="O956" s="1"/>
      <c r="P956" s="9"/>
      <c r="Q956" s="9"/>
      <c r="R956" s="8"/>
      <c r="S956" s="8"/>
      <c r="T956" s="1"/>
    </row>
    <row r="957" spans="1:20" x14ac:dyDescent="0.2">
      <c r="A957" s="14">
        <f t="shared" si="14"/>
        <v>945</v>
      </c>
      <c r="E957" s="12" t="str">
        <f>IF($C$8&gt;=A957,$E$1&amp;" "&amp;A957,"")</f>
        <v/>
      </c>
      <c r="J957" s="8"/>
      <c r="M957" s="1"/>
      <c r="N957" s="1"/>
      <c r="O957" s="1"/>
      <c r="P957" s="9"/>
      <c r="Q957" s="9"/>
      <c r="R957" s="8"/>
      <c r="S957" s="8"/>
      <c r="T957" s="1"/>
    </row>
    <row r="958" spans="1:20" x14ac:dyDescent="0.2">
      <c r="A958" s="14">
        <f t="shared" si="14"/>
        <v>946</v>
      </c>
      <c r="E958" s="12" t="str">
        <f>IF($C$8&gt;=A958,$E$1&amp;" "&amp;A958,"")</f>
        <v/>
      </c>
      <c r="J958" s="8"/>
      <c r="M958" s="1"/>
      <c r="N958" s="1"/>
      <c r="O958" s="1"/>
      <c r="P958" s="9"/>
      <c r="Q958" s="9"/>
      <c r="R958" s="8"/>
      <c r="S958" s="8"/>
      <c r="T958" s="1"/>
    </row>
    <row r="959" spans="1:20" x14ac:dyDescent="0.2">
      <c r="A959" s="14">
        <f t="shared" si="14"/>
        <v>947</v>
      </c>
      <c r="E959" s="12" t="str">
        <f>IF($C$8&gt;=A959,$E$1&amp;" "&amp;A959,"")</f>
        <v/>
      </c>
      <c r="J959" s="8"/>
      <c r="M959" s="1"/>
      <c r="N959" s="1"/>
      <c r="O959" s="1"/>
      <c r="P959" s="9"/>
      <c r="Q959" s="9"/>
      <c r="R959" s="8"/>
      <c r="S959" s="8"/>
      <c r="T959" s="1"/>
    </row>
    <row r="960" spans="1:20" x14ac:dyDescent="0.2">
      <c r="A960" s="14">
        <f t="shared" si="14"/>
        <v>948</v>
      </c>
      <c r="E960" s="12" t="str">
        <f>IF($C$8&gt;=A960,$E$1&amp;" "&amp;A960,"")</f>
        <v/>
      </c>
      <c r="J960" s="8"/>
      <c r="M960" s="1"/>
      <c r="N960" s="1"/>
      <c r="O960" s="1"/>
      <c r="P960" s="9"/>
      <c r="Q960" s="9"/>
      <c r="R960" s="8"/>
      <c r="S960" s="8"/>
      <c r="T960" s="1"/>
    </row>
    <row r="961" spans="1:20" x14ac:dyDescent="0.2">
      <c r="A961" s="14">
        <f t="shared" si="14"/>
        <v>949</v>
      </c>
      <c r="E961" s="12" t="str">
        <f>IF($C$8&gt;=A961,$E$1&amp;" "&amp;A961,"")</f>
        <v/>
      </c>
      <c r="J961" s="8"/>
      <c r="M961" s="1"/>
      <c r="N961" s="1"/>
      <c r="O961" s="1"/>
      <c r="P961" s="9"/>
      <c r="Q961" s="9"/>
      <c r="R961" s="8"/>
      <c r="S961" s="8"/>
      <c r="T961" s="1"/>
    </row>
    <row r="962" spans="1:20" x14ac:dyDescent="0.2">
      <c r="A962" s="14">
        <f t="shared" si="14"/>
        <v>950</v>
      </c>
      <c r="E962" s="12" t="str">
        <f>IF($C$8&gt;=A962,$E$1&amp;" "&amp;A962,"")</f>
        <v/>
      </c>
      <c r="J962" s="8"/>
      <c r="M962" s="1"/>
      <c r="N962" s="1"/>
      <c r="O962" s="1"/>
      <c r="P962" s="9"/>
      <c r="Q962" s="9"/>
      <c r="R962" s="8"/>
      <c r="S962" s="8"/>
      <c r="T962" s="1"/>
    </row>
    <row r="963" spans="1:20" x14ac:dyDescent="0.2">
      <c r="A963" s="14">
        <f t="shared" si="14"/>
        <v>951</v>
      </c>
      <c r="E963" s="12" t="str">
        <f>IF($C$8&gt;=A963,$E$1&amp;" "&amp;A963,"")</f>
        <v/>
      </c>
      <c r="J963" s="8"/>
      <c r="M963" s="1"/>
      <c r="N963" s="1"/>
      <c r="O963" s="1"/>
      <c r="P963" s="9"/>
      <c r="Q963" s="9"/>
      <c r="R963" s="8"/>
      <c r="S963" s="8"/>
      <c r="T963" s="1"/>
    </row>
    <row r="964" spans="1:20" x14ac:dyDescent="0.2">
      <c r="A964" s="14">
        <f t="shared" si="14"/>
        <v>952</v>
      </c>
      <c r="E964" s="12" t="str">
        <f>IF($C$8&gt;=A964,$E$1&amp;" "&amp;A964,"")</f>
        <v/>
      </c>
      <c r="J964" s="8"/>
      <c r="M964" s="1"/>
      <c r="N964" s="1"/>
      <c r="O964" s="1"/>
      <c r="P964" s="9"/>
      <c r="Q964" s="9"/>
      <c r="R964" s="8"/>
      <c r="S964" s="8"/>
      <c r="T964" s="1"/>
    </row>
    <row r="965" spans="1:20" x14ac:dyDescent="0.2">
      <c r="A965" s="14">
        <f t="shared" si="14"/>
        <v>953</v>
      </c>
      <c r="E965" s="12" t="str">
        <f>IF($C$8&gt;=A965,$E$1&amp;" "&amp;A965,"")</f>
        <v/>
      </c>
      <c r="J965" s="8"/>
      <c r="M965" s="1"/>
      <c r="N965" s="1"/>
      <c r="O965" s="1"/>
      <c r="P965" s="9"/>
      <c r="Q965" s="9"/>
      <c r="R965" s="8"/>
      <c r="S965" s="8"/>
      <c r="T965" s="1"/>
    </row>
    <row r="966" spans="1:20" x14ac:dyDescent="0.2">
      <c r="A966" s="14">
        <f t="shared" si="14"/>
        <v>954</v>
      </c>
      <c r="E966" s="12" t="str">
        <f>IF($C$8&gt;=A966,$E$1&amp;" "&amp;A966,"")</f>
        <v/>
      </c>
      <c r="J966" s="8"/>
      <c r="M966" s="1"/>
      <c r="N966" s="1"/>
      <c r="O966" s="1"/>
      <c r="P966" s="9"/>
      <c r="Q966" s="9"/>
      <c r="R966" s="8"/>
      <c r="S966" s="8"/>
      <c r="T966" s="1"/>
    </row>
    <row r="967" spans="1:20" x14ac:dyDescent="0.2">
      <c r="A967" s="14">
        <f t="shared" si="14"/>
        <v>955</v>
      </c>
      <c r="E967" s="12" t="str">
        <f>IF($C$8&gt;=A967,$E$1&amp;" "&amp;A967,"")</f>
        <v/>
      </c>
      <c r="J967" s="8"/>
      <c r="M967" s="1"/>
      <c r="N967" s="1"/>
      <c r="O967" s="1"/>
      <c r="P967" s="9"/>
      <c r="Q967" s="9"/>
      <c r="R967" s="8"/>
      <c r="S967" s="8"/>
      <c r="T967" s="1"/>
    </row>
    <row r="968" spans="1:20" x14ac:dyDescent="0.2">
      <c r="A968" s="14">
        <f t="shared" si="14"/>
        <v>956</v>
      </c>
      <c r="E968" s="12" t="str">
        <f>IF($C$8&gt;=A968,$E$1&amp;" "&amp;A968,"")</f>
        <v/>
      </c>
      <c r="J968" s="8"/>
      <c r="M968" s="1"/>
      <c r="N968" s="1"/>
      <c r="O968" s="1"/>
      <c r="P968" s="9"/>
      <c r="Q968" s="9"/>
      <c r="R968" s="8"/>
      <c r="S968" s="8"/>
      <c r="T968" s="1"/>
    </row>
    <row r="969" spans="1:20" x14ac:dyDescent="0.2">
      <c r="A969" s="14">
        <f t="shared" si="14"/>
        <v>957</v>
      </c>
      <c r="E969" s="12" t="str">
        <f>IF($C$8&gt;=A969,$E$1&amp;" "&amp;A969,"")</f>
        <v/>
      </c>
      <c r="J969" s="8"/>
      <c r="M969" s="1"/>
      <c r="N969" s="1"/>
      <c r="O969" s="1"/>
      <c r="P969" s="9"/>
      <c r="Q969" s="9"/>
      <c r="R969" s="8"/>
      <c r="S969" s="8"/>
      <c r="T969" s="1"/>
    </row>
    <row r="970" spans="1:20" x14ac:dyDescent="0.2">
      <c r="A970" s="14">
        <f t="shared" si="14"/>
        <v>958</v>
      </c>
      <c r="E970" s="12" t="str">
        <f>IF($C$8&gt;=A970,$E$1&amp;" "&amp;A970,"")</f>
        <v/>
      </c>
      <c r="J970" s="8"/>
      <c r="M970" s="1"/>
      <c r="N970" s="1"/>
      <c r="O970" s="1"/>
      <c r="P970" s="9"/>
      <c r="Q970" s="9"/>
      <c r="R970" s="8"/>
      <c r="S970" s="8"/>
      <c r="T970" s="1"/>
    </row>
    <row r="971" spans="1:20" x14ac:dyDescent="0.2">
      <c r="A971" s="14">
        <f t="shared" si="14"/>
        <v>959</v>
      </c>
      <c r="E971" s="12" t="str">
        <f>IF($C$8&gt;=A971,$E$1&amp;" "&amp;A971,"")</f>
        <v/>
      </c>
      <c r="J971" s="8"/>
      <c r="M971" s="1"/>
      <c r="N971" s="1"/>
      <c r="O971" s="1"/>
      <c r="P971" s="9"/>
      <c r="Q971" s="9"/>
      <c r="R971" s="8"/>
      <c r="S971" s="8"/>
      <c r="T971" s="1"/>
    </row>
    <row r="972" spans="1:20" x14ac:dyDescent="0.2">
      <c r="A972" s="14">
        <f t="shared" si="14"/>
        <v>960</v>
      </c>
      <c r="E972" s="12" t="str">
        <f>IF($C$8&gt;=A972,$E$1&amp;" "&amp;A972,"")</f>
        <v/>
      </c>
      <c r="J972" s="8"/>
      <c r="M972" s="1"/>
      <c r="N972" s="1"/>
      <c r="O972" s="1"/>
      <c r="P972" s="9"/>
      <c r="Q972" s="9"/>
      <c r="R972" s="8"/>
      <c r="S972" s="8"/>
      <c r="T972" s="1"/>
    </row>
    <row r="973" spans="1:20" x14ac:dyDescent="0.2">
      <c r="A973" s="14">
        <f t="shared" si="14"/>
        <v>961</v>
      </c>
      <c r="E973" s="12" t="str">
        <f>IF($C$8&gt;=A973,$E$1&amp;" "&amp;A973,"")</f>
        <v/>
      </c>
      <c r="J973" s="8"/>
      <c r="M973" s="1"/>
      <c r="N973" s="1"/>
      <c r="O973" s="1"/>
      <c r="P973" s="9"/>
      <c r="Q973" s="9"/>
      <c r="R973" s="8"/>
      <c r="S973" s="8"/>
      <c r="T973" s="1"/>
    </row>
    <row r="974" spans="1:20" x14ac:dyDescent="0.2">
      <c r="A974" s="14">
        <f t="shared" si="14"/>
        <v>962</v>
      </c>
      <c r="E974" s="12" t="str">
        <f>IF($C$8&gt;=A974,$E$1&amp;" "&amp;A974,"")</f>
        <v/>
      </c>
      <c r="J974" s="8"/>
      <c r="M974" s="1"/>
      <c r="N974" s="1"/>
      <c r="O974" s="1"/>
      <c r="P974" s="9"/>
      <c r="Q974" s="9"/>
      <c r="R974" s="8"/>
      <c r="S974" s="8"/>
      <c r="T974" s="1"/>
    </row>
    <row r="975" spans="1:20" x14ac:dyDescent="0.2">
      <c r="A975" s="14">
        <f t="shared" ref="A975:A1038" si="15">A974+1</f>
        <v>963</v>
      </c>
      <c r="E975" s="12" t="str">
        <f>IF($C$8&gt;=A975,$E$1&amp;" "&amp;A975,"")</f>
        <v/>
      </c>
      <c r="J975" s="8"/>
      <c r="M975" s="1"/>
      <c r="N975" s="1"/>
      <c r="O975" s="1"/>
      <c r="P975" s="9"/>
      <c r="Q975" s="9"/>
      <c r="R975" s="8"/>
      <c r="S975" s="8"/>
      <c r="T975" s="1"/>
    </row>
    <row r="976" spans="1:20" x14ac:dyDescent="0.2">
      <c r="A976" s="14">
        <f t="shared" si="15"/>
        <v>964</v>
      </c>
      <c r="E976" s="12" t="str">
        <f>IF($C$8&gt;=A976,$E$1&amp;" "&amp;A976,"")</f>
        <v/>
      </c>
      <c r="J976" s="8"/>
      <c r="M976" s="1"/>
      <c r="N976" s="1"/>
      <c r="O976" s="1"/>
      <c r="P976" s="9"/>
      <c r="Q976" s="9"/>
      <c r="R976" s="8"/>
      <c r="S976" s="8"/>
      <c r="T976" s="1"/>
    </row>
    <row r="977" spans="1:20" x14ac:dyDescent="0.2">
      <c r="A977" s="14">
        <f t="shared" si="15"/>
        <v>965</v>
      </c>
      <c r="E977" s="12" t="str">
        <f>IF($C$8&gt;=A977,$E$1&amp;" "&amp;A977,"")</f>
        <v/>
      </c>
      <c r="J977" s="8"/>
      <c r="M977" s="1"/>
      <c r="N977" s="1"/>
      <c r="O977" s="1"/>
      <c r="P977" s="9"/>
      <c r="Q977" s="9"/>
      <c r="R977" s="8"/>
      <c r="S977" s="8"/>
      <c r="T977" s="1"/>
    </row>
    <row r="978" spans="1:20" x14ac:dyDescent="0.2">
      <c r="A978" s="14">
        <f t="shared" si="15"/>
        <v>966</v>
      </c>
      <c r="E978" s="12" t="str">
        <f>IF($C$8&gt;=A978,$E$1&amp;" "&amp;A978,"")</f>
        <v/>
      </c>
      <c r="J978" s="8"/>
      <c r="M978" s="1"/>
      <c r="N978" s="1"/>
      <c r="O978" s="1"/>
      <c r="P978" s="9"/>
      <c r="Q978" s="9"/>
      <c r="R978" s="8"/>
      <c r="S978" s="8"/>
      <c r="T978" s="1"/>
    </row>
    <row r="979" spans="1:20" x14ac:dyDescent="0.2">
      <c r="A979" s="14">
        <f t="shared" si="15"/>
        <v>967</v>
      </c>
      <c r="E979" s="12" t="str">
        <f>IF($C$8&gt;=A979,$E$1&amp;" "&amp;A979,"")</f>
        <v/>
      </c>
      <c r="J979" s="8"/>
      <c r="M979" s="1"/>
      <c r="N979" s="1"/>
      <c r="O979" s="1"/>
      <c r="P979" s="9"/>
      <c r="Q979" s="9"/>
      <c r="R979" s="8"/>
      <c r="S979" s="8"/>
      <c r="T979" s="1"/>
    </row>
    <row r="980" spans="1:20" x14ac:dyDescent="0.2">
      <c r="A980" s="14">
        <f t="shared" si="15"/>
        <v>968</v>
      </c>
      <c r="E980" s="12" t="str">
        <f>IF($C$8&gt;=A980,$E$1&amp;" "&amp;A980,"")</f>
        <v/>
      </c>
      <c r="J980" s="8"/>
      <c r="M980" s="1"/>
      <c r="N980" s="1"/>
      <c r="O980" s="1"/>
      <c r="P980" s="9"/>
      <c r="Q980" s="9"/>
      <c r="R980" s="8"/>
      <c r="S980" s="8"/>
      <c r="T980" s="1"/>
    </row>
    <row r="981" spans="1:20" x14ac:dyDescent="0.2">
      <c r="A981" s="14">
        <f t="shared" si="15"/>
        <v>969</v>
      </c>
      <c r="E981" s="12" t="str">
        <f>IF($C$8&gt;=A981,$E$1&amp;" "&amp;A981,"")</f>
        <v/>
      </c>
      <c r="J981" s="8"/>
      <c r="M981" s="1"/>
      <c r="N981" s="1"/>
      <c r="O981" s="1"/>
      <c r="P981" s="9"/>
      <c r="Q981" s="9"/>
      <c r="R981" s="8"/>
      <c r="S981" s="8"/>
      <c r="T981" s="1"/>
    </row>
    <row r="982" spans="1:20" x14ac:dyDescent="0.2">
      <c r="A982" s="14">
        <f t="shared" si="15"/>
        <v>970</v>
      </c>
      <c r="E982" s="12" t="str">
        <f>IF($C$8&gt;=A982,$E$1&amp;" "&amp;A982,"")</f>
        <v/>
      </c>
      <c r="J982" s="8"/>
      <c r="M982" s="1"/>
      <c r="N982" s="1"/>
      <c r="O982" s="1"/>
      <c r="P982" s="9"/>
      <c r="Q982" s="9"/>
      <c r="R982" s="8"/>
      <c r="S982" s="8"/>
      <c r="T982" s="1"/>
    </row>
    <row r="983" spans="1:20" x14ac:dyDescent="0.2">
      <c r="A983" s="14">
        <f t="shared" si="15"/>
        <v>971</v>
      </c>
      <c r="E983" s="12" t="str">
        <f>IF($C$8&gt;=A983,$E$1&amp;" "&amp;A983,"")</f>
        <v/>
      </c>
      <c r="J983" s="8"/>
      <c r="M983" s="1"/>
      <c r="N983" s="1"/>
      <c r="O983" s="1"/>
      <c r="P983" s="9"/>
      <c r="Q983" s="9"/>
      <c r="R983" s="8"/>
      <c r="S983" s="8"/>
      <c r="T983" s="1"/>
    </row>
    <row r="984" spans="1:20" x14ac:dyDescent="0.2">
      <c r="A984" s="14">
        <f t="shared" si="15"/>
        <v>972</v>
      </c>
      <c r="E984" s="12" t="str">
        <f>IF($C$8&gt;=A984,$E$1&amp;" "&amp;A984,"")</f>
        <v/>
      </c>
      <c r="J984" s="8"/>
      <c r="M984" s="1"/>
      <c r="N984" s="1"/>
      <c r="O984" s="1"/>
      <c r="P984" s="9"/>
      <c r="Q984" s="9"/>
      <c r="R984" s="8"/>
      <c r="S984" s="8"/>
      <c r="T984" s="1"/>
    </row>
    <row r="985" spans="1:20" x14ac:dyDescent="0.2">
      <c r="A985" s="14">
        <f t="shared" si="15"/>
        <v>973</v>
      </c>
      <c r="E985" s="12" t="str">
        <f>IF($C$8&gt;=A985,$E$1&amp;" "&amp;A985,"")</f>
        <v/>
      </c>
      <c r="J985" s="8"/>
      <c r="M985" s="1"/>
      <c r="N985" s="1"/>
      <c r="O985" s="1"/>
      <c r="P985" s="9"/>
      <c r="Q985" s="9"/>
      <c r="R985" s="8"/>
      <c r="S985" s="8"/>
      <c r="T985" s="1"/>
    </row>
    <row r="986" spans="1:20" x14ac:dyDescent="0.2">
      <c r="A986" s="14">
        <f t="shared" si="15"/>
        <v>974</v>
      </c>
      <c r="E986" s="12" t="str">
        <f>IF($C$8&gt;=A986,$E$1&amp;" "&amp;A986,"")</f>
        <v/>
      </c>
      <c r="J986" s="8"/>
      <c r="M986" s="1"/>
      <c r="N986" s="1"/>
      <c r="O986" s="1"/>
      <c r="P986" s="9"/>
      <c r="Q986" s="9"/>
      <c r="R986" s="8"/>
      <c r="S986" s="8"/>
      <c r="T986" s="1"/>
    </row>
    <row r="987" spans="1:20" x14ac:dyDescent="0.2">
      <c r="A987" s="14">
        <f t="shared" si="15"/>
        <v>975</v>
      </c>
      <c r="E987" s="12" t="str">
        <f>IF($C$8&gt;=A987,$E$1&amp;" "&amp;A987,"")</f>
        <v/>
      </c>
      <c r="J987" s="8"/>
      <c r="M987" s="1"/>
      <c r="N987" s="1"/>
      <c r="O987" s="1"/>
      <c r="P987" s="9"/>
      <c r="Q987" s="9"/>
      <c r="R987" s="8"/>
      <c r="S987" s="8"/>
      <c r="T987" s="1"/>
    </row>
    <row r="988" spans="1:20" x14ac:dyDescent="0.2">
      <c r="A988" s="14">
        <f t="shared" si="15"/>
        <v>976</v>
      </c>
      <c r="E988" s="12" t="str">
        <f>IF($C$8&gt;=A988,$E$1&amp;" "&amp;A988,"")</f>
        <v/>
      </c>
      <c r="J988" s="8"/>
      <c r="M988" s="1"/>
      <c r="N988" s="1"/>
      <c r="O988" s="1"/>
      <c r="P988" s="9"/>
      <c r="Q988" s="9"/>
      <c r="R988" s="8"/>
      <c r="S988" s="8"/>
      <c r="T988" s="1"/>
    </row>
    <row r="989" spans="1:20" x14ac:dyDescent="0.2">
      <c r="A989" s="14">
        <f t="shared" si="15"/>
        <v>977</v>
      </c>
      <c r="E989" s="12" t="str">
        <f>IF($C$8&gt;=A989,$E$1&amp;" "&amp;A989,"")</f>
        <v/>
      </c>
      <c r="J989" s="8"/>
      <c r="M989" s="1"/>
      <c r="N989" s="1"/>
      <c r="O989" s="1"/>
      <c r="P989" s="9"/>
      <c r="Q989" s="9"/>
      <c r="R989" s="8"/>
      <c r="S989" s="8"/>
      <c r="T989" s="1"/>
    </row>
    <row r="990" spans="1:20" x14ac:dyDescent="0.2">
      <c r="A990" s="14">
        <f t="shared" si="15"/>
        <v>978</v>
      </c>
      <c r="E990" s="12" t="str">
        <f>IF($C$8&gt;=A990,$E$1&amp;" "&amp;A990,"")</f>
        <v/>
      </c>
      <c r="J990" s="8"/>
      <c r="M990" s="1"/>
      <c r="N990" s="1"/>
      <c r="O990" s="1"/>
      <c r="P990" s="9"/>
      <c r="Q990" s="9"/>
      <c r="R990" s="8"/>
      <c r="S990" s="8"/>
      <c r="T990" s="1"/>
    </row>
    <row r="991" spans="1:20" x14ac:dyDescent="0.2">
      <c r="A991" s="14">
        <f t="shared" si="15"/>
        <v>979</v>
      </c>
      <c r="E991" s="12" t="str">
        <f>IF($C$8&gt;=A991,$E$1&amp;" "&amp;A991,"")</f>
        <v/>
      </c>
      <c r="J991" s="8"/>
      <c r="M991" s="1"/>
      <c r="N991" s="1"/>
      <c r="O991" s="1"/>
      <c r="P991" s="9"/>
      <c r="Q991" s="9"/>
      <c r="R991" s="8"/>
      <c r="S991" s="8"/>
      <c r="T991" s="1"/>
    </row>
    <row r="992" spans="1:20" x14ac:dyDescent="0.2">
      <c r="A992" s="14">
        <f t="shared" si="15"/>
        <v>980</v>
      </c>
      <c r="E992" s="12" t="str">
        <f>IF($C$8&gt;=A992,$E$1&amp;" "&amp;A992,"")</f>
        <v/>
      </c>
      <c r="J992" s="8"/>
      <c r="M992" s="1"/>
      <c r="N992" s="1"/>
      <c r="O992" s="1"/>
      <c r="P992" s="9"/>
      <c r="Q992" s="9"/>
      <c r="R992" s="8"/>
      <c r="S992" s="8"/>
      <c r="T992" s="1"/>
    </row>
    <row r="993" spans="1:20" x14ac:dyDescent="0.2">
      <c r="A993" s="14">
        <f t="shared" si="15"/>
        <v>981</v>
      </c>
      <c r="E993" s="12" t="str">
        <f>IF($C$8&gt;=A993,$E$1&amp;" "&amp;A993,"")</f>
        <v/>
      </c>
      <c r="J993" s="8"/>
      <c r="M993" s="1"/>
      <c r="N993" s="1"/>
      <c r="O993" s="1"/>
      <c r="P993" s="9"/>
      <c r="Q993" s="9"/>
      <c r="R993" s="8"/>
      <c r="S993" s="8"/>
      <c r="T993" s="1"/>
    </row>
    <row r="994" spans="1:20" x14ac:dyDescent="0.2">
      <c r="A994" s="14">
        <f t="shared" si="15"/>
        <v>982</v>
      </c>
      <c r="E994" s="12" t="str">
        <f>IF($C$8&gt;=A994,$E$1&amp;" "&amp;A994,"")</f>
        <v/>
      </c>
      <c r="J994" s="8"/>
      <c r="M994" s="1"/>
      <c r="N994" s="1"/>
      <c r="O994" s="1"/>
      <c r="P994" s="9"/>
      <c r="Q994" s="9"/>
      <c r="R994" s="8"/>
      <c r="S994" s="8"/>
      <c r="T994" s="1"/>
    </row>
    <row r="995" spans="1:20" x14ac:dyDescent="0.2">
      <c r="A995" s="14">
        <f t="shared" si="15"/>
        <v>983</v>
      </c>
      <c r="E995" s="12" t="str">
        <f>IF($C$8&gt;=A995,$E$1&amp;" "&amp;A995,"")</f>
        <v/>
      </c>
      <c r="J995" s="8"/>
      <c r="M995" s="1"/>
      <c r="N995" s="1"/>
      <c r="O995" s="1"/>
      <c r="P995" s="9"/>
      <c r="Q995" s="9"/>
      <c r="R995" s="8"/>
      <c r="S995" s="8"/>
      <c r="T995" s="1"/>
    </row>
    <row r="996" spans="1:20" x14ac:dyDescent="0.2">
      <c r="A996" s="14">
        <f t="shared" si="15"/>
        <v>984</v>
      </c>
      <c r="E996" s="12" t="str">
        <f>IF($C$8&gt;=A996,$E$1&amp;" "&amp;A996,"")</f>
        <v/>
      </c>
      <c r="J996" s="8"/>
      <c r="M996" s="1"/>
      <c r="N996" s="1"/>
      <c r="O996" s="1"/>
      <c r="P996" s="9"/>
      <c r="Q996" s="9"/>
      <c r="R996" s="8"/>
      <c r="S996" s="8"/>
      <c r="T996" s="1"/>
    </row>
    <row r="997" spans="1:20" x14ac:dyDescent="0.2">
      <c r="A997" s="14">
        <f t="shared" si="15"/>
        <v>985</v>
      </c>
      <c r="E997" s="12" t="str">
        <f>IF($C$8&gt;=A997,$E$1&amp;" "&amp;A997,"")</f>
        <v/>
      </c>
      <c r="J997" s="8"/>
      <c r="M997" s="1"/>
      <c r="N997" s="1"/>
      <c r="O997" s="1"/>
      <c r="P997" s="9"/>
      <c r="Q997" s="9"/>
      <c r="R997" s="8"/>
      <c r="S997" s="8"/>
      <c r="T997" s="1"/>
    </row>
    <row r="998" spans="1:20" x14ac:dyDescent="0.2">
      <c r="A998" s="14">
        <f t="shared" si="15"/>
        <v>986</v>
      </c>
      <c r="E998" s="12" t="str">
        <f>IF($C$8&gt;=A998,$E$1&amp;" "&amp;A998,"")</f>
        <v/>
      </c>
      <c r="J998" s="8"/>
      <c r="M998" s="1"/>
      <c r="N998" s="1"/>
      <c r="O998" s="1"/>
      <c r="P998" s="9"/>
      <c r="Q998" s="9"/>
      <c r="R998" s="8"/>
      <c r="S998" s="8"/>
      <c r="T998" s="1"/>
    </row>
    <row r="999" spans="1:20" x14ac:dyDescent="0.2">
      <c r="A999" s="14">
        <f t="shared" si="15"/>
        <v>987</v>
      </c>
      <c r="E999" s="12" t="str">
        <f>IF($C$8&gt;=A999,$E$1&amp;" "&amp;A999,"")</f>
        <v/>
      </c>
      <c r="J999" s="8"/>
      <c r="M999" s="1"/>
      <c r="N999" s="1"/>
      <c r="O999" s="1"/>
      <c r="P999" s="9"/>
      <c r="Q999" s="9"/>
      <c r="R999" s="8"/>
      <c r="S999" s="8"/>
      <c r="T999" s="1"/>
    </row>
    <row r="1000" spans="1:20" x14ac:dyDescent="0.2">
      <c r="A1000" s="14">
        <f t="shared" si="15"/>
        <v>988</v>
      </c>
      <c r="E1000" s="12" t="str">
        <f>IF($C$8&gt;=A1000,$E$1&amp;" "&amp;A1000,"")</f>
        <v/>
      </c>
      <c r="J1000" s="8"/>
      <c r="M1000" s="1"/>
      <c r="N1000" s="1"/>
      <c r="O1000" s="1"/>
      <c r="P1000" s="9"/>
      <c r="Q1000" s="9"/>
      <c r="R1000" s="8"/>
      <c r="S1000" s="8"/>
      <c r="T1000" s="1"/>
    </row>
    <row r="1001" spans="1:20" x14ac:dyDescent="0.2">
      <c r="A1001" s="14">
        <f t="shared" si="15"/>
        <v>989</v>
      </c>
      <c r="E1001" s="12" t="str">
        <f>IF($C$8&gt;=A1001,$E$1&amp;" "&amp;A1001,"")</f>
        <v/>
      </c>
      <c r="J1001" s="8"/>
      <c r="M1001" s="1"/>
      <c r="N1001" s="1"/>
      <c r="O1001" s="1"/>
      <c r="P1001" s="9"/>
      <c r="Q1001" s="9"/>
      <c r="R1001" s="8"/>
      <c r="S1001" s="8"/>
      <c r="T1001" s="1"/>
    </row>
    <row r="1002" spans="1:20" x14ac:dyDescent="0.2">
      <c r="A1002" s="14">
        <f t="shared" si="15"/>
        <v>990</v>
      </c>
      <c r="E1002" s="12" t="str">
        <f>IF($C$8&gt;=A1002,$E$1&amp;" "&amp;A1002,"")</f>
        <v/>
      </c>
      <c r="J1002" s="8"/>
      <c r="M1002" s="1"/>
      <c r="N1002" s="1"/>
      <c r="O1002" s="1"/>
      <c r="P1002" s="9"/>
      <c r="Q1002" s="9"/>
      <c r="R1002" s="8"/>
      <c r="S1002" s="8"/>
      <c r="T1002" s="1"/>
    </row>
    <row r="1003" spans="1:20" x14ac:dyDescent="0.2">
      <c r="A1003" s="14">
        <f t="shared" si="15"/>
        <v>991</v>
      </c>
      <c r="E1003" s="12" t="str">
        <f>IF($C$8&gt;=A1003,$E$1&amp;" "&amp;A1003,"")</f>
        <v/>
      </c>
      <c r="J1003" s="8"/>
      <c r="M1003" s="1"/>
      <c r="N1003" s="1"/>
      <c r="O1003" s="1"/>
      <c r="P1003" s="9"/>
      <c r="Q1003" s="9"/>
      <c r="R1003" s="8"/>
      <c r="S1003" s="8"/>
      <c r="T1003" s="1"/>
    </row>
    <row r="1004" spans="1:20" x14ac:dyDescent="0.2">
      <c r="A1004" s="14">
        <f t="shared" si="15"/>
        <v>992</v>
      </c>
      <c r="E1004" s="12" t="str">
        <f>IF($C$8&gt;=A1004,$E$1&amp;" "&amp;A1004,"")</f>
        <v/>
      </c>
      <c r="J1004" s="8"/>
      <c r="M1004" s="1"/>
      <c r="N1004" s="1"/>
      <c r="O1004" s="1"/>
      <c r="P1004" s="9"/>
      <c r="Q1004" s="9"/>
      <c r="R1004" s="8"/>
      <c r="S1004" s="8"/>
      <c r="T1004" s="1"/>
    </row>
    <row r="1005" spans="1:20" x14ac:dyDescent="0.2">
      <c r="A1005" s="14">
        <f t="shared" si="15"/>
        <v>993</v>
      </c>
      <c r="E1005" s="12" t="str">
        <f>IF($C$8&gt;=A1005,$E$1&amp;" "&amp;A1005,"")</f>
        <v/>
      </c>
      <c r="J1005" s="8"/>
      <c r="M1005" s="1"/>
      <c r="N1005" s="1"/>
      <c r="O1005" s="1"/>
      <c r="P1005" s="9"/>
      <c r="Q1005" s="9"/>
      <c r="R1005" s="8"/>
      <c r="S1005" s="8"/>
      <c r="T1005" s="1"/>
    </row>
    <row r="1006" spans="1:20" x14ac:dyDescent="0.2">
      <c r="A1006" s="14">
        <f t="shared" si="15"/>
        <v>994</v>
      </c>
      <c r="E1006" s="12" t="str">
        <f>IF($C$8&gt;=A1006,$E$1&amp;" "&amp;A1006,"")</f>
        <v/>
      </c>
      <c r="J1006" s="8"/>
      <c r="M1006" s="1"/>
      <c r="N1006" s="1"/>
      <c r="O1006" s="1"/>
      <c r="P1006" s="9"/>
      <c r="Q1006" s="9"/>
      <c r="R1006" s="8"/>
      <c r="S1006" s="8"/>
      <c r="T1006" s="1"/>
    </row>
    <row r="1007" spans="1:20" x14ac:dyDescent="0.2">
      <c r="A1007" s="14">
        <f t="shared" si="15"/>
        <v>995</v>
      </c>
      <c r="E1007" s="12" t="str">
        <f>IF($C$8&gt;=A1007,$E$1&amp;" "&amp;A1007,"")</f>
        <v/>
      </c>
      <c r="J1007" s="8"/>
      <c r="M1007" s="1"/>
      <c r="N1007" s="1"/>
      <c r="O1007" s="1"/>
      <c r="P1007" s="9"/>
      <c r="Q1007" s="9"/>
      <c r="R1007" s="8"/>
      <c r="S1007" s="8"/>
      <c r="T1007" s="1"/>
    </row>
    <row r="1008" spans="1:20" x14ac:dyDescent="0.2">
      <c r="A1008" s="14">
        <f t="shared" si="15"/>
        <v>996</v>
      </c>
      <c r="E1008" s="12" t="str">
        <f>IF($C$8&gt;=A1008,$E$1&amp;" "&amp;A1008,"")</f>
        <v/>
      </c>
      <c r="J1008" s="8"/>
      <c r="M1008" s="1"/>
      <c r="N1008" s="1"/>
      <c r="O1008" s="1"/>
      <c r="P1008" s="9"/>
      <c r="Q1008" s="9"/>
      <c r="R1008" s="8"/>
      <c r="S1008" s="8"/>
      <c r="T1008" s="1"/>
    </row>
    <row r="1009" spans="1:20" x14ac:dyDescent="0.2">
      <c r="A1009" s="14">
        <f t="shared" si="15"/>
        <v>997</v>
      </c>
      <c r="E1009" s="12" t="str">
        <f>IF($C$8&gt;=A1009,$E$1&amp;" "&amp;A1009,"")</f>
        <v/>
      </c>
      <c r="J1009" s="8"/>
      <c r="M1009" s="1"/>
      <c r="N1009" s="1"/>
      <c r="O1009" s="1"/>
      <c r="P1009" s="9"/>
      <c r="Q1009" s="9"/>
      <c r="R1009" s="8"/>
      <c r="S1009" s="8"/>
      <c r="T1009" s="1"/>
    </row>
    <row r="1010" spans="1:20" x14ac:dyDescent="0.2">
      <c r="A1010" s="14">
        <f t="shared" si="15"/>
        <v>998</v>
      </c>
      <c r="E1010" s="12" t="str">
        <f>IF($C$8&gt;=A1010,$E$1&amp;" "&amp;A1010,"")</f>
        <v/>
      </c>
      <c r="J1010" s="8"/>
      <c r="M1010" s="1"/>
      <c r="N1010" s="1"/>
      <c r="O1010" s="1"/>
      <c r="P1010" s="9"/>
      <c r="Q1010" s="9"/>
      <c r="R1010" s="8"/>
      <c r="S1010" s="8"/>
      <c r="T1010" s="1"/>
    </row>
    <row r="1011" spans="1:20" x14ac:dyDescent="0.2">
      <c r="A1011" s="14">
        <f t="shared" si="15"/>
        <v>999</v>
      </c>
      <c r="E1011" s="12" t="str">
        <f>IF($C$8&gt;=A1011,$E$1&amp;" "&amp;A1011,"")</f>
        <v/>
      </c>
      <c r="J1011" s="8"/>
      <c r="M1011" s="1"/>
      <c r="N1011" s="1"/>
      <c r="O1011" s="1"/>
      <c r="P1011" s="9"/>
      <c r="Q1011" s="9"/>
      <c r="R1011" s="8"/>
      <c r="S1011" s="8"/>
      <c r="T1011" s="1"/>
    </row>
    <row r="1012" spans="1:20" x14ac:dyDescent="0.2">
      <c r="A1012" s="14">
        <f t="shared" si="15"/>
        <v>1000</v>
      </c>
      <c r="E1012" s="12" t="str">
        <f>IF($C$8&gt;=A1012,$E$1&amp;" "&amp;A1012,"")</f>
        <v/>
      </c>
      <c r="J1012" s="8"/>
      <c r="M1012" s="1"/>
      <c r="N1012" s="1"/>
      <c r="O1012" s="1"/>
      <c r="P1012" s="9"/>
      <c r="Q1012" s="9"/>
      <c r="R1012" s="8"/>
      <c r="S1012" s="8"/>
      <c r="T1012" s="1"/>
    </row>
    <row r="1013" spans="1:20" x14ac:dyDescent="0.2">
      <c r="A1013" s="14">
        <f t="shared" si="15"/>
        <v>1001</v>
      </c>
      <c r="E1013" s="12" t="str">
        <f>IF($C$8&gt;=A1013,$E$1&amp;" "&amp;A1013,"")</f>
        <v/>
      </c>
      <c r="J1013" s="8"/>
      <c r="M1013" s="1"/>
      <c r="N1013" s="1"/>
      <c r="O1013" s="1"/>
      <c r="P1013" s="9"/>
      <c r="Q1013" s="9"/>
      <c r="R1013" s="8"/>
      <c r="S1013" s="8"/>
      <c r="T1013" s="1"/>
    </row>
    <row r="1014" spans="1:20" x14ac:dyDescent="0.2">
      <c r="A1014" s="14">
        <f t="shared" si="15"/>
        <v>1002</v>
      </c>
      <c r="E1014" s="12" t="str">
        <f>IF($C$8&gt;=A1014,$E$1&amp;" "&amp;A1014,"")</f>
        <v/>
      </c>
      <c r="J1014" s="8"/>
      <c r="M1014" s="1"/>
      <c r="N1014" s="1"/>
      <c r="O1014" s="1"/>
      <c r="P1014" s="9"/>
      <c r="Q1014" s="9"/>
      <c r="R1014" s="8"/>
      <c r="S1014" s="8"/>
      <c r="T1014" s="1"/>
    </row>
    <row r="1015" spans="1:20" x14ac:dyDescent="0.2">
      <c r="A1015" s="14">
        <f t="shared" si="15"/>
        <v>1003</v>
      </c>
      <c r="E1015" s="12" t="str">
        <f>IF($C$8&gt;=A1015,$E$1&amp;" "&amp;A1015,"")</f>
        <v/>
      </c>
      <c r="J1015" s="8"/>
      <c r="M1015" s="1"/>
      <c r="N1015" s="1"/>
      <c r="O1015" s="1"/>
      <c r="P1015" s="9"/>
      <c r="Q1015" s="9"/>
      <c r="R1015" s="8"/>
      <c r="S1015" s="8"/>
      <c r="T1015" s="1"/>
    </row>
    <row r="1016" spans="1:20" x14ac:dyDescent="0.2">
      <c r="A1016" s="14">
        <f t="shared" si="15"/>
        <v>1004</v>
      </c>
      <c r="E1016" s="12" t="str">
        <f>IF($C$8&gt;=A1016,$E$1&amp;" "&amp;A1016,"")</f>
        <v/>
      </c>
      <c r="J1016" s="8"/>
      <c r="M1016" s="1"/>
      <c r="N1016" s="1"/>
      <c r="O1016" s="1"/>
      <c r="P1016" s="9"/>
      <c r="Q1016" s="9"/>
      <c r="R1016" s="8"/>
      <c r="S1016" s="8"/>
      <c r="T1016" s="1"/>
    </row>
    <row r="1017" spans="1:20" x14ac:dyDescent="0.2">
      <c r="A1017" s="14">
        <f t="shared" si="15"/>
        <v>1005</v>
      </c>
      <c r="E1017" s="12" t="str">
        <f>IF($C$8&gt;=A1017,$E$1&amp;" "&amp;A1017,"")</f>
        <v/>
      </c>
      <c r="J1017" s="8"/>
      <c r="M1017" s="1"/>
      <c r="N1017" s="1"/>
      <c r="O1017" s="1"/>
      <c r="P1017" s="9"/>
      <c r="Q1017" s="9"/>
      <c r="R1017" s="8"/>
      <c r="S1017" s="8"/>
      <c r="T1017" s="1"/>
    </row>
    <row r="1018" spans="1:20" x14ac:dyDescent="0.2">
      <c r="A1018" s="14">
        <f t="shared" si="15"/>
        <v>1006</v>
      </c>
      <c r="E1018" s="12" t="str">
        <f>IF($C$8&gt;=A1018,$E$1&amp;" "&amp;A1018,"")</f>
        <v/>
      </c>
      <c r="J1018" s="8"/>
      <c r="M1018" s="1"/>
      <c r="N1018" s="1"/>
      <c r="O1018" s="1"/>
      <c r="P1018" s="9"/>
      <c r="Q1018" s="9"/>
      <c r="R1018" s="8"/>
      <c r="S1018" s="8"/>
      <c r="T1018" s="1"/>
    </row>
    <row r="1019" spans="1:20" x14ac:dyDescent="0.2">
      <c r="A1019" s="14">
        <f t="shared" si="15"/>
        <v>1007</v>
      </c>
      <c r="E1019" s="12" t="str">
        <f>IF($C$8&gt;=A1019,$E$1&amp;" "&amp;A1019,"")</f>
        <v/>
      </c>
      <c r="J1019" s="8"/>
      <c r="M1019" s="1"/>
      <c r="N1019" s="1"/>
      <c r="O1019" s="1"/>
      <c r="P1019" s="9"/>
      <c r="Q1019" s="9"/>
      <c r="R1019" s="8"/>
      <c r="S1019" s="8"/>
      <c r="T1019" s="1"/>
    </row>
    <row r="1020" spans="1:20" x14ac:dyDescent="0.2">
      <c r="A1020" s="14">
        <f t="shared" si="15"/>
        <v>1008</v>
      </c>
      <c r="E1020" s="12" t="str">
        <f>IF($C$8&gt;=A1020,$E$1&amp;" "&amp;A1020,"")</f>
        <v/>
      </c>
      <c r="J1020" s="8"/>
      <c r="M1020" s="1"/>
      <c r="N1020" s="1"/>
      <c r="O1020" s="1"/>
      <c r="P1020" s="9"/>
      <c r="Q1020" s="9"/>
      <c r="R1020" s="8"/>
      <c r="S1020" s="8"/>
      <c r="T1020" s="1"/>
    </row>
    <row r="1021" spans="1:20" x14ac:dyDescent="0.2">
      <c r="A1021" s="14">
        <f t="shared" si="15"/>
        <v>1009</v>
      </c>
      <c r="E1021" s="12" t="str">
        <f>IF($C$8&gt;=A1021,$E$1&amp;" "&amp;A1021,"")</f>
        <v/>
      </c>
      <c r="J1021" s="8"/>
      <c r="M1021" s="1"/>
      <c r="N1021" s="1"/>
      <c r="O1021" s="1"/>
      <c r="P1021" s="9"/>
      <c r="Q1021" s="9"/>
      <c r="R1021" s="8"/>
      <c r="S1021" s="8"/>
      <c r="T1021" s="1"/>
    </row>
    <row r="1022" spans="1:20" x14ac:dyDescent="0.2">
      <c r="A1022" s="14">
        <f t="shared" si="15"/>
        <v>1010</v>
      </c>
      <c r="E1022" s="12" t="str">
        <f>IF($C$8&gt;=A1022,$E$1&amp;" "&amp;A1022,"")</f>
        <v/>
      </c>
      <c r="J1022" s="8"/>
      <c r="M1022" s="1"/>
      <c r="N1022" s="1"/>
      <c r="O1022" s="1"/>
      <c r="P1022" s="9"/>
      <c r="Q1022" s="9"/>
      <c r="R1022" s="8"/>
      <c r="S1022" s="8"/>
      <c r="T1022" s="1"/>
    </row>
    <row r="1023" spans="1:20" x14ac:dyDescent="0.2">
      <c r="A1023" s="14">
        <f t="shared" si="15"/>
        <v>1011</v>
      </c>
      <c r="E1023" s="12" t="str">
        <f>IF($C$8&gt;=A1023,$E$1&amp;" "&amp;A1023,"")</f>
        <v/>
      </c>
      <c r="J1023" s="8"/>
      <c r="M1023" s="1"/>
      <c r="N1023" s="1"/>
      <c r="O1023" s="1"/>
      <c r="P1023" s="9"/>
      <c r="Q1023" s="9"/>
      <c r="R1023" s="8"/>
      <c r="S1023" s="8"/>
      <c r="T1023" s="1"/>
    </row>
    <row r="1024" spans="1:20" x14ac:dyDescent="0.2">
      <c r="A1024" s="14">
        <f t="shared" si="15"/>
        <v>1012</v>
      </c>
      <c r="E1024" s="12" t="str">
        <f>IF($C$8&gt;=A1024,$E$1&amp;" "&amp;A1024,"")</f>
        <v/>
      </c>
      <c r="J1024" s="8"/>
      <c r="M1024" s="1"/>
      <c r="N1024" s="1"/>
      <c r="O1024" s="1"/>
      <c r="P1024" s="9"/>
      <c r="Q1024" s="9"/>
      <c r="R1024" s="8"/>
      <c r="S1024" s="8"/>
      <c r="T1024" s="1"/>
    </row>
    <row r="1025" spans="1:20" x14ac:dyDescent="0.2">
      <c r="A1025" s="14">
        <f t="shared" si="15"/>
        <v>1013</v>
      </c>
      <c r="E1025" s="12" t="str">
        <f>IF($C$8&gt;=A1025,$E$1&amp;" "&amp;A1025,"")</f>
        <v/>
      </c>
      <c r="J1025" s="8"/>
      <c r="M1025" s="1"/>
      <c r="N1025" s="1"/>
      <c r="O1025" s="1"/>
      <c r="P1025" s="9"/>
      <c r="Q1025" s="9"/>
      <c r="R1025" s="8"/>
      <c r="S1025" s="8"/>
      <c r="T1025" s="1"/>
    </row>
    <row r="1026" spans="1:20" x14ac:dyDescent="0.2">
      <c r="A1026" s="14">
        <f t="shared" si="15"/>
        <v>1014</v>
      </c>
      <c r="E1026" s="12" t="str">
        <f>IF($C$8&gt;=A1026,$E$1&amp;" "&amp;A1026,"")</f>
        <v/>
      </c>
      <c r="J1026" s="8"/>
      <c r="M1026" s="1"/>
      <c r="N1026" s="1"/>
      <c r="O1026" s="1"/>
      <c r="P1026" s="9"/>
      <c r="Q1026" s="9"/>
      <c r="R1026" s="8"/>
      <c r="S1026" s="8"/>
      <c r="T1026" s="1"/>
    </row>
    <row r="1027" spans="1:20" x14ac:dyDescent="0.2">
      <c r="A1027" s="14">
        <f t="shared" si="15"/>
        <v>1015</v>
      </c>
      <c r="E1027" s="12" t="str">
        <f>IF($C$8&gt;=A1027,$E$1&amp;" "&amp;A1027,"")</f>
        <v/>
      </c>
      <c r="J1027" s="8"/>
      <c r="M1027" s="1"/>
      <c r="N1027" s="1"/>
      <c r="O1027" s="1"/>
      <c r="P1027" s="9"/>
      <c r="Q1027" s="9"/>
      <c r="R1027" s="8"/>
      <c r="S1027" s="8"/>
      <c r="T1027" s="1"/>
    </row>
    <row r="1028" spans="1:20" x14ac:dyDescent="0.2">
      <c r="A1028" s="14">
        <f t="shared" si="15"/>
        <v>1016</v>
      </c>
      <c r="E1028" s="12" t="str">
        <f>IF($C$8&gt;=A1028,$E$1&amp;" "&amp;A1028,"")</f>
        <v/>
      </c>
      <c r="J1028" s="8"/>
      <c r="M1028" s="1"/>
      <c r="N1028" s="1"/>
      <c r="O1028" s="1"/>
      <c r="P1028" s="9"/>
      <c r="Q1028" s="9"/>
      <c r="R1028" s="8"/>
      <c r="S1028" s="8"/>
      <c r="T1028" s="1"/>
    </row>
    <row r="1029" spans="1:20" x14ac:dyDescent="0.2">
      <c r="A1029" s="14">
        <f t="shared" si="15"/>
        <v>1017</v>
      </c>
      <c r="E1029" s="12" t="str">
        <f>IF($C$8&gt;=A1029,$E$1&amp;" "&amp;A1029,"")</f>
        <v/>
      </c>
      <c r="J1029" s="8"/>
      <c r="M1029" s="1"/>
      <c r="N1029" s="1"/>
      <c r="O1029" s="1"/>
      <c r="P1029" s="9"/>
      <c r="Q1029" s="9"/>
      <c r="R1029" s="8"/>
      <c r="S1029" s="8"/>
      <c r="T1029" s="1"/>
    </row>
    <row r="1030" spans="1:20" x14ac:dyDescent="0.2">
      <c r="A1030" s="14">
        <f t="shared" si="15"/>
        <v>1018</v>
      </c>
      <c r="E1030" s="12" t="str">
        <f>IF($C$8&gt;=A1030,$E$1&amp;" "&amp;A1030,"")</f>
        <v/>
      </c>
      <c r="J1030" s="8"/>
      <c r="M1030" s="1"/>
      <c r="N1030" s="1"/>
      <c r="O1030" s="1"/>
      <c r="P1030" s="9"/>
      <c r="Q1030" s="9"/>
      <c r="R1030" s="8"/>
      <c r="S1030" s="8"/>
      <c r="T1030" s="1"/>
    </row>
    <row r="1031" spans="1:20" x14ac:dyDescent="0.2">
      <c r="A1031" s="14">
        <f t="shared" si="15"/>
        <v>1019</v>
      </c>
      <c r="E1031" s="12" t="str">
        <f>IF($C$8&gt;=A1031,$E$1&amp;" "&amp;A1031,"")</f>
        <v/>
      </c>
      <c r="J1031" s="8"/>
      <c r="M1031" s="1"/>
      <c r="N1031" s="1"/>
      <c r="O1031" s="1"/>
      <c r="P1031" s="9"/>
      <c r="Q1031" s="9"/>
      <c r="R1031" s="8"/>
      <c r="S1031" s="8"/>
      <c r="T1031" s="1"/>
    </row>
    <row r="1032" spans="1:20" x14ac:dyDescent="0.2">
      <c r="A1032" s="14">
        <f t="shared" si="15"/>
        <v>1020</v>
      </c>
      <c r="E1032" s="12" t="str">
        <f>IF($C$8&gt;=A1032,$E$1&amp;" "&amp;A1032,"")</f>
        <v/>
      </c>
      <c r="J1032" s="8"/>
      <c r="M1032" s="1"/>
      <c r="N1032" s="1"/>
      <c r="O1032" s="1"/>
      <c r="P1032" s="9"/>
      <c r="Q1032" s="9"/>
      <c r="R1032" s="8"/>
      <c r="S1032" s="8"/>
      <c r="T1032" s="1"/>
    </row>
    <row r="1033" spans="1:20" x14ac:dyDescent="0.2">
      <c r="A1033" s="14">
        <f t="shared" si="15"/>
        <v>1021</v>
      </c>
      <c r="E1033" s="12" t="str">
        <f>IF($C$8&gt;=A1033,$E$1&amp;" "&amp;A1033,"")</f>
        <v/>
      </c>
      <c r="J1033" s="8"/>
      <c r="M1033" s="1"/>
      <c r="N1033" s="1"/>
      <c r="O1033" s="1"/>
      <c r="P1033" s="9"/>
      <c r="Q1033" s="9"/>
      <c r="R1033" s="8"/>
      <c r="S1033" s="8"/>
      <c r="T1033" s="1"/>
    </row>
    <row r="1034" spans="1:20" x14ac:dyDescent="0.2">
      <c r="A1034" s="14">
        <f t="shared" si="15"/>
        <v>1022</v>
      </c>
      <c r="E1034" s="12" t="str">
        <f>IF($C$8&gt;=A1034,$E$1&amp;" "&amp;A1034,"")</f>
        <v/>
      </c>
      <c r="J1034" s="8"/>
      <c r="M1034" s="1"/>
      <c r="N1034" s="1"/>
      <c r="O1034" s="1"/>
      <c r="P1034" s="9"/>
      <c r="Q1034" s="9"/>
      <c r="R1034" s="8"/>
      <c r="S1034" s="8"/>
      <c r="T1034" s="1"/>
    </row>
    <row r="1035" spans="1:20" x14ac:dyDescent="0.2">
      <c r="A1035" s="14">
        <f t="shared" si="15"/>
        <v>1023</v>
      </c>
      <c r="E1035" s="12" t="str">
        <f>IF($C$8&gt;=A1035,$E$1&amp;" "&amp;A1035,"")</f>
        <v/>
      </c>
      <c r="J1035" s="8"/>
      <c r="M1035" s="1"/>
      <c r="N1035" s="1"/>
      <c r="O1035" s="1"/>
      <c r="P1035" s="9"/>
      <c r="Q1035" s="9"/>
      <c r="R1035" s="8"/>
      <c r="S1035" s="8"/>
      <c r="T1035" s="1"/>
    </row>
    <row r="1036" spans="1:20" x14ac:dyDescent="0.2">
      <c r="A1036" s="14">
        <f t="shared" si="15"/>
        <v>1024</v>
      </c>
      <c r="E1036" s="12" t="str">
        <f>IF($C$8&gt;=A1036,$E$1&amp;" "&amp;A1036,"")</f>
        <v/>
      </c>
      <c r="J1036" s="8"/>
      <c r="M1036" s="1"/>
      <c r="N1036" s="1"/>
      <c r="O1036" s="1"/>
      <c r="P1036" s="9"/>
      <c r="Q1036" s="9"/>
      <c r="R1036" s="8"/>
      <c r="S1036" s="8"/>
      <c r="T1036" s="1"/>
    </row>
    <row r="1037" spans="1:20" x14ac:dyDescent="0.2">
      <c r="A1037" s="14">
        <f t="shared" si="15"/>
        <v>1025</v>
      </c>
      <c r="E1037" s="12" t="str">
        <f>IF($C$8&gt;=A1037,$E$1&amp;" "&amp;A1037,"")</f>
        <v/>
      </c>
      <c r="J1037" s="8"/>
      <c r="M1037" s="1"/>
      <c r="N1037" s="1"/>
      <c r="O1037" s="1"/>
      <c r="P1037" s="9"/>
      <c r="Q1037" s="9"/>
      <c r="R1037" s="8"/>
      <c r="S1037" s="8"/>
      <c r="T1037" s="1"/>
    </row>
    <row r="1038" spans="1:20" x14ac:dyDescent="0.2">
      <c r="A1038" s="14">
        <f t="shared" si="15"/>
        <v>1026</v>
      </c>
      <c r="E1038" s="12" t="str">
        <f>IF($C$8&gt;=A1038,$E$1&amp;" "&amp;A1038,"")</f>
        <v/>
      </c>
      <c r="J1038" s="8"/>
      <c r="M1038" s="1"/>
      <c r="N1038" s="1"/>
      <c r="O1038" s="1"/>
      <c r="P1038" s="9"/>
      <c r="Q1038" s="9"/>
      <c r="R1038" s="8"/>
      <c r="S1038" s="8"/>
      <c r="T1038" s="1"/>
    </row>
    <row r="1039" spans="1:20" x14ac:dyDescent="0.2">
      <c r="A1039" s="14">
        <f t="shared" ref="A1039:A1102" si="16">A1038+1</f>
        <v>1027</v>
      </c>
      <c r="E1039" s="12" t="str">
        <f>IF($C$8&gt;=A1039,$E$1&amp;" "&amp;A1039,"")</f>
        <v/>
      </c>
      <c r="J1039" s="8"/>
      <c r="M1039" s="1"/>
      <c r="N1039" s="1"/>
      <c r="O1039" s="1"/>
      <c r="P1039" s="9"/>
      <c r="Q1039" s="9"/>
      <c r="R1039" s="8"/>
      <c r="S1039" s="8"/>
      <c r="T1039" s="1"/>
    </row>
    <row r="1040" spans="1:20" x14ac:dyDescent="0.2">
      <c r="A1040" s="14">
        <f t="shared" si="16"/>
        <v>1028</v>
      </c>
      <c r="E1040" s="12" t="str">
        <f>IF($C$8&gt;=A1040,$E$1&amp;" "&amp;A1040,"")</f>
        <v/>
      </c>
      <c r="J1040" s="8"/>
      <c r="M1040" s="1"/>
      <c r="N1040" s="1"/>
      <c r="O1040" s="1"/>
      <c r="P1040" s="9"/>
      <c r="Q1040" s="9"/>
      <c r="R1040" s="8"/>
      <c r="S1040" s="8"/>
      <c r="T1040" s="1"/>
    </row>
    <row r="1041" spans="1:20" x14ac:dyDescent="0.2">
      <c r="A1041" s="14">
        <f t="shared" si="16"/>
        <v>1029</v>
      </c>
      <c r="E1041" s="12" t="str">
        <f>IF($C$8&gt;=A1041,$E$1&amp;" "&amp;A1041,"")</f>
        <v/>
      </c>
      <c r="J1041" s="8"/>
      <c r="M1041" s="1"/>
      <c r="N1041" s="1"/>
      <c r="O1041" s="1"/>
      <c r="P1041" s="9"/>
      <c r="Q1041" s="9"/>
      <c r="R1041" s="8"/>
      <c r="S1041" s="8"/>
      <c r="T1041" s="1"/>
    </row>
    <row r="1042" spans="1:20" x14ac:dyDescent="0.2">
      <c r="A1042" s="14">
        <f t="shared" si="16"/>
        <v>1030</v>
      </c>
      <c r="E1042" s="12" t="str">
        <f>IF($C$8&gt;=A1042,$E$1&amp;" "&amp;A1042,"")</f>
        <v/>
      </c>
      <c r="J1042" s="8"/>
      <c r="M1042" s="1"/>
      <c r="N1042" s="1"/>
      <c r="O1042" s="1"/>
      <c r="P1042" s="9"/>
      <c r="Q1042" s="9"/>
      <c r="R1042" s="8"/>
      <c r="S1042" s="8"/>
      <c r="T1042" s="1"/>
    </row>
    <row r="1043" spans="1:20" x14ac:dyDescent="0.2">
      <c r="A1043" s="14">
        <f t="shared" si="16"/>
        <v>1031</v>
      </c>
      <c r="E1043" s="12" t="str">
        <f>IF($C$8&gt;=A1043,$E$1&amp;" "&amp;A1043,"")</f>
        <v/>
      </c>
      <c r="J1043" s="8"/>
      <c r="M1043" s="1"/>
      <c r="N1043" s="1"/>
      <c r="O1043" s="1"/>
      <c r="P1043" s="9"/>
      <c r="Q1043" s="9"/>
      <c r="R1043" s="8"/>
      <c r="S1043" s="8"/>
      <c r="T1043" s="1"/>
    </row>
    <row r="1044" spans="1:20" x14ac:dyDescent="0.2">
      <c r="A1044" s="14">
        <f t="shared" si="16"/>
        <v>1032</v>
      </c>
      <c r="E1044" s="12" t="str">
        <f>IF($C$8&gt;=A1044,$E$1&amp;" "&amp;A1044,"")</f>
        <v/>
      </c>
      <c r="J1044" s="8"/>
      <c r="M1044" s="1"/>
      <c r="N1044" s="1"/>
      <c r="O1044" s="1"/>
      <c r="P1044" s="9"/>
      <c r="Q1044" s="9"/>
      <c r="R1044" s="8"/>
      <c r="S1044" s="8"/>
      <c r="T1044" s="1"/>
    </row>
    <row r="1045" spans="1:20" x14ac:dyDescent="0.2">
      <c r="A1045" s="14">
        <f t="shared" si="16"/>
        <v>1033</v>
      </c>
      <c r="E1045" s="12" t="str">
        <f>IF($C$8&gt;=A1045,$E$1&amp;" "&amp;A1045,"")</f>
        <v/>
      </c>
      <c r="J1045" s="8"/>
      <c r="M1045" s="1"/>
      <c r="N1045" s="1"/>
      <c r="O1045" s="1"/>
      <c r="P1045" s="9"/>
      <c r="Q1045" s="9"/>
      <c r="R1045" s="8"/>
      <c r="S1045" s="8"/>
      <c r="T1045" s="1"/>
    </row>
    <row r="1046" spans="1:20" x14ac:dyDescent="0.2">
      <c r="A1046" s="14">
        <f t="shared" si="16"/>
        <v>1034</v>
      </c>
      <c r="E1046" s="12" t="str">
        <f>IF($C$8&gt;=A1046,$E$1&amp;" "&amp;A1046,"")</f>
        <v/>
      </c>
      <c r="J1046" s="8"/>
      <c r="M1046" s="1"/>
      <c r="N1046" s="1"/>
      <c r="O1046" s="1"/>
      <c r="P1046" s="9"/>
      <c r="Q1046" s="9"/>
      <c r="R1046" s="8"/>
      <c r="S1046" s="8"/>
      <c r="T1046" s="1"/>
    </row>
    <row r="1047" spans="1:20" x14ac:dyDescent="0.2">
      <c r="A1047" s="14">
        <f t="shared" si="16"/>
        <v>1035</v>
      </c>
      <c r="E1047" s="12" t="str">
        <f>IF($C$8&gt;=A1047,$E$1&amp;" "&amp;A1047,"")</f>
        <v/>
      </c>
      <c r="J1047" s="8"/>
      <c r="M1047" s="1"/>
      <c r="N1047" s="1"/>
      <c r="O1047" s="1"/>
      <c r="P1047" s="9"/>
      <c r="Q1047" s="9"/>
      <c r="R1047" s="8"/>
      <c r="S1047" s="8"/>
      <c r="T1047" s="1"/>
    </row>
    <row r="1048" spans="1:20" x14ac:dyDescent="0.2">
      <c r="A1048" s="14">
        <f t="shared" si="16"/>
        <v>1036</v>
      </c>
      <c r="E1048" s="12" t="str">
        <f>IF($C$8&gt;=A1048,$E$1&amp;" "&amp;A1048,"")</f>
        <v/>
      </c>
      <c r="J1048" s="8"/>
      <c r="M1048" s="1"/>
      <c r="N1048" s="1"/>
      <c r="O1048" s="1"/>
      <c r="P1048" s="9"/>
      <c r="Q1048" s="9"/>
      <c r="R1048" s="8"/>
      <c r="S1048" s="8"/>
      <c r="T1048" s="1"/>
    </row>
    <row r="1049" spans="1:20" x14ac:dyDescent="0.2">
      <c r="A1049" s="14">
        <f t="shared" si="16"/>
        <v>1037</v>
      </c>
      <c r="E1049" s="12" t="str">
        <f>IF($C$8&gt;=A1049,$E$1&amp;" "&amp;A1049,"")</f>
        <v/>
      </c>
      <c r="J1049" s="8"/>
      <c r="M1049" s="1"/>
      <c r="N1049" s="1"/>
      <c r="O1049" s="1"/>
      <c r="P1049" s="9"/>
      <c r="Q1049" s="9"/>
      <c r="R1049" s="8"/>
      <c r="S1049" s="8"/>
      <c r="T1049" s="1"/>
    </row>
    <row r="1050" spans="1:20" x14ac:dyDescent="0.2">
      <c r="A1050" s="14">
        <f t="shared" si="16"/>
        <v>1038</v>
      </c>
      <c r="E1050" s="12" t="str">
        <f>IF($C$8&gt;=A1050,$E$1&amp;" "&amp;A1050,"")</f>
        <v/>
      </c>
      <c r="J1050" s="8"/>
      <c r="M1050" s="1"/>
      <c r="N1050" s="1"/>
      <c r="O1050" s="1"/>
      <c r="P1050" s="9"/>
      <c r="Q1050" s="9"/>
      <c r="R1050" s="8"/>
      <c r="S1050" s="8"/>
      <c r="T1050" s="1"/>
    </row>
    <row r="1051" spans="1:20" x14ac:dyDescent="0.2">
      <c r="A1051" s="14">
        <f t="shared" si="16"/>
        <v>1039</v>
      </c>
      <c r="E1051" s="12" t="str">
        <f>IF($C$8&gt;=A1051,$E$1&amp;" "&amp;A1051,"")</f>
        <v/>
      </c>
      <c r="J1051" s="8"/>
      <c r="M1051" s="1"/>
      <c r="N1051" s="1"/>
      <c r="O1051" s="1"/>
      <c r="P1051" s="9"/>
      <c r="Q1051" s="9"/>
      <c r="R1051" s="8"/>
      <c r="S1051" s="8"/>
      <c r="T1051" s="1"/>
    </row>
    <row r="1052" spans="1:20" x14ac:dyDescent="0.2">
      <c r="A1052" s="14">
        <f t="shared" si="16"/>
        <v>1040</v>
      </c>
      <c r="E1052" s="12" t="str">
        <f>IF($C$8&gt;=A1052,$E$1&amp;" "&amp;A1052,"")</f>
        <v/>
      </c>
      <c r="J1052" s="8"/>
      <c r="M1052" s="1"/>
      <c r="N1052" s="1"/>
      <c r="O1052" s="1"/>
      <c r="P1052" s="9"/>
      <c r="Q1052" s="9"/>
      <c r="R1052" s="8"/>
      <c r="S1052" s="8"/>
      <c r="T1052" s="1"/>
    </row>
    <row r="1053" spans="1:20" x14ac:dyDescent="0.2">
      <c r="A1053" s="14">
        <f t="shared" si="16"/>
        <v>1041</v>
      </c>
      <c r="E1053" s="12" t="str">
        <f>IF($C$8&gt;=A1053,$E$1&amp;" "&amp;A1053,"")</f>
        <v/>
      </c>
      <c r="J1053" s="8"/>
      <c r="M1053" s="1"/>
      <c r="N1053" s="1"/>
      <c r="O1053" s="1"/>
      <c r="P1053" s="9"/>
      <c r="Q1053" s="9"/>
      <c r="R1053" s="8"/>
      <c r="S1053" s="8"/>
      <c r="T1053" s="1"/>
    </row>
    <row r="1054" spans="1:20" x14ac:dyDescent="0.2">
      <c r="A1054" s="14">
        <f t="shared" si="16"/>
        <v>1042</v>
      </c>
      <c r="E1054" s="12" t="str">
        <f>IF($C$8&gt;=A1054,$E$1&amp;" "&amp;A1054,"")</f>
        <v/>
      </c>
      <c r="J1054" s="8"/>
      <c r="M1054" s="1"/>
      <c r="N1054" s="1"/>
      <c r="O1054" s="1"/>
      <c r="P1054" s="9"/>
      <c r="Q1054" s="9"/>
      <c r="R1054" s="8"/>
      <c r="S1054" s="8"/>
      <c r="T1054" s="1"/>
    </row>
    <row r="1055" spans="1:20" x14ac:dyDescent="0.2">
      <c r="A1055" s="14">
        <f t="shared" si="16"/>
        <v>1043</v>
      </c>
      <c r="E1055" s="12" t="str">
        <f>IF($C$8&gt;=A1055,$E$1&amp;" "&amp;A1055,"")</f>
        <v/>
      </c>
      <c r="J1055" s="8"/>
      <c r="M1055" s="1"/>
      <c r="N1055" s="1"/>
      <c r="O1055" s="1"/>
      <c r="P1055" s="9"/>
      <c r="Q1055" s="9"/>
      <c r="R1055" s="8"/>
      <c r="S1055" s="8"/>
      <c r="T1055" s="1"/>
    </row>
    <row r="1056" spans="1:20" x14ac:dyDescent="0.2">
      <c r="A1056" s="14">
        <f t="shared" si="16"/>
        <v>1044</v>
      </c>
      <c r="E1056" s="12" t="str">
        <f>IF($C$8&gt;=A1056,$E$1&amp;" "&amp;A1056,"")</f>
        <v/>
      </c>
      <c r="J1056" s="8"/>
      <c r="M1056" s="1"/>
      <c r="N1056" s="1"/>
      <c r="O1056" s="1"/>
      <c r="P1056" s="9"/>
      <c r="Q1056" s="9"/>
      <c r="R1056" s="8"/>
      <c r="S1056" s="8"/>
      <c r="T1056" s="1"/>
    </row>
    <row r="1057" spans="1:20" x14ac:dyDescent="0.2">
      <c r="A1057" s="14">
        <f t="shared" si="16"/>
        <v>1045</v>
      </c>
      <c r="E1057" s="12" t="str">
        <f>IF($C$8&gt;=A1057,$E$1&amp;" "&amp;A1057,"")</f>
        <v/>
      </c>
      <c r="J1057" s="8"/>
      <c r="M1057" s="1"/>
      <c r="N1057" s="1"/>
      <c r="O1057" s="1"/>
      <c r="P1057" s="9"/>
      <c r="Q1057" s="9"/>
      <c r="R1057" s="8"/>
      <c r="S1057" s="8"/>
      <c r="T1057" s="1"/>
    </row>
    <row r="1058" spans="1:20" x14ac:dyDescent="0.2">
      <c r="A1058" s="14">
        <f t="shared" si="16"/>
        <v>1046</v>
      </c>
      <c r="E1058" s="12" t="str">
        <f>IF($C$8&gt;=A1058,$E$1&amp;" "&amp;A1058,"")</f>
        <v/>
      </c>
      <c r="J1058" s="8"/>
      <c r="M1058" s="1"/>
      <c r="N1058" s="1"/>
      <c r="O1058" s="1"/>
      <c r="P1058" s="9"/>
      <c r="Q1058" s="9"/>
      <c r="R1058" s="8"/>
      <c r="S1058" s="8"/>
      <c r="T1058" s="1"/>
    </row>
    <row r="1059" spans="1:20" x14ac:dyDescent="0.2">
      <c r="A1059" s="14">
        <f t="shared" si="16"/>
        <v>1047</v>
      </c>
      <c r="E1059" s="12" t="str">
        <f>IF($C$8&gt;=A1059,$E$1&amp;" "&amp;A1059,"")</f>
        <v/>
      </c>
      <c r="J1059" s="8"/>
      <c r="M1059" s="1"/>
      <c r="N1059" s="1"/>
      <c r="O1059" s="1"/>
      <c r="P1059" s="9"/>
      <c r="Q1059" s="9"/>
      <c r="R1059" s="8"/>
      <c r="S1059" s="8"/>
      <c r="T1059" s="1"/>
    </row>
    <row r="1060" spans="1:20" x14ac:dyDescent="0.2">
      <c r="A1060" s="14">
        <f t="shared" si="16"/>
        <v>1048</v>
      </c>
      <c r="E1060" s="12" t="str">
        <f>IF($C$8&gt;=A1060,$E$1&amp;" "&amp;A1060,"")</f>
        <v/>
      </c>
      <c r="J1060" s="8"/>
      <c r="M1060" s="1"/>
      <c r="N1060" s="1"/>
      <c r="O1060" s="1"/>
      <c r="P1060" s="9"/>
      <c r="Q1060" s="9"/>
      <c r="R1060" s="8"/>
      <c r="S1060" s="8"/>
      <c r="T1060" s="1"/>
    </row>
    <row r="1061" spans="1:20" x14ac:dyDescent="0.2">
      <c r="A1061" s="14">
        <f t="shared" si="16"/>
        <v>1049</v>
      </c>
      <c r="E1061" s="12" t="str">
        <f>IF($C$8&gt;=A1061,$E$1&amp;" "&amp;A1061,"")</f>
        <v/>
      </c>
      <c r="J1061" s="8"/>
      <c r="M1061" s="1"/>
      <c r="N1061" s="1"/>
      <c r="O1061" s="1"/>
      <c r="P1061" s="9"/>
      <c r="Q1061" s="9"/>
      <c r="R1061" s="8"/>
      <c r="S1061" s="8"/>
      <c r="T1061" s="1"/>
    </row>
    <row r="1062" spans="1:20" x14ac:dyDescent="0.2">
      <c r="A1062" s="14">
        <f t="shared" si="16"/>
        <v>1050</v>
      </c>
      <c r="E1062" s="12" t="str">
        <f>IF($C$8&gt;=A1062,$E$1&amp;" "&amp;A1062,"")</f>
        <v/>
      </c>
      <c r="J1062" s="8"/>
      <c r="M1062" s="1"/>
      <c r="N1062" s="1"/>
      <c r="O1062" s="1"/>
      <c r="P1062" s="9"/>
      <c r="Q1062" s="9"/>
      <c r="R1062" s="8"/>
      <c r="S1062" s="8"/>
      <c r="T1062" s="1"/>
    </row>
    <row r="1063" spans="1:20" x14ac:dyDescent="0.2">
      <c r="A1063" s="14">
        <f t="shared" si="16"/>
        <v>1051</v>
      </c>
      <c r="E1063" s="12" t="str">
        <f>IF($C$8&gt;=A1063,$E$1&amp;" "&amp;A1063,"")</f>
        <v/>
      </c>
      <c r="J1063" s="8"/>
      <c r="M1063" s="1"/>
      <c r="N1063" s="1"/>
      <c r="O1063" s="1"/>
      <c r="P1063" s="9"/>
      <c r="Q1063" s="9"/>
      <c r="R1063" s="8"/>
      <c r="S1063" s="8"/>
      <c r="T1063" s="1"/>
    </row>
    <row r="1064" spans="1:20" x14ac:dyDescent="0.2">
      <c r="A1064" s="14">
        <f t="shared" si="16"/>
        <v>1052</v>
      </c>
      <c r="E1064" s="12" t="str">
        <f>IF($C$8&gt;=A1064,$E$1&amp;" "&amp;A1064,"")</f>
        <v/>
      </c>
      <c r="J1064" s="8"/>
      <c r="M1064" s="1"/>
      <c r="N1064" s="1"/>
      <c r="O1064" s="1"/>
      <c r="P1064" s="9"/>
      <c r="Q1064" s="9"/>
      <c r="R1064" s="8"/>
      <c r="S1064" s="8"/>
      <c r="T1064" s="1"/>
    </row>
    <row r="1065" spans="1:20" x14ac:dyDescent="0.2">
      <c r="A1065" s="14">
        <f t="shared" si="16"/>
        <v>1053</v>
      </c>
      <c r="E1065" s="12" t="str">
        <f>IF($C$8&gt;=A1065,$E$1&amp;" "&amp;A1065,"")</f>
        <v/>
      </c>
      <c r="J1065" s="8"/>
      <c r="M1065" s="1"/>
      <c r="N1065" s="1"/>
      <c r="O1065" s="1"/>
      <c r="P1065" s="9"/>
      <c r="Q1065" s="9"/>
      <c r="R1065" s="8"/>
      <c r="S1065" s="8"/>
      <c r="T1065" s="1"/>
    </row>
    <row r="1066" spans="1:20" x14ac:dyDescent="0.2">
      <c r="A1066" s="14">
        <f t="shared" si="16"/>
        <v>1054</v>
      </c>
      <c r="E1066" s="12" t="str">
        <f>IF($C$8&gt;=A1066,$E$1&amp;" "&amp;A1066,"")</f>
        <v/>
      </c>
      <c r="J1066" s="8"/>
      <c r="M1066" s="1"/>
      <c r="N1066" s="1"/>
      <c r="O1066" s="1"/>
      <c r="P1066" s="9"/>
      <c r="Q1066" s="9"/>
      <c r="R1066" s="8"/>
      <c r="S1066" s="8"/>
      <c r="T1066" s="1"/>
    </row>
    <row r="1067" spans="1:20" x14ac:dyDescent="0.2">
      <c r="A1067" s="14">
        <f t="shared" si="16"/>
        <v>1055</v>
      </c>
      <c r="E1067" s="12" t="str">
        <f>IF($C$8&gt;=A1067,$E$1&amp;" "&amp;A1067,"")</f>
        <v/>
      </c>
      <c r="J1067" s="8"/>
      <c r="M1067" s="1"/>
      <c r="N1067" s="1"/>
      <c r="O1067" s="1"/>
      <c r="P1067" s="9"/>
      <c r="Q1067" s="9"/>
      <c r="R1067" s="8"/>
      <c r="S1067" s="8"/>
      <c r="T1067" s="1"/>
    </row>
    <row r="1068" spans="1:20" x14ac:dyDescent="0.2">
      <c r="A1068" s="14">
        <f t="shared" si="16"/>
        <v>1056</v>
      </c>
      <c r="E1068" s="12" t="str">
        <f>IF($C$8&gt;=A1068,$E$1&amp;" "&amp;A1068,"")</f>
        <v/>
      </c>
      <c r="J1068" s="8"/>
      <c r="M1068" s="1"/>
      <c r="N1068" s="1"/>
      <c r="O1068" s="1"/>
      <c r="P1068" s="9"/>
      <c r="Q1068" s="9"/>
      <c r="R1068" s="8"/>
      <c r="S1068" s="8"/>
      <c r="T1068" s="1"/>
    </row>
    <row r="1069" spans="1:20" x14ac:dyDescent="0.2">
      <c r="A1069" s="14">
        <f t="shared" si="16"/>
        <v>1057</v>
      </c>
      <c r="E1069" s="12" t="str">
        <f>IF($C$8&gt;=A1069,$E$1&amp;" "&amp;A1069,"")</f>
        <v/>
      </c>
      <c r="J1069" s="8"/>
      <c r="M1069" s="1"/>
      <c r="N1069" s="1"/>
      <c r="O1069" s="1"/>
      <c r="P1069" s="9"/>
      <c r="Q1069" s="9"/>
      <c r="R1069" s="8"/>
      <c r="S1069" s="8"/>
      <c r="T1069" s="1"/>
    </row>
    <row r="1070" spans="1:20" x14ac:dyDescent="0.2">
      <c r="A1070" s="14">
        <f t="shared" si="16"/>
        <v>1058</v>
      </c>
      <c r="E1070" s="12" t="str">
        <f>IF($C$8&gt;=A1070,$E$1&amp;" "&amp;A1070,"")</f>
        <v/>
      </c>
      <c r="J1070" s="8"/>
      <c r="M1070" s="1"/>
      <c r="N1070" s="1"/>
      <c r="O1070" s="1"/>
      <c r="P1070" s="9"/>
      <c r="Q1070" s="9"/>
      <c r="R1070" s="8"/>
      <c r="S1070" s="8"/>
      <c r="T1070" s="1"/>
    </row>
    <row r="1071" spans="1:20" x14ac:dyDescent="0.2">
      <c r="A1071" s="14">
        <f t="shared" si="16"/>
        <v>1059</v>
      </c>
      <c r="E1071" s="12" t="str">
        <f>IF($C$8&gt;=A1071,$E$1&amp;" "&amp;A1071,"")</f>
        <v/>
      </c>
      <c r="J1071" s="8"/>
      <c r="M1071" s="1"/>
      <c r="N1071" s="1"/>
      <c r="O1071" s="1"/>
      <c r="P1071" s="9"/>
      <c r="Q1071" s="9"/>
      <c r="R1071" s="8"/>
      <c r="S1071" s="8"/>
      <c r="T1071" s="1"/>
    </row>
    <row r="1072" spans="1:20" x14ac:dyDescent="0.2">
      <c r="A1072" s="14">
        <f t="shared" si="16"/>
        <v>1060</v>
      </c>
      <c r="E1072" s="12" t="str">
        <f>IF($C$8&gt;=A1072,$E$1&amp;" "&amp;A1072,"")</f>
        <v/>
      </c>
      <c r="J1072" s="8"/>
      <c r="M1072" s="1"/>
      <c r="N1072" s="1"/>
      <c r="O1072" s="1"/>
      <c r="P1072" s="9"/>
      <c r="Q1072" s="9"/>
      <c r="R1072" s="8"/>
      <c r="S1072" s="8"/>
      <c r="T1072" s="1"/>
    </row>
    <row r="1073" spans="1:20" x14ac:dyDescent="0.2">
      <c r="A1073" s="14">
        <f t="shared" si="16"/>
        <v>1061</v>
      </c>
      <c r="E1073" s="12" t="str">
        <f>IF($C$8&gt;=A1073,$E$1&amp;" "&amp;A1073,"")</f>
        <v/>
      </c>
      <c r="J1073" s="8"/>
      <c r="M1073" s="1"/>
      <c r="N1073" s="1"/>
      <c r="O1073" s="1"/>
      <c r="P1073" s="9"/>
      <c r="Q1073" s="9"/>
      <c r="R1073" s="8"/>
      <c r="S1073" s="8"/>
      <c r="T1073" s="1"/>
    </row>
    <row r="1074" spans="1:20" x14ac:dyDescent="0.2">
      <c r="A1074" s="14">
        <f t="shared" si="16"/>
        <v>1062</v>
      </c>
      <c r="E1074" s="12" t="str">
        <f>IF($C$8&gt;=A1074,$E$1&amp;" "&amp;A1074,"")</f>
        <v/>
      </c>
      <c r="J1074" s="8"/>
      <c r="M1074" s="1"/>
      <c r="N1074" s="1"/>
      <c r="O1074" s="1"/>
      <c r="P1074" s="9"/>
      <c r="Q1074" s="9"/>
      <c r="R1074" s="8"/>
      <c r="S1074" s="8"/>
      <c r="T1074" s="1"/>
    </row>
    <row r="1075" spans="1:20" x14ac:dyDescent="0.2">
      <c r="A1075" s="14">
        <f t="shared" si="16"/>
        <v>1063</v>
      </c>
      <c r="E1075" s="12" t="str">
        <f>IF($C$8&gt;=A1075,$E$1&amp;" "&amp;A1075,"")</f>
        <v/>
      </c>
      <c r="J1075" s="8"/>
      <c r="M1075" s="1"/>
      <c r="N1075" s="1"/>
      <c r="O1075" s="1"/>
      <c r="P1075" s="9"/>
      <c r="Q1075" s="9"/>
      <c r="R1075" s="8"/>
      <c r="S1075" s="8"/>
      <c r="T1075" s="1"/>
    </row>
    <row r="1076" spans="1:20" x14ac:dyDescent="0.2">
      <c r="A1076" s="14">
        <f t="shared" si="16"/>
        <v>1064</v>
      </c>
      <c r="E1076" s="12" t="str">
        <f>IF($C$8&gt;=A1076,$E$1&amp;" "&amp;A1076,"")</f>
        <v/>
      </c>
      <c r="J1076" s="8"/>
      <c r="M1076" s="1"/>
      <c r="N1076" s="1"/>
      <c r="O1076" s="1"/>
      <c r="P1076" s="9"/>
      <c r="Q1076" s="9"/>
      <c r="R1076" s="8"/>
      <c r="S1076" s="8"/>
      <c r="T1076" s="1"/>
    </row>
    <row r="1077" spans="1:20" x14ac:dyDescent="0.2">
      <c r="A1077" s="14">
        <f t="shared" si="16"/>
        <v>1065</v>
      </c>
      <c r="E1077" s="12" t="str">
        <f>IF($C$8&gt;=A1077,$E$1&amp;" "&amp;A1077,"")</f>
        <v/>
      </c>
      <c r="J1077" s="8"/>
      <c r="M1077" s="1"/>
      <c r="N1077" s="1"/>
      <c r="O1077" s="1"/>
      <c r="P1077" s="9"/>
      <c r="Q1077" s="9"/>
      <c r="R1077" s="8"/>
      <c r="S1077" s="8"/>
      <c r="T1077" s="1"/>
    </row>
    <row r="1078" spans="1:20" x14ac:dyDescent="0.2">
      <c r="A1078" s="14">
        <f t="shared" si="16"/>
        <v>1066</v>
      </c>
      <c r="E1078" s="12" t="str">
        <f>IF($C$8&gt;=A1078,$E$1&amp;" "&amp;A1078,"")</f>
        <v/>
      </c>
      <c r="J1078" s="8"/>
      <c r="M1078" s="1"/>
      <c r="N1078" s="1"/>
      <c r="O1078" s="1"/>
      <c r="P1078" s="9"/>
      <c r="Q1078" s="9"/>
      <c r="R1078" s="8"/>
      <c r="S1078" s="8"/>
      <c r="T1078" s="1"/>
    </row>
    <row r="1079" spans="1:20" x14ac:dyDescent="0.2">
      <c r="A1079" s="14">
        <f t="shared" si="16"/>
        <v>1067</v>
      </c>
      <c r="E1079" s="12" t="str">
        <f>IF($C$8&gt;=A1079,$E$1&amp;" "&amp;A1079,"")</f>
        <v/>
      </c>
      <c r="J1079" s="8"/>
      <c r="M1079" s="1"/>
      <c r="N1079" s="1"/>
      <c r="O1079" s="1"/>
      <c r="P1079" s="9"/>
      <c r="Q1079" s="9"/>
      <c r="R1079" s="8"/>
      <c r="S1079" s="8"/>
      <c r="T1079" s="1"/>
    </row>
    <row r="1080" spans="1:20" x14ac:dyDescent="0.2">
      <c r="A1080" s="14">
        <f t="shared" si="16"/>
        <v>1068</v>
      </c>
      <c r="E1080" s="12" t="str">
        <f>IF($C$8&gt;=A1080,$E$1&amp;" "&amp;A1080,"")</f>
        <v/>
      </c>
      <c r="J1080" s="8"/>
      <c r="M1080" s="1"/>
      <c r="N1080" s="1"/>
      <c r="O1080" s="1"/>
      <c r="P1080" s="9"/>
      <c r="Q1080" s="9"/>
      <c r="R1080" s="8"/>
      <c r="S1080" s="8"/>
      <c r="T1080" s="1"/>
    </row>
    <row r="1081" spans="1:20" x14ac:dyDescent="0.2">
      <c r="A1081" s="14">
        <f t="shared" si="16"/>
        <v>1069</v>
      </c>
      <c r="E1081" s="12" t="str">
        <f>IF($C$8&gt;=A1081,$E$1&amp;" "&amp;A1081,"")</f>
        <v/>
      </c>
      <c r="J1081" s="8"/>
      <c r="M1081" s="1"/>
      <c r="N1081" s="1"/>
      <c r="O1081" s="1"/>
      <c r="P1081" s="9"/>
      <c r="Q1081" s="9"/>
      <c r="R1081" s="8"/>
      <c r="S1081" s="8"/>
      <c r="T1081" s="1"/>
    </row>
    <row r="1082" spans="1:20" x14ac:dyDescent="0.2">
      <c r="A1082" s="14">
        <f t="shared" si="16"/>
        <v>1070</v>
      </c>
      <c r="E1082" s="12" t="str">
        <f>IF($C$8&gt;=A1082,$E$1&amp;" "&amp;A1082,"")</f>
        <v/>
      </c>
      <c r="J1082" s="8"/>
      <c r="M1082" s="1"/>
      <c r="N1082" s="1"/>
      <c r="O1082" s="1"/>
      <c r="P1082" s="9"/>
      <c r="Q1082" s="9"/>
      <c r="R1082" s="8"/>
      <c r="S1082" s="8"/>
      <c r="T1082" s="1"/>
    </row>
    <row r="1083" spans="1:20" x14ac:dyDescent="0.2">
      <c r="A1083" s="14">
        <f t="shared" si="16"/>
        <v>1071</v>
      </c>
      <c r="E1083" s="12" t="str">
        <f>IF($C$8&gt;=A1083,$E$1&amp;" "&amp;A1083,"")</f>
        <v/>
      </c>
      <c r="J1083" s="8"/>
      <c r="M1083" s="1"/>
      <c r="N1083" s="1"/>
      <c r="O1083" s="1"/>
      <c r="P1083" s="9"/>
      <c r="Q1083" s="9"/>
      <c r="R1083" s="8"/>
      <c r="S1083" s="8"/>
      <c r="T1083" s="1"/>
    </row>
    <row r="1084" spans="1:20" x14ac:dyDescent="0.2">
      <c r="A1084" s="14">
        <f t="shared" si="16"/>
        <v>1072</v>
      </c>
      <c r="E1084" s="12" t="str">
        <f>IF($C$8&gt;=A1084,$E$1&amp;" "&amp;A1084,"")</f>
        <v/>
      </c>
      <c r="J1084" s="8"/>
      <c r="M1084" s="1"/>
      <c r="N1084" s="1"/>
      <c r="O1084" s="1"/>
      <c r="P1084" s="9"/>
      <c r="Q1084" s="9"/>
      <c r="R1084" s="8"/>
      <c r="S1084" s="8"/>
      <c r="T1084" s="1"/>
    </row>
    <row r="1085" spans="1:20" x14ac:dyDescent="0.2">
      <c r="A1085" s="14">
        <f t="shared" si="16"/>
        <v>1073</v>
      </c>
      <c r="E1085" s="12" t="str">
        <f>IF($C$8&gt;=A1085,$E$1&amp;" "&amp;A1085,"")</f>
        <v/>
      </c>
      <c r="J1085" s="8"/>
      <c r="M1085" s="1"/>
      <c r="N1085" s="1"/>
      <c r="O1085" s="1"/>
      <c r="P1085" s="9"/>
      <c r="Q1085" s="9"/>
      <c r="R1085" s="8"/>
      <c r="S1085" s="8"/>
      <c r="T1085" s="1"/>
    </row>
    <row r="1086" spans="1:20" x14ac:dyDescent="0.2">
      <c r="A1086" s="14">
        <f t="shared" si="16"/>
        <v>1074</v>
      </c>
      <c r="E1086" s="12" t="str">
        <f>IF($C$8&gt;=A1086,$E$1&amp;" "&amp;A1086,"")</f>
        <v/>
      </c>
      <c r="J1086" s="8"/>
      <c r="M1086" s="1"/>
      <c r="N1086" s="1"/>
      <c r="O1086" s="1"/>
      <c r="P1086" s="9"/>
      <c r="Q1086" s="9"/>
      <c r="R1086" s="8"/>
      <c r="S1086" s="8"/>
      <c r="T1086" s="1"/>
    </row>
    <row r="1087" spans="1:20" x14ac:dyDescent="0.2">
      <c r="A1087" s="14">
        <f t="shared" si="16"/>
        <v>1075</v>
      </c>
      <c r="E1087" s="12" t="str">
        <f>IF($C$8&gt;=A1087,$E$1&amp;" "&amp;A1087,"")</f>
        <v/>
      </c>
      <c r="J1087" s="8"/>
      <c r="M1087" s="1"/>
      <c r="N1087" s="1"/>
      <c r="O1087" s="1"/>
      <c r="P1087" s="9"/>
      <c r="Q1087" s="9"/>
      <c r="R1087" s="8"/>
      <c r="S1087" s="8"/>
      <c r="T1087" s="1"/>
    </row>
    <row r="1088" spans="1:20" x14ac:dyDescent="0.2">
      <c r="A1088" s="14">
        <f t="shared" si="16"/>
        <v>1076</v>
      </c>
      <c r="E1088" s="12" t="str">
        <f>IF($C$8&gt;=A1088,$E$1&amp;" "&amp;A1088,"")</f>
        <v/>
      </c>
      <c r="J1088" s="8"/>
      <c r="M1088" s="1"/>
      <c r="N1088" s="1"/>
      <c r="O1088" s="1"/>
      <c r="P1088" s="9"/>
      <c r="Q1088" s="9"/>
      <c r="R1088" s="8"/>
      <c r="S1088" s="8"/>
      <c r="T1088" s="1"/>
    </row>
    <row r="1089" spans="1:20" x14ac:dyDescent="0.2">
      <c r="A1089" s="14">
        <f t="shared" si="16"/>
        <v>1077</v>
      </c>
      <c r="E1089" s="12" t="str">
        <f>IF($C$8&gt;=A1089,$E$1&amp;" "&amp;A1089,"")</f>
        <v/>
      </c>
      <c r="J1089" s="8"/>
      <c r="M1089" s="1"/>
      <c r="N1089" s="1"/>
      <c r="O1089" s="1"/>
      <c r="P1089" s="9"/>
      <c r="Q1089" s="9"/>
      <c r="R1089" s="8"/>
      <c r="S1089" s="8"/>
      <c r="T1089" s="1"/>
    </row>
    <row r="1090" spans="1:20" x14ac:dyDescent="0.2">
      <c r="A1090" s="14">
        <f t="shared" si="16"/>
        <v>1078</v>
      </c>
      <c r="E1090" s="12" t="str">
        <f>IF($C$8&gt;=A1090,$E$1&amp;" "&amp;A1090,"")</f>
        <v/>
      </c>
      <c r="J1090" s="8"/>
      <c r="M1090" s="1"/>
      <c r="N1090" s="1"/>
      <c r="O1090" s="1"/>
      <c r="P1090" s="9"/>
      <c r="Q1090" s="9"/>
      <c r="R1090" s="8"/>
      <c r="S1090" s="8"/>
      <c r="T1090" s="1"/>
    </row>
    <row r="1091" spans="1:20" x14ac:dyDescent="0.2">
      <c r="A1091" s="14">
        <f t="shared" si="16"/>
        <v>1079</v>
      </c>
      <c r="E1091" s="12" t="str">
        <f>IF($C$8&gt;=A1091,$E$1&amp;" "&amp;A1091,"")</f>
        <v/>
      </c>
      <c r="J1091" s="8"/>
      <c r="M1091" s="1"/>
      <c r="N1091" s="1"/>
      <c r="O1091" s="1"/>
      <c r="P1091" s="9"/>
      <c r="Q1091" s="9"/>
      <c r="R1091" s="8"/>
      <c r="S1091" s="8"/>
      <c r="T1091" s="1"/>
    </row>
    <row r="1092" spans="1:20" x14ac:dyDescent="0.2">
      <c r="A1092" s="14">
        <f t="shared" si="16"/>
        <v>1080</v>
      </c>
      <c r="E1092" s="12" t="str">
        <f>IF($C$8&gt;=A1092,$E$1&amp;" "&amp;A1092,"")</f>
        <v/>
      </c>
      <c r="J1092" s="8"/>
      <c r="M1092" s="1"/>
      <c r="N1092" s="1"/>
      <c r="O1092" s="1"/>
      <c r="P1092" s="9"/>
      <c r="Q1092" s="9"/>
      <c r="R1092" s="8"/>
      <c r="S1092" s="8"/>
      <c r="T1092" s="1"/>
    </row>
    <row r="1093" spans="1:20" x14ac:dyDescent="0.2">
      <c r="A1093" s="14">
        <f t="shared" si="16"/>
        <v>1081</v>
      </c>
      <c r="E1093" s="12" t="str">
        <f>IF($C$8&gt;=A1093,$E$1&amp;" "&amp;A1093,"")</f>
        <v/>
      </c>
      <c r="J1093" s="8"/>
      <c r="M1093" s="1"/>
      <c r="N1093" s="1"/>
      <c r="O1093" s="1"/>
      <c r="P1093" s="9"/>
      <c r="Q1093" s="9"/>
      <c r="R1093" s="8"/>
      <c r="S1093" s="8"/>
      <c r="T1093" s="1"/>
    </row>
    <row r="1094" spans="1:20" x14ac:dyDescent="0.2">
      <c r="A1094" s="14">
        <f t="shared" si="16"/>
        <v>1082</v>
      </c>
      <c r="E1094" s="12" t="str">
        <f>IF($C$8&gt;=A1094,$E$1&amp;" "&amp;A1094,"")</f>
        <v/>
      </c>
      <c r="J1094" s="8"/>
      <c r="M1094" s="1"/>
      <c r="N1094" s="1"/>
      <c r="O1094" s="1"/>
      <c r="P1094" s="9"/>
      <c r="Q1094" s="9"/>
      <c r="R1094" s="8"/>
      <c r="S1094" s="8"/>
      <c r="T1094" s="1"/>
    </row>
    <row r="1095" spans="1:20" x14ac:dyDescent="0.2">
      <c r="A1095" s="14">
        <f t="shared" si="16"/>
        <v>1083</v>
      </c>
      <c r="E1095" s="12" t="str">
        <f>IF($C$8&gt;=A1095,$E$1&amp;" "&amp;A1095,"")</f>
        <v/>
      </c>
      <c r="J1095" s="8"/>
      <c r="M1095" s="1"/>
      <c r="N1095" s="1"/>
      <c r="O1095" s="1"/>
      <c r="P1095" s="9"/>
      <c r="Q1095" s="9"/>
      <c r="R1095" s="8"/>
      <c r="S1095" s="8"/>
      <c r="T1095" s="1"/>
    </row>
    <row r="1096" spans="1:20" x14ac:dyDescent="0.2">
      <c r="A1096" s="14">
        <f t="shared" si="16"/>
        <v>1084</v>
      </c>
      <c r="E1096" s="12" t="str">
        <f>IF($C$8&gt;=A1096,$E$1&amp;" "&amp;A1096,"")</f>
        <v/>
      </c>
      <c r="J1096" s="8"/>
      <c r="M1096" s="1"/>
      <c r="N1096" s="1"/>
      <c r="O1096" s="1"/>
      <c r="P1096" s="9"/>
      <c r="Q1096" s="9"/>
      <c r="R1096" s="8"/>
      <c r="S1096" s="8"/>
      <c r="T1096" s="1"/>
    </row>
    <row r="1097" spans="1:20" x14ac:dyDescent="0.2">
      <c r="A1097" s="14">
        <f t="shared" si="16"/>
        <v>1085</v>
      </c>
      <c r="E1097" s="12" t="str">
        <f>IF($C$8&gt;=A1097,$E$1&amp;" "&amp;A1097,"")</f>
        <v/>
      </c>
      <c r="J1097" s="8"/>
      <c r="M1097" s="1"/>
      <c r="N1097" s="1"/>
      <c r="O1097" s="1"/>
      <c r="P1097" s="9"/>
      <c r="Q1097" s="9"/>
      <c r="R1097" s="8"/>
      <c r="S1097" s="8"/>
      <c r="T1097" s="1"/>
    </row>
    <row r="1098" spans="1:20" x14ac:dyDescent="0.2">
      <c r="A1098" s="14">
        <f t="shared" si="16"/>
        <v>1086</v>
      </c>
      <c r="E1098" s="12" t="str">
        <f>IF($C$8&gt;=A1098,$E$1&amp;" "&amp;A1098,"")</f>
        <v/>
      </c>
      <c r="J1098" s="8"/>
      <c r="M1098" s="1"/>
      <c r="N1098" s="1"/>
      <c r="O1098" s="1"/>
      <c r="P1098" s="9"/>
      <c r="Q1098" s="9"/>
      <c r="R1098" s="8"/>
      <c r="S1098" s="8"/>
      <c r="T1098" s="1"/>
    </row>
    <row r="1099" spans="1:20" x14ac:dyDescent="0.2">
      <c r="A1099" s="14">
        <f t="shared" si="16"/>
        <v>1087</v>
      </c>
      <c r="E1099" s="12" t="str">
        <f>IF($C$8&gt;=A1099,$E$1&amp;" "&amp;A1099,"")</f>
        <v/>
      </c>
      <c r="J1099" s="8"/>
      <c r="M1099" s="1"/>
      <c r="N1099" s="1"/>
      <c r="O1099" s="1"/>
      <c r="P1099" s="9"/>
      <c r="Q1099" s="9"/>
      <c r="R1099" s="8"/>
      <c r="S1099" s="8"/>
      <c r="T1099" s="1"/>
    </row>
    <row r="1100" spans="1:20" x14ac:dyDescent="0.2">
      <c r="A1100" s="14">
        <f t="shared" si="16"/>
        <v>1088</v>
      </c>
      <c r="E1100" s="12" t="str">
        <f>IF($C$8&gt;=A1100,$E$1&amp;" "&amp;A1100,"")</f>
        <v/>
      </c>
      <c r="J1100" s="8"/>
      <c r="M1100" s="1"/>
      <c r="N1100" s="1"/>
      <c r="O1100" s="1"/>
      <c r="P1100" s="9"/>
      <c r="Q1100" s="9"/>
      <c r="R1100" s="8"/>
      <c r="S1100" s="8"/>
      <c r="T1100" s="1"/>
    </row>
    <row r="1101" spans="1:20" x14ac:dyDescent="0.2">
      <c r="A1101" s="14">
        <f t="shared" si="16"/>
        <v>1089</v>
      </c>
      <c r="E1101" s="12" t="str">
        <f>IF($C$8&gt;=A1101,$E$1&amp;" "&amp;A1101,"")</f>
        <v/>
      </c>
      <c r="J1101" s="8"/>
      <c r="M1101" s="1"/>
      <c r="N1101" s="1"/>
      <c r="O1101" s="1"/>
      <c r="P1101" s="9"/>
      <c r="Q1101" s="9"/>
      <c r="R1101" s="8"/>
      <c r="S1101" s="8"/>
      <c r="T1101" s="1"/>
    </row>
    <row r="1102" spans="1:20" x14ac:dyDescent="0.2">
      <c r="A1102" s="14">
        <f t="shared" si="16"/>
        <v>1090</v>
      </c>
      <c r="E1102" s="12" t="str">
        <f>IF($C$8&gt;=A1102,$E$1&amp;" "&amp;A1102,"")</f>
        <v/>
      </c>
      <c r="J1102" s="8"/>
      <c r="M1102" s="1"/>
      <c r="N1102" s="1"/>
      <c r="O1102" s="1"/>
      <c r="P1102" s="9"/>
      <c r="Q1102" s="9"/>
      <c r="R1102" s="8"/>
      <c r="S1102" s="8"/>
      <c r="T1102" s="1"/>
    </row>
    <row r="1103" spans="1:20" x14ac:dyDescent="0.2">
      <c r="A1103" s="14">
        <f t="shared" ref="A1103:A1166" si="17">A1102+1</f>
        <v>1091</v>
      </c>
      <c r="E1103" s="12" t="str">
        <f>IF($C$8&gt;=A1103,$E$1&amp;" "&amp;A1103,"")</f>
        <v/>
      </c>
      <c r="J1103" s="8"/>
      <c r="M1103" s="1"/>
      <c r="N1103" s="1"/>
      <c r="O1103" s="1"/>
      <c r="P1103" s="9"/>
      <c r="Q1103" s="9"/>
      <c r="R1103" s="8"/>
      <c r="S1103" s="8"/>
      <c r="T1103" s="1"/>
    </row>
    <row r="1104" spans="1:20" x14ac:dyDescent="0.2">
      <c r="A1104" s="14">
        <f t="shared" si="17"/>
        <v>1092</v>
      </c>
      <c r="E1104" s="12" t="str">
        <f>IF($C$8&gt;=A1104,$E$1&amp;" "&amp;A1104,"")</f>
        <v/>
      </c>
      <c r="J1104" s="8"/>
      <c r="M1104" s="1"/>
      <c r="N1104" s="1"/>
      <c r="O1104" s="1"/>
      <c r="P1104" s="9"/>
      <c r="Q1104" s="9"/>
      <c r="R1104" s="8"/>
      <c r="S1104" s="8"/>
      <c r="T1104" s="1"/>
    </row>
    <row r="1105" spans="1:20" x14ac:dyDescent="0.2">
      <c r="A1105" s="14">
        <f t="shared" si="17"/>
        <v>1093</v>
      </c>
      <c r="E1105" s="12" t="str">
        <f>IF($C$8&gt;=A1105,$E$1&amp;" "&amp;A1105,"")</f>
        <v/>
      </c>
      <c r="J1105" s="8"/>
      <c r="M1105" s="1"/>
      <c r="N1105" s="1"/>
      <c r="O1105" s="1"/>
      <c r="P1105" s="9"/>
      <c r="Q1105" s="9"/>
      <c r="R1105" s="8"/>
      <c r="S1105" s="8"/>
      <c r="T1105" s="1"/>
    </row>
    <row r="1106" spans="1:20" x14ac:dyDescent="0.2">
      <c r="A1106" s="14">
        <f t="shared" si="17"/>
        <v>1094</v>
      </c>
      <c r="E1106" s="12" t="str">
        <f>IF($C$8&gt;=A1106,$E$1&amp;" "&amp;A1106,"")</f>
        <v/>
      </c>
      <c r="J1106" s="8"/>
      <c r="M1106" s="1"/>
      <c r="N1106" s="1"/>
      <c r="O1106" s="1"/>
      <c r="P1106" s="9"/>
      <c r="Q1106" s="9"/>
      <c r="R1106" s="8"/>
      <c r="S1106" s="8"/>
      <c r="T1106" s="1"/>
    </row>
    <row r="1107" spans="1:20" x14ac:dyDescent="0.2">
      <c r="A1107" s="14">
        <f t="shared" si="17"/>
        <v>1095</v>
      </c>
      <c r="E1107" s="12" t="str">
        <f>IF($C$8&gt;=A1107,$E$1&amp;" "&amp;A1107,"")</f>
        <v/>
      </c>
      <c r="J1107" s="8"/>
      <c r="M1107" s="1"/>
      <c r="N1107" s="1"/>
      <c r="O1107" s="1"/>
      <c r="P1107" s="9"/>
      <c r="Q1107" s="9"/>
      <c r="R1107" s="8"/>
      <c r="S1107" s="8"/>
      <c r="T1107" s="1"/>
    </row>
    <row r="1108" spans="1:20" x14ac:dyDescent="0.2">
      <c r="A1108" s="14">
        <f t="shared" si="17"/>
        <v>1096</v>
      </c>
      <c r="E1108" s="12" t="str">
        <f>IF($C$8&gt;=A1108,$E$1&amp;" "&amp;A1108,"")</f>
        <v/>
      </c>
      <c r="J1108" s="8"/>
      <c r="M1108" s="1"/>
      <c r="N1108" s="1"/>
      <c r="O1108" s="1"/>
      <c r="P1108" s="9"/>
      <c r="Q1108" s="9"/>
      <c r="R1108" s="8"/>
      <c r="S1108" s="8"/>
      <c r="T1108" s="1"/>
    </row>
    <row r="1109" spans="1:20" x14ac:dyDescent="0.2">
      <c r="A1109" s="14">
        <f t="shared" si="17"/>
        <v>1097</v>
      </c>
      <c r="E1109" s="12" t="str">
        <f>IF($C$8&gt;=A1109,$E$1&amp;" "&amp;A1109,"")</f>
        <v/>
      </c>
      <c r="J1109" s="8"/>
      <c r="M1109" s="1"/>
      <c r="N1109" s="1"/>
      <c r="O1109" s="1"/>
      <c r="P1109" s="9"/>
      <c r="Q1109" s="9"/>
      <c r="R1109" s="8"/>
      <c r="S1109" s="8"/>
      <c r="T1109" s="1"/>
    </row>
    <row r="1110" spans="1:20" x14ac:dyDescent="0.2">
      <c r="A1110" s="14">
        <f t="shared" si="17"/>
        <v>1098</v>
      </c>
      <c r="E1110" s="12" t="str">
        <f>IF($C$8&gt;=A1110,$E$1&amp;" "&amp;A1110,"")</f>
        <v/>
      </c>
      <c r="J1110" s="8"/>
      <c r="M1110" s="1"/>
      <c r="N1110" s="1"/>
      <c r="O1110" s="1"/>
      <c r="P1110" s="9"/>
      <c r="Q1110" s="9"/>
      <c r="R1110" s="8"/>
      <c r="S1110" s="8"/>
      <c r="T1110" s="1"/>
    </row>
    <row r="1111" spans="1:20" x14ac:dyDescent="0.2">
      <c r="A1111" s="14">
        <f t="shared" si="17"/>
        <v>1099</v>
      </c>
      <c r="E1111" s="12" t="str">
        <f>IF($C$8&gt;=A1111,$E$1&amp;" "&amp;A1111,"")</f>
        <v/>
      </c>
      <c r="J1111" s="8"/>
      <c r="M1111" s="1"/>
      <c r="N1111" s="1"/>
      <c r="O1111" s="1"/>
      <c r="P1111" s="9"/>
      <c r="Q1111" s="9"/>
      <c r="R1111" s="8"/>
      <c r="S1111" s="8"/>
      <c r="T1111" s="1"/>
    </row>
    <row r="1112" spans="1:20" x14ac:dyDescent="0.2">
      <c r="A1112" s="14">
        <f t="shared" si="17"/>
        <v>1100</v>
      </c>
      <c r="E1112" s="12" t="str">
        <f>IF($C$8&gt;=A1112,$E$1&amp;" "&amp;A1112,"")</f>
        <v/>
      </c>
      <c r="J1112" s="8"/>
      <c r="M1112" s="1"/>
      <c r="N1112" s="1"/>
      <c r="O1112" s="1"/>
      <c r="P1112" s="9"/>
      <c r="Q1112" s="9"/>
      <c r="R1112" s="8"/>
      <c r="S1112" s="8"/>
      <c r="T1112" s="1"/>
    </row>
    <row r="1113" spans="1:20" x14ac:dyDescent="0.2">
      <c r="A1113" s="14">
        <f t="shared" si="17"/>
        <v>1101</v>
      </c>
      <c r="E1113" s="12" t="str">
        <f>IF($C$8&gt;=A1113,$E$1&amp;" "&amp;A1113,"")</f>
        <v/>
      </c>
      <c r="J1113" s="8"/>
      <c r="M1113" s="1"/>
      <c r="N1113" s="1"/>
      <c r="O1113" s="1"/>
      <c r="P1113" s="9"/>
      <c r="Q1113" s="9"/>
      <c r="R1113" s="8"/>
      <c r="S1113" s="8"/>
      <c r="T1113" s="1"/>
    </row>
    <row r="1114" spans="1:20" x14ac:dyDescent="0.2">
      <c r="A1114" s="14">
        <f t="shared" si="17"/>
        <v>1102</v>
      </c>
      <c r="E1114" s="12" t="str">
        <f>IF($C$8&gt;=A1114,$E$1&amp;" "&amp;A1114,"")</f>
        <v/>
      </c>
      <c r="J1114" s="8"/>
      <c r="M1114" s="1"/>
      <c r="N1114" s="1"/>
      <c r="O1114" s="1"/>
      <c r="P1114" s="9"/>
      <c r="Q1114" s="9"/>
      <c r="R1114" s="8"/>
      <c r="S1114" s="8"/>
      <c r="T1114" s="1"/>
    </row>
    <row r="1115" spans="1:20" x14ac:dyDescent="0.2">
      <c r="A1115" s="14">
        <f t="shared" si="17"/>
        <v>1103</v>
      </c>
      <c r="E1115" s="12" t="str">
        <f>IF($C$8&gt;=A1115,$E$1&amp;" "&amp;A1115,"")</f>
        <v/>
      </c>
      <c r="J1115" s="8"/>
      <c r="M1115" s="1"/>
      <c r="N1115" s="1"/>
      <c r="O1115" s="1"/>
      <c r="P1115" s="9"/>
      <c r="Q1115" s="9"/>
      <c r="R1115" s="8"/>
      <c r="S1115" s="8"/>
      <c r="T1115" s="1"/>
    </row>
    <row r="1116" spans="1:20" x14ac:dyDescent="0.2">
      <c r="A1116" s="14">
        <f t="shared" si="17"/>
        <v>1104</v>
      </c>
      <c r="E1116" s="12" t="str">
        <f>IF($C$8&gt;=A1116,$E$1&amp;" "&amp;A1116,"")</f>
        <v/>
      </c>
      <c r="J1116" s="8"/>
      <c r="M1116" s="1"/>
      <c r="N1116" s="1"/>
      <c r="O1116" s="1"/>
      <c r="P1116" s="9"/>
      <c r="Q1116" s="9"/>
      <c r="R1116" s="8"/>
      <c r="S1116" s="8"/>
      <c r="T1116" s="1"/>
    </row>
    <row r="1117" spans="1:20" x14ac:dyDescent="0.2">
      <c r="A1117" s="14">
        <f t="shared" si="17"/>
        <v>1105</v>
      </c>
      <c r="E1117" s="12" t="str">
        <f>IF($C$8&gt;=A1117,$E$1&amp;" "&amp;A1117,"")</f>
        <v/>
      </c>
      <c r="J1117" s="8"/>
      <c r="M1117" s="1"/>
      <c r="N1117" s="1"/>
      <c r="O1117" s="1"/>
      <c r="P1117" s="9"/>
      <c r="Q1117" s="9"/>
      <c r="R1117" s="8"/>
      <c r="S1117" s="8"/>
      <c r="T1117" s="1"/>
    </row>
    <row r="1118" spans="1:20" x14ac:dyDescent="0.2">
      <c r="A1118" s="14">
        <f t="shared" si="17"/>
        <v>1106</v>
      </c>
      <c r="E1118" s="12" t="str">
        <f>IF($C$8&gt;=A1118,$E$1&amp;" "&amp;A1118,"")</f>
        <v/>
      </c>
      <c r="J1118" s="8"/>
      <c r="M1118" s="1"/>
      <c r="N1118" s="1"/>
      <c r="O1118" s="1"/>
      <c r="P1118" s="9"/>
      <c r="Q1118" s="9"/>
      <c r="R1118" s="8"/>
      <c r="S1118" s="8"/>
      <c r="T1118" s="1"/>
    </row>
    <row r="1119" spans="1:20" x14ac:dyDescent="0.2">
      <c r="A1119" s="14">
        <f t="shared" si="17"/>
        <v>1107</v>
      </c>
      <c r="E1119" s="12" t="str">
        <f>IF($C$8&gt;=A1119,$E$1&amp;" "&amp;A1119,"")</f>
        <v/>
      </c>
      <c r="J1119" s="8"/>
      <c r="M1119" s="1"/>
      <c r="N1119" s="1"/>
      <c r="O1119" s="1"/>
      <c r="P1119" s="9"/>
      <c r="Q1119" s="9"/>
      <c r="R1119" s="8"/>
      <c r="S1119" s="8"/>
      <c r="T1119" s="1"/>
    </row>
    <row r="1120" spans="1:20" x14ac:dyDescent="0.2">
      <c r="A1120" s="14">
        <f t="shared" si="17"/>
        <v>1108</v>
      </c>
      <c r="E1120" s="12" t="str">
        <f>IF($C$8&gt;=A1120,$E$1&amp;" "&amp;A1120,"")</f>
        <v/>
      </c>
      <c r="J1120" s="8"/>
      <c r="M1120" s="1"/>
      <c r="N1120" s="1"/>
      <c r="O1120" s="1"/>
      <c r="P1120" s="9"/>
      <c r="Q1120" s="9"/>
      <c r="R1120" s="8"/>
      <c r="S1120" s="8"/>
      <c r="T1120" s="1"/>
    </row>
    <row r="1121" spans="1:20" x14ac:dyDescent="0.2">
      <c r="A1121" s="14">
        <f t="shared" si="17"/>
        <v>1109</v>
      </c>
      <c r="E1121" s="12" t="str">
        <f>IF($C$8&gt;=A1121,$E$1&amp;" "&amp;A1121,"")</f>
        <v/>
      </c>
      <c r="J1121" s="8"/>
      <c r="M1121" s="1"/>
      <c r="N1121" s="1"/>
      <c r="O1121" s="1"/>
      <c r="P1121" s="9"/>
      <c r="Q1121" s="9"/>
      <c r="R1121" s="8"/>
      <c r="S1121" s="8"/>
      <c r="T1121" s="1"/>
    </row>
    <row r="1122" spans="1:20" x14ac:dyDescent="0.2">
      <c r="A1122" s="14">
        <f t="shared" si="17"/>
        <v>1110</v>
      </c>
      <c r="E1122" s="12" t="str">
        <f>IF($C$8&gt;=A1122,$E$1&amp;" "&amp;A1122,"")</f>
        <v/>
      </c>
      <c r="J1122" s="8"/>
      <c r="M1122" s="1"/>
      <c r="N1122" s="1"/>
      <c r="O1122" s="1"/>
      <c r="P1122" s="9"/>
      <c r="Q1122" s="9"/>
      <c r="R1122" s="8"/>
      <c r="S1122" s="8"/>
      <c r="T1122" s="1"/>
    </row>
    <row r="1123" spans="1:20" x14ac:dyDescent="0.2">
      <c r="A1123" s="14">
        <f t="shared" si="17"/>
        <v>1111</v>
      </c>
      <c r="E1123" s="12" t="str">
        <f>IF($C$8&gt;=A1123,$E$1&amp;" "&amp;A1123,"")</f>
        <v/>
      </c>
      <c r="J1123" s="8"/>
      <c r="M1123" s="1"/>
      <c r="N1123" s="1"/>
      <c r="O1123" s="1"/>
      <c r="P1123" s="9"/>
      <c r="Q1123" s="9"/>
      <c r="R1123" s="8"/>
      <c r="S1123" s="8"/>
      <c r="T1123" s="1"/>
    </row>
    <row r="1124" spans="1:20" x14ac:dyDescent="0.2">
      <c r="A1124" s="14">
        <f t="shared" si="17"/>
        <v>1112</v>
      </c>
      <c r="E1124" s="12" t="str">
        <f>IF($C$8&gt;=A1124,$E$1&amp;" "&amp;A1124,"")</f>
        <v/>
      </c>
      <c r="J1124" s="8"/>
      <c r="M1124" s="1"/>
      <c r="N1124" s="1"/>
      <c r="O1124" s="1"/>
      <c r="P1124" s="9"/>
      <c r="Q1124" s="9"/>
      <c r="R1124" s="8"/>
      <c r="S1124" s="8"/>
      <c r="T1124" s="1"/>
    </row>
    <row r="1125" spans="1:20" x14ac:dyDescent="0.2">
      <c r="A1125" s="14">
        <f t="shared" si="17"/>
        <v>1113</v>
      </c>
      <c r="E1125" s="12" t="str">
        <f>IF($C$8&gt;=A1125,$E$1&amp;" "&amp;A1125,"")</f>
        <v/>
      </c>
      <c r="J1125" s="8"/>
      <c r="M1125" s="1"/>
      <c r="N1125" s="1"/>
      <c r="O1125" s="1"/>
      <c r="P1125" s="9"/>
      <c r="Q1125" s="9"/>
      <c r="R1125" s="8"/>
      <c r="S1125" s="8"/>
      <c r="T1125" s="1"/>
    </row>
    <row r="1126" spans="1:20" x14ac:dyDescent="0.2">
      <c r="A1126" s="14">
        <f t="shared" si="17"/>
        <v>1114</v>
      </c>
      <c r="E1126" s="12" t="str">
        <f>IF($C$8&gt;=A1126,$E$1&amp;" "&amp;A1126,"")</f>
        <v/>
      </c>
      <c r="J1126" s="8"/>
      <c r="M1126" s="1"/>
      <c r="N1126" s="1"/>
      <c r="O1126" s="1"/>
      <c r="P1126" s="9"/>
      <c r="Q1126" s="9"/>
      <c r="R1126" s="8"/>
      <c r="S1126" s="8"/>
      <c r="T1126" s="1"/>
    </row>
    <row r="1127" spans="1:20" x14ac:dyDescent="0.2">
      <c r="A1127" s="14">
        <f t="shared" si="17"/>
        <v>1115</v>
      </c>
      <c r="E1127" s="12" t="str">
        <f>IF($C$8&gt;=A1127,$E$1&amp;" "&amp;A1127,"")</f>
        <v/>
      </c>
      <c r="J1127" s="8"/>
      <c r="M1127" s="1"/>
      <c r="N1127" s="1"/>
      <c r="O1127" s="1"/>
      <c r="P1127" s="9"/>
      <c r="Q1127" s="9"/>
      <c r="R1127" s="8"/>
      <c r="S1127" s="8"/>
      <c r="T1127" s="1"/>
    </row>
    <row r="1128" spans="1:20" x14ac:dyDescent="0.2">
      <c r="A1128" s="14">
        <f t="shared" si="17"/>
        <v>1116</v>
      </c>
      <c r="E1128" s="12" t="str">
        <f>IF($C$8&gt;=A1128,$E$1&amp;" "&amp;A1128,"")</f>
        <v/>
      </c>
      <c r="J1128" s="8"/>
      <c r="M1128" s="1"/>
      <c r="N1128" s="1"/>
      <c r="O1128" s="1"/>
      <c r="P1128" s="9"/>
      <c r="Q1128" s="9"/>
      <c r="R1128" s="8"/>
      <c r="S1128" s="8"/>
      <c r="T1128" s="1"/>
    </row>
    <row r="1129" spans="1:20" x14ac:dyDescent="0.2">
      <c r="A1129" s="14">
        <f t="shared" si="17"/>
        <v>1117</v>
      </c>
      <c r="E1129" s="12" t="str">
        <f>IF($C$8&gt;=A1129,$E$1&amp;" "&amp;A1129,"")</f>
        <v/>
      </c>
      <c r="J1129" s="8"/>
      <c r="M1129" s="1"/>
      <c r="N1129" s="1"/>
      <c r="O1129" s="1"/>
      <c r="P1129" s="9"/>
      <c r="Q1129" s="9"/>
      <c r="R1129" s="8"/>
      <c r="S1129" s="8"/>
      <c r="T1129" s="1"/>
    </row>
    <row r="1130" spans="1:20" x14ac:dyDescent="0.2">
      <c r="A1130" s="14">
        <f t="shared" si="17"/>
        <v>1118</v>
      </c>
      <c r="E1130" s="12" t="str">
        <f>IF($C$8&gt;=A1130,$E$1&amp;" "&amp;A1130,"")</f>
        <v/>
      </c>
      <c r="J1130" s="8"/>
      <c r="M1130" s="1"/>
      <c r="N1130" s="1"/>
      <c r="O1130" s="1"/>
      <c r="P1130" s="9"/>
      <c r="Q1130" s="9"/>
      <c r="R1130" s="8"/>
      <c r="S1130" s="8"/>
      <c r="T1130" s="1"/>
    </row>
    <row r="1131" spans="1:20" x14ac:dyDescent="0.2">
      <c r="A1131" s="14">
        <f t="shared" si="17"/>
        <v>1119</v>
      </c>
      <c r="E1131" s="12" t="str">
        <f>IF($C$8&gt;=A1131,$E$1&amp;" "&amp;A1131,"")</f>
        <v/>
      </c>
      <c r="J1131" s="8"/>
      <c r="M1131" s="1"/>
      <c r="N1131" s="1"/>
      <c r="O1131" s="1"/>
      <c r="P1131" s="9"/>
      <c r="Q1131" s="9"/>
      <c r="R1131" s="8"/>
      <c r="S1131" s="8"/>
      <c r="T1131" s="1"/>
    </row>
    <row r="1132" spans="1:20" x14ac:dyDescent="0.2">
      <c r="A1132" s="14">
        <f t="shared" si="17"/>
        <v>1120</v>
      </c>
      <c r="E1132" s="12" t="str">
        <f>IF($C$8&gt;=A1132,$E$1&amp;" "&amp;A1132,"")</f>
        <v/>
      </c>
      <c r="J1132" s="8"/>
      <c r="M1132" s="1"/>
      <c r="N1132" s="1"/>
      <c r="O1132" s="1"/>
      <c r="P1132" s="9"/>
      <c r="Q1132" s="9"/>
      <c r="R1132" s="8"/>
      <c r="S1132" s="8"/>
      <c r="T1132" s="1"/>
    </row>
    <row r="1133" spans="1:20" x14ac:dyDescent="0.2">
      <c r="A1133" s="14">
        <f t="shared" si="17"/>
        <v>1121</v>
      </c>
      <c r="E1133" s="12" t="str">
        <f>IF($C$8&gt;=A1133,$E$1&amp;" "&amp;A1133,"")</f>
        <v/>
      </c>
      <c r="J1133" s="8"/>
      <c r="M1133" s="1"/>
      <c r="N1133" s="1"/>
      <c r="O1133" s="1"/>
      <c r="P1133" s="9"/>
      <c r="Q1133" s="9"/>
      <c r="R1133" s="8"/>
      <c r="S1133" s="8"/>
      <c r="T1133" s="1"/>
    </row>
    <row r="1134" spans="1:20" x14ac:dyDescent="0.2">
      <c r="A1134" s="14">
        <f t="shared" si="17"/>
        <v>1122</v>
      </c>
      <c r="E1134" s="12" t="str">
        <f>IF($C$8&gt;=A1134,$E$1&amp;" "&amp;A1134,"")</f>
        <v/>
      </c>
      <c r="J1134" s="8"/>
      <c r="M1134" s="1"/>
      <c r="N1134" s="1"/>
      <c r="O1134" s="1"/>
      <c r="P1134" s="9"/>
      <c r="Q1134" s="9"/>
      <c r="R1134" s="8"/>
      <c r="S1134" s="8"/>
      <c r="T1134" s="1"/>
    </row>
    <row r="1135" spans="1:20" x14ac:dyDescent="0.2">
      <c r="A1135" s="14">
        <f t="shared" si="17"/>
        <v>1123</v>
      </c>
      <c r="E1135" s="12" t="str">
        <f>IF($C$8&gt;=A1135,$E$1&amp;" "&amp;A1135,"")</f>
        <v/>
      </c>
      <c r="J1135" s="8"/>
      <c r="M1135" s="1"/>
      <c r="N1135" s="1"/>
      <c r="O1135" s="1"/>
      <c r="P1135" s="9"/>
      <c r="Q1135" s="9"/>
      <c r="R1135" s="8"/>
      <c r="S1135" s="8"/>
      <c r="T1135" s="1"/>
    </row>
    <row r="1136" spans="1:20" x14ac:dyDescent="0.2">
      <c r="A1136" s="14">
        <f t="shared" si="17"/>
        <v>1124</v>
      </c>
      <c r="E1136" s="12" t="str">
        <f>IF($C$8&gt;=A1136,$E$1&amp;" "&amp;A1136,"")</f>
        <v/>
      </c>
      <c r="J1136" s="8"/>
      <c r="M1136" s="1"/>
      <c r="N1136" s="1"/>
      <c r="O1136" s="1"/>
      <c r="P1136" s="9"/>
      <c r="Q1136" s="9"/>
      <c r="R1136" s="8"/>
      <c r="S1136" s="8"/>
      <c r="T1136" s="1"/>
    </row>
    <row r="1137" spans="1:20" x14ac:dyDescent="0.2">
      <c r="A1137" s="14">
        <f t="shared" si="17"/>
        <v>1125</v>
      </c>
      <c r="E1137" s="12" t="str">
        <f>IF($C$8&gt;=A1137,$E$1&amp;" "&amp;A1137,"")</f>
        <v/>
      </c>
      <c r="J1137" s="8"/>
      <c r="M1137" s="1"/>
      <c r="N1137" s="1"/>
      <c r="O1137" s="1"/>
      <c r="P1137" s="9"/>
      <c r="Q1137" s="9"/>
      <c r="R1137" s="8"/>
      <c r="S1137" s="8"/>
      <c r="T1137" s="1"/>
    </row>
    <row r="1138" spans="1:20" x14ac:dyDescent="0.2">
      <c r="A1138" s="14">
        <f t="shared" si="17"/>
        <v>1126</v>
      </c>
      <c r="E1138" s="12" t="str">
        <f>IF($C$8&gt;=A1138,$E$1&amp;" "&amp;A1138,"")</f>
        <v/>
      </c>
      <c r="J1138" s="8"/>
      <c r="M1138" s="1"/>
      <c r="N1138" s="1"/>
      <c r="O1138" s="1"/>
      <c r="P1138" s="9"/>
      <c r="Q1138" s="9"/>
      <c r="R1138" s="8"/>
      <c r="S1138" s="8"/>
      <c r="T1138" s="1"/>
    </row>
    <row r="1139" spans="1:20" x14ac:dyDescent="0.2">
      <c r="A1139" s="14">
        <f t="shared" si="17"/>
        <v>1127</v>
      </c>
      <c r="E1139" s="12" t="str">
        <f>IF($C$8&gt;=A1139,$E$1&amp;" "&amp;A1139,"")</f>
        <v/>
      </c>
      <c r="J1139" s="8"/>
      <c r="M1139" s="1"/>
      <c r="N1139" s="1"/>
      <c r="O1139" s="1"/>
      <c r="P1139" s="9"/>
      <c r="Q1139" s="9"/>
      <c r="R1139" s="8"/>
      <c r="S1139" s="8"/>
      <c r="T1139" s="1"/>
    </row>
    <row r="1140" spans="1:20" x14ac:dyDescent="0.2">
      <c r="A1140" s="14">
        <f t="shared" si="17"/>
        <v>1128</v>
      </c>
      <c r="E1140" s="12" t="str">
        <f>IF($C$8&gt;=A1140,$E$1&amp;" "&amp;A1140,"")</f>
        <v/>
      </c>
      <c r="J1140" s="8"/>
      <c r="M1140" s="1"/>
      <c r="N1140" s="1"/>
      <c r="O1140" s="1"/>
      <c r="P1140" s="9"/>
      <c r="Q1140" s="9"/>
      <c r="R1140" s="8"/>
      <c r="S1140" s="8"/>
      <c r="T1140" s="1"/>
    </row>
    <row r="1141" spans="1:20" x14ac:dyDescent="0.2">
      <c r="A1141" s="14">
        <f t="shared" si="17"/>
        <v>1129</v>
      </c>
      <c r="E1141" s="12" t="str">
        <f>IF($C$8&gt;=A1141,$E$1&amp;" "&amp;A1141,"")</f>
        <v/>
      </c>
      <c r="J1141" s="8"/>
      <c r="M1141" s="1"/>
      <c r="N1141" s="1"/>
      <c r="O1141" s="1"/>
      <c r="P1141" s="9"/>
      <c r="Q1141" s="9"/>
      <c r="R1141" s="8"/>
      <c r="S1141" s="8"/>
      <c r="T1141" s="1"/>
    </row>
    <row r="1142" spans="1:20" x14ac:dyDescent="0.2">
      <c r="A1142" s="14">
        <f t="shared" si="17"/>
        <v>1130</v>
      </c>
      <c r="E1142" s="12" t="str">
        <f>IF($C$8&gt;=A1142,$E$1&amp;" "&amp;A1142,"")</f>
        <v/>
      </c>
      <c r="J1142" s="8"/>
      <c r="M1142" s="1"/>
      <c r="N1142" s="1"/>
      <c r="O1142" s="1"/>
      <c r="P1142" s="9"/>
      <c r="Q1142" s="9"/>
      <c r="R1142" s="8"/>
      <c r="S1142" s="8"/>
      <c r="T1142" s="1"/>
    </row>
    <row r="1143" spans="1:20" x14ac:dyDescent="0.2">
      <c r="A1143" s="14">
        <f t="shared" si="17"/>
        <v>1131</v>
      </c>
      <c r="E1143" s="12" t="str">
        <f>IF($C$8&gt;=A1143,$E$1&amp;" "&amp;A1143,"")</f>
        <v/>
      </c>
      <c r="J1143" s="8"/>
      <c r="M1143" s="1"/>
      <c r="N1143" s="1"/>
      <c r="O1143" s="1"/>
      <c r="P1143" s="9"/>
      <c r="Q1143" s="9"/>
      <c r="R1143" s="8"/>
      <c r="S1143" s="8"/>
      <c r="T1143" s="1"/>
    </row>
    <row r="1144" spans="1:20" x14ac:dyDescent="0.2">
      <c r="A1144" s="14">
        <f t="shared" si="17"/>
        <v>1132</v>
      </c>
      <c r="E1144" s="12" t="str">
        <f>IF($C$8&gt;=A1144,$E$1&amp;" "&amp;A1144,"")</f>
        <v/>
      </c>
      <c r="J1144" s="8"/>
      <c r="M1144" s="1"/>
      <c r="N1144" s="1"/>
      <c r="O1144" s="1"/>
      <c r="P1144" s="9"/>
      <c r="Q1144" s="9"/>
      <c r="R1144" s="8"/>
      <c r="S1144" s="8"/>
      <c r="T1144" s="1"/>
    </row>
    <row r="1145" spans="1:20" x14ac:dyDescent="0.2">
      <c r="A1145" s="14">
        <f t="shared" si="17"/>
        <v>1133</v>
      </c>
      <c r="E1145" s="12" t="str">
        <f>IF($C$8&gt;=A1145,$E$1&amp;" "&amp;A1145,"")</f>
        <v/>
      </c>
      <c r="J1145" s="8"/>
      <c r="M1145" s="1"/>
      <c r="N1145" s="1"/>
      <c r="O1145" s="1"/>
      <c r="P1145" s="9"/>
      <c r="Q1145" s="9"/>
      <c r="R1145" s="8"/>
      <c r="S1145" s="8"/>
      <c r="T1145" s="1"/>
    </row>
    <row r="1146" spans="1:20" x14ac:dyDescent="0.2">
      <c r="A1146" s="14">
        <f t="shared" si="17"/>
        <v>1134</v>
      </c>
      <c r="E1146" s="12" t="str">
        <f>IF($C$8&gt;=A1146,$E$1&amp;" "&amp;A1146,"")</f>
        <v/>
      </c>
      <c r="J1146" s="8"/>
      <c r="M1146" s="1"/>
      <c r="N1146" s="1"/>
      <c r="O1146" s="1"/>
      <c r="P1146" s="9"/>
      <c r="Q1146" s="9"/>
      <c r="R1146" s="8"/>
      <c r="S1146" s="8"/>
      <c r="T1146" s="1"/>
    </row>
    <row r="1147" spans="1:20" x14ac:dyDescent="0.2">
      <c r="A1147" s="14">
        <f t="shared" si="17"/>
        <v>1135</v>
      </c>
      <c r="E1147" s="12" t="str">
        <f>IF($C$8&gt;=A1147,$E$1&amp;" "&amp;A1147,"")</f>
        <v/>
      </c>
      <c r="J1147" s="8"/>
      <c r="M1147" s="1"/>
      <c r="N1147" s="1"/>
      <c r="O1147" s="1"/>
      <c r="P1147" s="9"/>
      <c r="Q1147" s="9"/>
      <c r="R1147" s="8"/>
      <c r="S1147" s="8"/>
      <c r="T1147" s="1"/>
    </row>
    <row r="1148" spans="1:20" x14ac:dyDescent="0.2">
      <c r="A1148" s="14">
        <f t="shared" si="17"/>
        <v>1136</v>
      </c>
      <c r="E1148" s="12" t="str">
        <f>IF($C$8&gt;=A1148,$E$1&amp;" "&amp;A1148,"")</f>
        <v/>
      </c>
      <c r="J1148" s="8"/>
      <c r="M1148" s="1"/>
      <c r="N1148" s="1"/>
      <c r="O1148" s="1"/>
      <c r="P1148" s="9"/>
      <c r="Q1148" s="9"/>
      <c r="R1148" s="8"/>
      <c r="S1148" s="8"/>
      <c r="T1148" s="1"/>
    </row>
    <row r="1149" spans="1:20" x14ac:dyDescent="0.2">
      <c r="A1149" s="14">
        <f t="shared" si="17"/>
        <v>1137</v>
      </c>
      <c r="E1149" s="12" t="str">
        <f>IF($C$8&gt;=A1149,$E$1&amp;" "&amp;A1149,"")</f>
        <v/>
      </c>
      <c r="J1149" s="8"/>
      <c r="M1149" s="1"/>
      <c r="N1149" s="1"/>
      <c r="O1149" s="1"/>
      <c r="P1149" s="9"/>
      <c r="Q1149" s="9"/>
      <c r="R1149" s="8"/>
      <c r="S1149" s="8"/>
      <c r="T1149" s="1"/>
    </row>
    <row r="1150" spans="1:20" x14ac:dyDescent="0.2">
      <c r="A1150" s="14">
        <f t="shared" si="17"/>
        <v>1138</v>
      </c>
      <c r="E1150" s="12" t="str">
        <f>IF($C$8&gt;=A1150,$E$1&amp;" "&amp;A1150,"")</f>
        <v/>
      </c>
      <c r="J1150" s="8"/>
      <c r="M1150" s="1"/>
      <c r="N1150" s="1"/>
      <c r="O1150" s="1"/>
      <c r="P1150" s="9"/>
      <c r="Q1150" s="9"/>
      <c r="R1150" s="8"/>
      <c r="S1150" s="8"/>
      <c r="T1150" s="1"/>
    </row>
    <row r="1151" spans="1:20" x14ac:dyDescent="0.2">
      <c r="A1151" s="14">
        <f t="shared" si="17"/>
        <v>1139</v>
      </c>
      <c r="E1151" s="12" t="str">
        <f>IF($C$8&gt;=A1151,$E$1&amp;" "&amp;A1151,"")</f>
        <v/>
      </c>
      <c r="J1151" s="8"/>
      <c r="M1151" s="1"/>
      <c r="N1151" s="1"/>
      <c r="O1151" s="1"/>
      <c r="P1151" s="9"/>
      <c r="Q1151" s="9"/>
      <c r="R1151" s="8"/>
      <c r="S1151" s="8"/>
      <c r="T1151" s="1"/>
    </row>
    <row r="1152" spans="1:20" x14ac:dyDescent="0.2">
      <c r="A1152" s="14">
        <f t="shared" si="17"/>
        <v>1140</v>
      </c>
      <c r="E1152" s="12" t="str">
        <f>IF($C$8&gt;=A1152,$E$1&amp;" "&amp;A1152,"")</f>
        <v/>
      </c>
      <c r="J1152" s="8"/>
      <c r="M1152" s="1"/>
      <c r="N1152" s="1"/>
      <c r="O1152" s="1"/>
      <c r="P1152" s="9"/>
      <c r="Q1152" s="9"/>
      <c r="R1152" s="8"/>
      <c r="S1152" s="8"/>
      <c r="T1152" s="1"/>
    </row>
    <row r="1153" spans="1:20" x14ac:dyDescent="0.2">
      <c r="A1153" s="14">
        <f t="shared" si="17"/>
        <v>1141</v>
      </c>
      <c r="E1153" s="12" t="str">
        <f>IF($C$8&gt;=A1153,$E$1&amp;" "&amp;A1153,"")</f>
        <v/>
      </c>
      <c r="J1153" s="8"/>
      <c r="M1153" s="1"/>
      <c r="N1153" s="1"/>
      <c r="O1153" s="1"/>
      <c r="P1153" s="9"/>
      <c r="Q1153" s="9"/>
      <c r="R1153" s="8"/>
      <c r="S1153" s="8"/>
      <c r="T1153" s="1"/>
    </row>
    <row r="1154" spans="1:20" x14ac:dyDescent="0.2">
      <c r="A1154" s="14">
        <f t="shared" si="17"/>
        <v>1142</v>
      </c>
      <c r="E1154" s="12" t="str">
        <f>IF($C$8&gt;=A1154,$E$1&amp;" "&amp;A1154,"")</f>
        <v/>
      </c>
      <c r="J1154" s="8"/>
      <c r="M1154" s="1"/>
      <c r="N1154" s="1"/>
      <c r="O1154" s="1"/>
      <c r="P1154" s="9"/>
      <c r="Q1154" s="9"/>
      <c r="R1154" s="8"/>
      <c r="S1154" s="8"/>
      <c r="T1154" s="1"/>
    </row>
    <row r="1155" spans="1:20" x14ac:dyDescent="0.2">
      <c r="A1155" s="14">
        <f t="shared" si="17"/>
        <v>1143</v>
      </c>
      <c r="E1155" s="12" t="str">
        <f>IF($C$8&gt;=A1155,$E$1&amp;" "&amp;A1155,"")</f>
        <v/>
      </c>
      <c r="J1155" s="8"/>
      <c r="M1155" s="1"/>
      <c r="N1155" s="1"/>
      <c r="O1155" s="1"/>
      <c r="P1155" s="9"/>
      <c r="Q1155" s="9"/>
      <c r="R1155" s="8"/>
      <c r="S1155" s="8"/>
      <c r="T1155" s="1"/>
    </row>
    <row r="1156" spans="1:20" x14ac:dyDescent="0.2">
      <c r="A1156" s="14">
        <f t="shared" si="17"/>
        <v>1144</v>
      </c>
      <c r="E1156" s="12" t="str">
        <f>IF($C$8&gt;=A1156,$E$1&amp;" "&amp;A1156,"")</f>
        <v/>
      </c>
      <c r="J1156" s="8"/>
      <c r="M1156" s="1"/>
      <c r="N1156" s="1"/>
      <c r="O1156" s="1"/>
      <c r="P1156" s="9"/>
      <c r="Q1156" s="9"/>
      <c r="R1156" s="8"/>
      <c r="S1156" s="8"/>
      <c r="T1156" s="1"/>
    </row>
    <row r="1157" spans="1:20" x14ac:dyDescent="0.2">
      <c r="A1157" s="14">
        <f t="shared" si="17"/>
        <v>1145</v>
      </c>
      <c r="E1157" s="12" t="str">
        <f>IF($C$8&gt;=A1157,$E$1&amp;" "&amp;A1157,"")</f>
        <v/>
      </c>
      <c r="J1157" s="8"/>
      <c r="M1157" s="1"/>
      <c r="N1157" s="1"/>
      <c r="O1157" s="1"/>
      <c r="P1157" s="9"/>
      <c r="Q1157" s="9"/>
      <c r="R1157" s="8"/>
      <c r="S1157" s="8"/>
      <c r="T1157" s="1"/>
    </row>
    <row r="1158" spans="1:20" x14ac:dyDescent="0.2">
      <c r="A1158" s="14">
        <f t="shared" si="17"/>
        <v>1146</v>
      </c>
      <c r="E1158" s="12" t="str">
        <f>IF($C$8&gt;=A1158,$E$1&amp;" "&amp;A1158,"")</f>
        <v/>
      </c>
      <c r="J1158" s="8"/>
      <c r="M1158" s="1"/>
      <c r="N1158" s="1"/>
      <c r="O1158" s="1"/>
      <c r="P1158" s="9"/>
      <c r="Q1158" s="9"/>
      <c r="R1158" s="8"/>
      <c r="S1158" s="8"/>
      <c r="T1158" s="1"/>
    </row>
    <row r="1159" spans="1:20" x14ac:dyDescent="0.2">
      <c r="A1159" s="14">
        <f t="shared" si="17"/>
        <v>1147</v>
      </c>
      <c r="E1159" s="12" t="str">
        <f>IF($C$8&gt;=A1159,$E$1&amp;" "&amp;A1159,"")</f>
        <v/>
      </c>
      <c r="J1159" s="8"/>
      <c r="M1159" s="1"/>
      <c r="N1159" s="1"/>
      <c r="O1159" s="1"/>
      <c r="P1159" s="9"/>
      <c r="Q1159" s="9"/>
      <c r="R1159" s="8"/>
      <c r="S1159" s="8"/>
      <c r="T1159" s="1"/>
    </row>
    <row r="1160" spans="1:20" x14ac:dyDescent="0.2">
      <c r="A1160" s="14">
        <f t="shared" si="17"/>
        <v>1148</v>
      </c>
      <c r="E1160" s="12" t="str">
        <f>IF($C$8&gt;=A1160,$E$1&amp;" "&amp;A1160,"")</f>
        <v/>
      </c>
      <c r="J1160" s="8"/>
      <c r="M1160" s="1"/>
      <c r="N1160" s="1"/>
      <c r="O1160" s="1"/>
      <c r="P1160" s="9"/>
      <c r="Q1160" s="9"/>
      <c r="R1160" s="8"/>
      <c r="S1160" s="8"/>
      <c r="T1160" s="1"/>
    </row>
    <row r="1161" spans="1:20" x14ac:dyDescent="0.2">
      <c r="A1161" s="14">
        <f t="shared" si="17"/>
        <v>1149</v>
      </c>
      <c r="E1161" s="12" t="str">
        <f>IF($C$8&gt;=A1161,$E$1&amp;" "&amp;A1161,"")</f>
        <v/>
      </c>
      <c r="J1161" s="8"/>
      <c r="M1161" s="1"/>
      <c r="N1161" s="1"/>
      <c r="O1161" s="1"/>
      <c r="P1161" s="9"/>
      <c r="Q1161" s="9"/>
      <c r="R1161" s="8"/>
      <c r="S1161" s="8"/>
      <c r="T1161" s="1"/>
    </row>
    <row r="1162" spans="1:20" x14ac:dyDescent="0.2">
      <c r="A1162" s="14">
        <f t="shared" si="17"/>
        <v>1150</v>
      </c>
      <c r="E1162" s="12" t="str">
        <f>IF($C$8&gt;=A1162,$E$1&amp;" "&amp;A1162,"")</f>
        <v/>
      </c>
      <c r="J1162" s="8"/>
      <c r="M1162" s="1"/>
      <c r="N1162" s="1"/>
      <c r="O1162" s="1"/>
      <c r="P1162" s="9"/>
      <c r="Q1162" s="9"/>
      <c r="R1162" s="8"/>
      <c r="S1162" s="8"/>
      <c r="T1162" s="1"/>
    </row>
    <row r="1163" spans="1:20" x14ac:dyDescent="0.2">
      <c r="A1163" s="14">
        <f t="shared" si="17"/>
        <v>1151</v>
      </c>
      <c r="E1163" s="12" t="str">
        <f>IF($C$8&gt;=A1163,$E$1&amp;" "&amp;A1163,"")</f>
        <v/>
      </c>
      <c r="J1163" s="8"/>
      <c r="M1163" s="1"/>
      <c r="N1163" s="1"/>
      <c r="O1163" s="1"/>
      <c r="P1163" s="9"/>
      <c r="Q1163" s="9"/>
      <c r="R1163" s="8"/>
      <c r="S1163" s="8"/>
      <c r="T1163" s="1"/>
    </row>
    <row r="1164" spans="1:20" x14ac:dyDescent="0.2">
      <c r="A1164" s="14">
        <f t="shared" si="17"/>
        <v>1152</v>
      </c>
      <c r="E1164" s="12" t="str">
        <f>IF($C$8&gt;=A1164,$E$1&amp;" "&amp;A1164,"")</f>
        <v/>
      </c>
      <c r="J1164" s="8"/>
      <c r="M1164" s="1"/>
      <c r="N1164" s="1"/>
      <c r="O1164" s="1"/>
      <c r="P1164" s="9"/>
      <c r="Q1164" s="9"/>
      <c r="R1164" s="8"/>
      <c r="S1164" s="8"/>
      <c r="T1164" s="1"/>
    </row>
    <row r="1165" spans="1:20" x14ac:dyDescent="0.2">
      <c r="A1165" s="14">
        <f t="shared" si="17"/>
        <v>1153</v>
      </c>
      <c r="E1165" s="12" t="str">
        <f>IF($C$8&gt;=A1165,$E$1&amp;" "&amp;A1165,"")</f>
        <v/>
      </c>
      <c r="J1165" s="8"/>
      <c r="M1165" s="1"/>
      <c r="N1165" s="1"/>
      <c r="O1165" s="1"/>
      <c r="P1165" s="9"/>
      <c r="Q1165" s="9"/>
      <c r="R1165" s="8"/>
      <c r="S1165" s="8"/>
      <c r="T1165" s="1"/>
    </row>
    <row r="1166" spans="1:20" x14ac:dyDescent="0.2">
      <c r="A1166" s="14">
        <f t="shared" si="17"/>
        <v>1154</v>
      </c>
      <c r="E1166" s="12" t="str">
        <f>IF($C$8&gt;=A1166,$E$1&amp;" "&amp;A1166,"")</f>
        <v/>
      </c>
      <c r="J1166" s="8"/>
      <c r="M1166" s="1"/>
      <c r="N1166" s="1"/>
      <c r="O1166" s="1"/>
      <c r="P1166" s="9"/>
      <c r="Q1166" s="9"/>
      <c r="R1166" s="8"/>
      <c r="S1166" s="8"/>
      <c r="T1166" s="1"/>
    </row>
    <row r="1167" spans="1:20" x14ac:dyDescent="0.2">
      <c r="A1167" s="14">
        <f t="shared" ref="A1167:A1230" si="18">A1166+1</f>
        <v>1155</v>
      </c>
      <c r="E1167" s="12" t="str">
        <f>IF($C$8&gt;=A1167,$E$1&amp;" "&amp;A1167,"")</f>
        <v/>
      </c>
      <c r="J1167" s="8"/>
      <c r="M1167" s="1"/>
      <c r="N1167" s="1"/>
      <c r="O1167" s="1"/>
      <c r="P1167" s="9"/>
      <c r="Q1167" s="9"/>
      <c r="R1167" s="8"/>
      <c r="S1167" s="8"/>
      <c r="T1167" s="1"/>
    </row>
    <row r="1168" spans="1:20" x14ac:dyDescent="0.2">
      <c r="A1168" s="14">
        <f t="shared" si="18"/>
        <v>1156</v>
      </c>
      <c r="E1168" s="12" t="str">
        <f>IF($C$8&gt;=A1168,$E$1&amp;" "&amp;A1168,"")</f>
        <v/>
      </c>
      <c r="J1168" s="8"/>
      <c r="M1168" s="1"/>
      <c r="N1168" s="1"/>
      <c r="O1168" s="1"/>
      <c r="P1168" s="9"/>
      <c r="Q1168" s="9"/>
      <c r="R1168" s="8"/>
      <c r="S1168" s="8"/>
      <c r="T1168" s="1"/>
    </row>
    <row r="1169" spans="1:20" x14ac:dyDescent="0.2">
      <c r="A1169" s="14">
        <f t="shared" si="18"/>
        <v>1157</v>
      </c>
      <c r="E1169" s="12" t="str">
        <f>IF($C$8&gt;=A1169,$E$1&amp;" "&amp;A1169,"")</f>
        <v/>
      </c>
      <c r="J1169" s="8"/>
      <c r="M1169" s="1"/>
      <c r="N1169" s="1"/>
      <c r="O1169" s="1"/>
      <c r="P1169" s="9"/>
      <c r="Q1169" s="9"/>
      <c r="R1169" s="8"/>
      <c r="S1169" s="8"/>
      <c r="T1169" s="1"/>
    </row>
    <row r="1170" spans="1:20" x14ac:dyDescent="0.2">
      <c r="A1170" s="14">
        <f t="shared" si="18"/>
        <v>1158</v>
      </c>
      <c r="E1170" s="12" t="str">
        <f>IF($C$8&gt;=A1170,$E$1&amp;" "&amp;A1170,"")</f>
        <v/>
      </c>
      <c r="J1170" s="8"/>
      <c r="M1170" s="1"/>
      <c r="N1170" s="1"/>
      <c r="O1170" s="1"/>
      <c r="P1170" s="9"/>
      <c r="Q1170" s="9"/>
      <c r="R1170" s="8"/>
      <c r="S1170" s="8"/>
      <c r="T1170" s="1"/>
    </row>
    <row r="1171" spans="1:20" x14ac:dyDescent="0.2">
      <c r="A1171" s="14">
        <f t="shared" si="18"/>
        <v>1159</v>
      </c>
      <c r="E1171" s="12" t="str">
        <f>IF($C$8&gt;=A1171,$E$1&amp;" "&amp;A1171,"")</f>
        <v/>
      </c>
      <c r="J1171" s="8"/>
      <c r="M1171" s="1"/>
      <c r="N1171" s="1"/>
      <c r="O1171" s="1"/>
      <c r="P1171" s="9"/>
      <c r="Q1171" s="9"/>
      <c r="R1171" s="8"/>
      <c r="S1171" s="8"/>
      <c r="T1171" s="1"/>
    </row>
    <row r="1172" spans="1:20" x14ac:dyDescent="0.2">
      <c r="A1172" s="14">
        <f t="shared" si="18"/>
        <v>1160</v>
      </c>
      <c r="E1172" s="12" t="str">
        <f>IF($C$8&gt;=A1172,$E$1&amp;" "&amp;A1172,"")</f>
        <v/>
      </c>
      <c r="J1172" s="8"/>
      <c r="M1172" s="1"/>
      <c r="N1172" s="1"/>
      <c r="O1172" s="1"/>
      <c r="P1172" s="9"/>
      <c r="Q1172" s="9"/>
      <c r="R1172" s="8"/>
      <c r="S1172" s="8"/>
      <c r="T1172" s="1"/>
    </row>
    <row r="1173" spans="1:20" x14ac:dyDescent="0.2">
      <c r="A1173" s="14">
        <f t="shared" si="18"/>
        <v>1161</v>
      </c>
      <c r="E1173" s="12" t="str">
        <f>IF($C$8&gt;=A1173,$E$1&amp;" "&amp;A1173,"")</f>
        <v/>
      </c>
      <c r="J1173" s="8"/>
      <c r="M1173" s="1"/>
      <c r="N1173" s="1"/>
      <c r="O1173" s="1"/>
      <c r="P1173" s="9"/>
      <c r="Q1173" s="9"/>
      <c r="R1173" s="8"/>
      <c r="S1173" s="8"/>
      <c r="T1173" s="1"/>
    </row>
    <row r="1174" spans="1:20" x14ac:dyDescent="0.2">
      <c r="A1174" s="14">
        <f t="shared" si="18"/>
        <v>1162</v>
      </c>
      <c r="E1174" s="12" t="str">
        <f>IF($C$8&gt;=A1174,$E$1&amp;" "&amp;A1174,"")</f>
        <v/>
      </c>
      <c r="J1174" s="8"/>
      <c r="M1174" s="1"/>
      <c r="N1174" s="1"/>
      <c r="O1174" s="1"/>
      <c r="P1174" s="9"/>
      <c r="Q1174" s="9"/>
      <c r="R1174" s="8"/>
      <c r="S1174" s="8"/>
      <c r="T1174" s="1"/>
    </row>
    <row r="1175" spans="1:20" x14ac:dyDescent="0.2">
      <c r="A1175" s="14">
        <f t="shared" si="18"/>
        <v>1163</v>
      </c>
      <c r="E1175" s="12" t="str">
        <f>IF($C$8&gt;=A1175,$E$1&amp;" "&amp;A1175,"")</f>
        <v/>
      </c>
      <c r="J1175" s="8"/>
      <c r="M1175" s="1"/>
      <c r="N1175" s="1"/>
      <c r="O1175" s="1"/>
      <c r="P1175" s="9"/>
      <c r="Q1175" s="9"/>
      <c r="R1175" s="8"/>
      <c r="S1175" s="8"/>
      <c r="T1175" s="1"/>
    </row>
    <row r="1176" spans="1:20" x14ac:dyDescent="0.2">
      <c r="A1176" s="14">
        <f t="shared" si="18"/>
        <v>1164</v>
      </c>
      <c r="E1176" s="12" t="str">
        <f>IF($C$8&gt;=A1176,$E$1&amp;" "&amp;A1176,"")</f>
        <v/>
      </c>
      <c r="J1176" s="8"/>
      <c r="M1176" s="1"/>
      <c r="N1176" s="1"/>
      <c r="O1176" s="1"/>
      <c r="P1176" s="9"/>
      <c r="Q1176" s="9"/>
      <c r="R1176" s="8"/>
      <c r="S1176" s="8"/>
      <c r="T1176" s="1"/>
    </row>
    <row r="1177" spans="1:20" x14ac:dyDescent="0.2">
      <c r="A1177" s="14">
        <f t="shared" si="18"/>
        <v>1165</v>
      </c>
      <c r="E1177" s="12" t="str">
        <f>IF($C$8&gt;=A1177,$E$1&amp;" "&amp;A1177,"")</f>
        <v/>
      </c>
      <c r="J1177" s="8"/>
      <c r="M1177" s="1"/>
      <c r="N1177" s="1"/>
      <c r="O1177" s="1"/>
      <c r="P1177" s="9"/>
      <c r="Q1177" s="9"/>
      <c r="R1177" s="8"/>
      <c r="S1177" s="8"/>
      <c r="T1177" s="1"/>
    </row>
    <row r="1178" spans="1:20" x14ac:dyDescent="0.2">
      <c r="A1178" s="14">
        <f t="shared" si="18"/>
        <v>1166</v>
      </c>
      <c r="E1178" s="12" t="str">
        <f>IF($C$8&gt;=A1178,$E$1&amp;" "&amp;A1178,"")</f>
        <v/>
      </c>
      <c r="J1178" s="8"/>
      <c r="M1178" s="1"/>
      <c r="N1178" s="1"/>
      <c r="O1178" s="1"/>
      <c r="P1178" s="9"/>
      <c r="Q1178" s="9"/>
      <c r="R1178" s="8"/>
      <c r="S1178" s="8"/>
      <c r="T1178" s="1"/>
    </row>
    <row r="1179" spans="1:20" x14ac:dyDescent="0.2">
      <c r="A1179" s="14">
        <f t="shared" si="18"/>
        <v>1167</v>
      </c>
      <c r="E1179" s="12" t="str">
        <f>IF($C$8&gt;=A1179,$E$1&amp;" "&amp;A1179,"")</f>
        <v/>
      </c>
      <c r="J1179" s="8"/>
      <c r="M1179" s="1"/>
      <c r="N1179" s="1"/>
      <c r="O1179" s="1"/>
      <c r="P1179" s="9"/>
      <c r="Q1179" s="9"/>
      <c r="R1179" s="8"/>
      <c r="S1179" s="8"/>
      <c r="T1179" s="1"/>
    </row>
    <row r="1180" spans="1:20" x14ac:dyDescent="0.2">
      <c r="A1180" s="14">
        <f t="shared" si="18"/>
        <v>1168</v>
      </c>
      <c r="E1180" s="12" t="str">
        <f>IF($C$8&gt;=A1180,$E$1&amp;" "&amp;A1180,"")</f>
        <v/>
      </c>
      <c r="J1180" s="8"/>
      <c r="M1180" s="1"/>
      <c r="N1180" s="1"/>
      <c r="O1180" s="1"/>
      <c r="P1180" s="9"/>
      <c r="Q1180" s="9"/>
      <c r="R1180" s="8"/>
      <c r="S1180" s="8"/>
      <c r="T1180" s="1"/>
    </row>
    <row r="1181" spans="1:20" x14ac:dyDescent="0.2">
      <c r="A1181" s="14">
        <f t="shared" si="18"/>
        <v>1169</v>
      </c>
      <c r="E1181" s="12" t="str">
        <f>IF($C$8&gt;=A1181,$E$1&amp;" "&amp;A1181,"")</f>
        <v/>
      </c>
      <c r="J1181" s="8"/>
      <c r="M1181" s="1"/>
      <c r="N1181" s="1"/>
      <c r="O1181" s="1"/>
      <c r="P1181" s="9"/>
      <c r="Q1181" s="9"/>
      <c r="R1181" s="8"/>
      <c r="S1181" s="8"/>
      <c r="T1181" s="1"/>
    </row>
    <row r="1182" spans="1:20" x14ac:dyDescent="0.2">
      <c r="A1182" s="14">
        <f t="shared" si="18"/>
        <v>1170</v>
      </c>
      <c r="E1182" s="12" t="str">
        <f>IF($C$8&gt;=A1182,$E$1&amp;" "&amp;A1182,"")</f>
        <v/>
      </c>
      <c r="J1182" s="8"/>
      <c r="M1182" s="1"/>
      <c r="N1182" s="1"/>
      <c r="O1182" s="1"/>
      <c r="P1182" s="9"/>
      <c r="Q1182" s="9"/>
      <c r="R1182" s="8"/>
      <c r="S1182" s="8"/>
      <c r="T1182" s="1"/>
    </row>
    <row r="1183" spans="1:20" x14ac:dyDescent="0.2">
      <c r="A1183" s="14">
        <f t="shared" si="18"/>
        <v>1171</v>
      </c>
      <c r="E1183" s="12" t="str">
        <f>IF($C$8&gt;=A1183,$E$1&amp;" "&amp;A1183,"")</f>
        <v/>
      </c>
      <c r="J1183" s="8"/>
      <c r="M1183" s="1"/>
      <c r="N1183" s="1"/>
      <c r="O1183" s="1"/>
      <c r="P1183" s="9"/>
      <c r="Q1183" s="9"/>
      <c r="R1183" s="8"/>
      <c r="S1183" s="8"/>
      <c r="T1183" s="1"/>
    </row>
    <row r="1184" spans="1:20" x14ac:dyDescent="0.2">
      <c r="A1184" s="14">
        <f t="shared" si="18"/>
        <v>1172</v>
      </c>
      <c r="E1184" s="12" t="str">
        <f>IF($C$8&gt;=A1184,$E$1&amp;" "&amp;A1184,"")</f>
        <v/>
      </c>
      <c r="J1184" s="8"/>
      <c r="M1184" s="1"/>
      <c r="N1184" s="1"/>
      <c r="O1184" s="1"/>
      <c r="P1184" s="9"/>
      <c r="Q1184" s="9"/>
      <c r="R1184" s="8"/>
      <c r="S1184" s="8"/>
      <c r="T1184" s="1"/>
    </row>
    <row r="1185" spans="1:20" x14ac:dyDescent="0.2">
      <c r="A1185" s="14">
        <f t="shared" si="18"/>
        <v>1173</v>
      </c>
      <c r="E1185" s="12" t="str">
        <f>IF($C$8&gt;=A1185,$E$1&amp;" "&amp;A1185,"")</f>
        <v/>
      </c>
      <c r="J1185" s="8"/>
      <c r="M1185" s="1"/>
      <c r="N1185" s="1"/>
      <c r="O1185" s="1"/>
      <c r="P1185" s="9"/>
      <c r="Q1185" s="9"/>
      <c r="R1185" s="8"/>
      <c r="S1185" s="8"/>
      <c r="T1185" s="1"/>
    </row>
    <row r="1186" spans="1:20" x14ac:dyDescent="0.2">
      <c r="A1186" s="14">
        <f t="shared" si="18"/>
        <v>1174</v>
      </c>
      <c r="E1186" s="12" t="str">
        <f>IF($C$8&gt;=A1186,$E$1&amp;" "&amp;A1186,"")</f>
        <v/>
      </c>
      <c r="J1186" s="8"/>
      <c r="M1186" s="1"/>
      <c r="N1186" s="1"/>
      <c r="O1186" s="1"/>
      <c r="P1186" s="9"/>
      <c r="Q1186" s="9"/>
      <c r="R1186" s="8"/>
      <c r="S1186" s="8"/>
      <c r="T1186" s="1"/>
    </row>
    <row r="1187" spans="1:20" x14ac:dyDescent="0.2">
      <c r="A1187" s="14">
        <f t="shared" si="18"/>
        <v>1175</v>
      </c>
      <c r="E1187" s="12" t="str">
        <f>IF($C$8&gt;=A1187,$E$1&amp;" "&amp;A1187,"")</f>
        <v/>
      </c>
      <c r="J1187" s="8"/>
      <c r="M1187" s="1"/>
      <c r="N1187" s="1"/>
      <c r="O1187" s="1"/>
      <c r="P1187" s="9"/>
      <c r="Q1187" s="9"/>
      <c r="R1187" s="8"/>
      <c r="S1187" s="8"/>
      <c r="T1187" s="1"/>
    </row>
    <row r="1188" spans="1:20" x14ac:dyDescent="0.2">
      <c r="A1188" s="14">
        <f t="shared" si="18"/>
        <v>1176</v>
      </c>
      <c r="E1188" s="12" t="str">
        <f>IF($C$8&gt;=A1188,$E$1&amp;" "&amp;A1188,"")</f>
        <v/>
      </c>
      <c r="J1188" s="8"/>
      <c r="M1188" s="1"/>
      <c r="N1188" s="1"/>
      <c r="O1188" s="1"/>
      <c r="P1188" s="9"/>
      <c r="Q1188" s="9"/>
      <c r="R1188" s="8"/>
      <c r="S1188" s="8"/>
      <c r="T1188" s="1"/>
    </row>
    <row r="1189" spans="1:20" x14ac:dyDescent="0.2">
      <c r="A1189" s="14">
        <f t="shared" si="18"/>
        <v>1177</v>
      </c>
      <c r="E1189" s="12" t="str">
        <f>IF($C$8&gt;=A1189,$E$1&amp;" "&amp;A1189,"")</f>
        <v/>
      </c>
      <c r="J1189" s="8"/>
      <c r="M1189" s="1"/>
      <c r="N1189" s="1"/>
      <c r="O1189" s="1"/>
      <c r="P1189" s="9"/>
      <c r="Q1189" s="9"/>
      <c r="R1189" s="8"/>
      <c r="S1189" s="8"/>
      <c r="T1189" s="1"/>
    </row>
    <row r="1190" spans="1:20" x14ac:dyDescent="0.2">
      <c r="A1190" s="14">
        <f t="shared" si="18"/>
        <v>1178</v>
      </c>
      <c r="E1190" s="12" t="str">
        <f>IF($C$8&gt;=A1190,$E$1&amp;" "&amp;A1190,"")</f>
        <v/>
      </c>
      <c r="J1190" s="8"/>
      <c r="M1190" s="1"/>
      <c r="N1190" s="1"/>
      <c r="O1190" s="1"/>
      <c r="P1190" s="9"/>
      <c r="Q1190" s="9"/>
      <c r="R1190" s="8"/>
      <c r="S1190" s="8"/>
      <c r="T1190" s="1"/>
    </row>
    <row r="1191" spans="1:20" x14ac:dyDescent="0.2">
      <c r="A1191" s="14">
        <f t="shared" si="18"/>
        <v>1179</v>
      </c>
      <c r="E1191" s="12" t="str">
        <f>IF($C$8&gt;=A1191,$E$1&amp;" "&amp;A1191,"")</f>
        <v/>
      </c>
      <c r="J1191" s="8"/>
      <c r="M1191" s="1"/>
      <c r="N1191" s="1"/>
      <c r="O1191" s="1"/>
      <c r="P1191" s="9"/>
      <c r="Q1191" s="9"/>
      <c r="R1191" s="8"/>
      <c r="S1191" s="8"/>
      <c r="T1191" s="1"/>
    </row>
    <row r="1192" spans="1:20" x14ac:dyDescent="0.2">
      <c r="A1192" s="14">
        <f t="shared" si="18"/>
        <v>1180</v>
      </c>
      <c r="E1192" s="12" t="str">
        <f>IF($C$8&gt;=A1192,$E$1&amp;" "&amp;A1192,"")</f>
        <v/>
      </c>
      <c r="J1192" s="8"/>
      <c r="M1192" s="1"/>
      <c r="N1192" s="1"/>
      <c r="O1192" s="1"/>
      <c r="P1192" s="9"/>
      <c r="Q1192" s="9"/>
      <c r="R1192" s="8"/>
      <c r="S1192" s="8"/>
      <c r="T1192" s="1"/>
    </row>
    <row r="1193" spans="1:20" x14ac:dyDescent="0.2">
      <c r="A1193" s="14">
        <f t="shared" si="18"/>
        <v>1181</v>
      </c>
      <c r="E1193" s="12" t="str">
        <f>IF($C$8&gt;=A1193,$E$1&amp;" "&amp;A1193,"")</f>
        <v/>
      </c>
      <c r="J1193" s="8"/>
      <c r="M1193" s="1"/>
      <c r="N1193" s="1"/>
      <c r="O1193" s="1"/>
      <c r="P1193" s="9"/>
      <c r="Q1193" s="9"/>
      <c r="R1193" s="8"/>
      <c r="S1193" s="8"/>
      <c r="T1193" s="1"/>
    </row>
    <row r="1194" spans="1:20" x14ac:dyDescent="0.2">
      <c r="A1194" s="14">
        <f t="shared" si="18"/>
        <v>1182</v>
      </c>
      <c r="E1194" s="12" t="str">
        <f>IF($C$8&gt;=A1194,$E$1&amp;" "&amp;A1194,"")</f>
        <v/>
      </c>
      <c r="J1194" s="8"/>
      <c r="M1194" s="1"/>
      <c r="N1194" s="1"/>
      <c r="O1194" s="1"/>
      <c r="P1194" s="9"/>
      <c r="Q1194" s="9"/>
      <c r="R1194" s="8"/>
      <c r="S1194" s="8"/>
      <c r="T1194" s="1"/>
    </row>
    <row r="1195" spans="1:20" x14ac:dyDescent="0.2">
      <c r="A1195" s="14">
        <f t="shared" si="18"/>
        <v>1183</v>
      </c>
      <c r="E1195" s="12" t="str">
        <f>IF($C$8&gt;=A1195,$E$1&amp;" "&amp;A1195,"")</f>
        <v/>
      </c>
      <c r="J1195" s="8"/>
      <c r="M1195" s="1"/>
      <c r="N1195" s="1"/>
      <c r="O1195" s="1"/>
      <c r="P1195" s="9"/>
      <c r="Q1195" s="9"/>
      <c r="R1195" s="8"/>
      <c r="S1195" s="8"/>
      <c r="T1195" s="1"/>
    </row>
    <row r="1196" spans="1:20" x14ac:dyDescent="0.2">
      <c r="A1196" s="14">
        <f t="shared" si="18"/>
        <v>1184</v>
      </c>
      <c r="E1196" s="12" t="str">
        <f>IF($C$8&gt;=A1196,$E$1&amp;" "&amp;A1196,"")</f>
        <v/>
      </c>
      <c r="J1196" s="8"/>
      <c r="M1196" s="1"/>
      <c r="N1196" s="1"/>
      <c r="O1196" s="1"/>
      <c r="P1196" s="9"/>
      <c r="Q1196" s="9"/>
      <c r="R1196" s="8"/>
      <c r="S1196" s="8"/>
      <c r="T1196" s="1"/>
    </row>
    <row r="1197" spans="1:20" x14ac:dyDescent="0.2">
      <c r="A1197" s="14">
        <f t="shared" si="18"/>
        <v>1185</v>
      </c>
      <c r="E1197" s="12" t="str">
        <f>IF($C$8&gt;=A1197,$E$1&amp;" "&amp;A1197,"")</f>
        <v/>
      </c>
      <c r="J1197" s="8"/>
      <c r="M1197" s="1"/>
      <c r="N1197" s="1"/>
      <c r="O1197" s="1"/>
      <c r="P1197" s="9"/>
      <c r="Q1197" s="9"/>
      <c r="R1197" s="8"/>
      <c r="S1197" s="8"/>
      <c r="T1197" s="1"/>
    </row>
    <row r="1198" spans="1:20" x14ac:dyDescent="0.2">
      <c r="A1198" s="14">
        <f t="shared" si="18"/>
        <v>1186</v>
      </c>
      <c r="E1198" s="12" t="str">
        <f>IF($C$8&gt;=A1198,$E$1&amp;" "&amp;A1198,"")</f>
        <v/>
      </c>
      <c r="J1198" s="8"/>
      <c r="M1198" s="1"/>
      <c r="N1198" s="1"/>
      <c r="O1198" s="1"/>
      <c r="P1198" s="9"/>
      <c r="Q1198" s="9"/>
      <c r="R1198" s="8"/>
      <c r="S1198" s="8"/>
      <c r="T1198" s="1"/>
    </row>
    <row r="1199" spans="1:20" x14ac:dyDescent="0.2">
      <c r="A1199" s="14">
        <f t="shared" si="18"/>
        <v>1187</v>
      </c>
      <c r="E1199" s="12" t="str">
        <f>IF($C$8&gt;=A1199,$E$1&amp;" "&amp;A1199,"")</f>
        <v/>
      </c>
      <c r="J1199" s="8"/>
      <c r="M1199" s="1"/>
      <c r="N1199" s="1"/>
      <c r="O1199" s="1"/>
      <c r="P1199" s="9"/>
      <c r="Q1199" s="9"/>
      <c r="R1199" s="8"/>
      <c r="S1199" s="8"/>
      <c r="T1199" s="1"/>
    </row>
    <row r="1200" spans="1:20" x14ac:dyDescent="0.2">
      <c r="A1200" s="14">
        <f t="shared" si="18"/>
        <v>1188</v>
      </c>
      <c r="E1200" s="12" t="str">
        <f>IF($C$8&gt;=A1200,$E$1&amp;" "&amp;A1200,"")</f>
        <v/>
      </c>
      <c r="J1200" s="8"/>
      <c r="M1200" s="1"/>
      <c r="N1200" s="1"/>
      <c r="O1200" s="1"/>
      <c r="P1200" s="9"/>
      <c r="Q1200" s="9"/>
      <c r="R1200" s="8"/>
      <c r="S1200" s="8"/>
      <c r="T1200" s="1"/>
    </row>
    <row r="1201" spans="1:20" x14ac:dyDescent="0.2">
      <c r="A1201" s="14">
        <f t="shared" si="18"/>
        <v>1189</v>
      </c>
      <c r="E1201" s="12" t="str">
        <f>IF($C$8&gt;=A1201,$E$1&amp;" "&amp;A1201,"")</f>
        <v/>
      </c>
      <c r="J1201" s="8"/>
      <c r="M1201" s="1"/>
      <c r="N1201" s="1"/>
      <c r="O1201" s="1"/>
      <c r="P1201" s="9"/>
      <c r="Q1201" s="9"/>
      <c r="R1201" s="8"/>
      <c r="S1201" s="8"/>
      <c r="T1201" s="1"/>
    </row>
    <row r="1202" spans="1:20" x14ac:dyDescent="0.2">
      <c r="A1202" s="14">
        <f t="shared" si="18"/>
        <v>1190</v>
      </c>
      <c r="E1202" s="12" t="str">
        <f>IF($C$8&gt;=A1202,$E$1&amp;" "&amp;A1202,"")</f>
        <v/>
      </c>
      <c r="J1202" s="8"/>
      <c r="M1202" s="1"/>
      <c r="N1202" s="1"/>
      <c r="O1202" s="1"/>
      <c r="P1202" s="9"/>
      <c r="Q1202" s="9"/>
      <c r="R1202" s="8"/>
      <c r="S1202" s="8"/>
      <c r="T1202" s="1"/>
    </row>
    <row r="1203" spans="1:20" x14ac:dyDescent="0.2">
      <c r="A1203" s="14">
        <f t="shared" si="18"/>
        <v>1191</v>
      </c>
      <c r="E1203" s="12" t="str">
        <f>IF($C$8&gt;=A1203,$E$1&amp;" "&amp;A1203,"")</f>
        <v/>
      </c>
      <c r="J1203" s="8"/>
      <c r="M1203" s="1"/>
      <c r="N1203" s="1"/>
      <c r="O1203" s="1"/>
      <c r="P1203" s="9"/>
      <c r="Q1203" s="9"/>
      <c r="R1203" s="8"/>
      <c r="S1203" s="8"/>
      <c r="T1203" s="1"/>
    </row>
    <row r="1204" spans="1:20" x14ac:dyDescent="0.2">
      <c r="A1204" s="14">
        <f t="shared" si="18"/>
        <v>1192</v>
      </c>
      <c r="E1204" s="12" t="str">
        <f>IF($C$8&gt;=A1204,$E$1&amp;" "&amp;A1204,"")</f>
        <v/>
      </c>
      <c r="J1204" s="8"/>
      <c r="M1204" s="1"/>
      <c r="N1204" s="1"/>
      <c r="O1204" s="1"/>
      <c r="P1204" s="9"/>
      <c r="Q1204" s="9"/>
      <c r="R1204" s="8"/>
      <c r="S1204" s="8"/>
      <c r="T1204" s="1"/>
    </row>
    <row r="1205" spans="1:20" x14ac:dyDescent="0.2">
      <c r="A1205" s="14">
        <f t="shared" si="18"/>
        <v>1193</v>
      </c>
      <c r="E1205" s="12" t="str">
        <f>IF($C$8&gt;=A1205,$E$1&amp;" "&amp;A1205,"")</f>
        <v/>
      </c>
      <c r="J1205" s="8"/>
      <c r="M1205" s="1"/>
      <c r="N1205" s="1"/>
      <c r="O1205" s="1"/>
      <c r="P1205" s="9"/>
      <c r="Q1205" s="9"/>
      <c r="R1205" s="8"/>
      <c r="S1205" s="8"/>
      <c r="T1205" s="1"/>
    </row>
    <row r="1206" spans="1:20" x14ac:dyDescent="0.2">
      <c r="A1206" s="14">
        <f t="shared" si="18"/>
        <v>1194</v>
      </c>
      <c r="E1206" s="12" t="str">
        <f>IF($C$8&gt;=A1206,$E$1&amp;" "&amp;A1206,"")</f>
        <v/>
      </c>
      <c r="J1206" s="8"/>
      <c r="M1206" s="1"/>
      <c r="N1206" s="1"/>
      <c r="O1206" s="1"/>
      <c r="P1206" s="9"/>
      <c r="Q1206" s="9"/>
      <c r="R1206" s="8"/>
      <c r="S1206" s="8"/>
      <c r="T1206" s="1"/>
    </row>
    <row r="1207" spans="1:20" x14ac:dyDescent="0.2">
      <c r="A1207" s="14">
        <f t="shared" si="18"/>
        <v>1195</v>
      </c>
      <c r="E1207" s="12" t="str">
        <f>IF($C$8&gt;=A1207,$E$1&amp;" "&amp;A1207,"")</f>
        <v/>
      </c>
      <c r="J1207" s="8"/>
      <c r="M1207" s="1"/>
      <c r="N1207" s="1"/>
      <c r="O1207" s="1"/>
      <c r="P1207" s="9"/>
      <c r="Q1207" s="9"/>
      <c r="R1207" s="8"/>
      <c r="S1207" s="8"/>
      <c r="T1207" s="1"/>
    </row>
    <row r="1208" spans="1:20" x14ac:dyDescent="0.2">
      <c r="A1208" s="14">
        <f t="shared" si="18"/>
        <v>1196</v>
      </c>
      <c r="E1208" s="12" t="str">
        <f>IF($C$8&gt;=A1208,$E$1&amp;" "&amp;A1208,"")</f>
        <v/>
      </c>
      <c r="J1208" s="8"/>
      <c r="M1208" s="1"/>
      <c r="N1208" s="1"/>
      <c r="O1208" s="1"/>
      <c r="P1208" s="9"/>
      <c r="Q1208" s="9"/>
      <c r="R1208" s="8"/>
      <c r="S1208" s="8"/>
      <c r="T1208" s="1"/>
    </row>
    <row r="1209" spans="1:20" x14ac:dyDescent="0.2">
      <c r="A1209" s="14">
        <f t="shared" si="18"/>
        <v>1197</v>
      </c>
      <c r="E1209" s="12" t="str">
        <f>IF($C$8&gt;=A1209,$E$1&amp;" "&amp;A1209,"")</f>
        <v/>
      </c>
      <c r="J1209" s="8"/>
      <c r="M1209" s="1"/>
      <c r="N1209" s="1"/>
      <c r="O1209" s="1"/>
      <c r="P1209" s="9"/>
      <c r="Q1209" s="9"/>
      <c r="R1209" s="8"/>
      <c r="S1209" s="8"/>
      <c r="T1209" s="1"/>
    </row>
    <row r="1210" spans="1:20" x14ac:dyDescent="0.2">
      <c r="A1210" s="14">
        <f t="shared" si="18"/>
        <v>1198</v>
      </c>
      <c r="E1210" s="12" t="str">
        <f>IF($C$8&gt;=A1210,$E$1&amp;" "&amp;A1210,"")</f>
        <v/>
      </c>
      <c r="J1210" s="8"/>
      <c r="M1210" s="1"/>
      <c r="N1210" s="1"/>
      <c r="O1210" s="1"/>
      <c r="P1210" s="9"/>
      <c r="Q1210" s="9"/>
      <c r="R1210" s="8"/>
      <c r="S1210" s="8"/>
      <c r="T1210" s="1"/>
    </row>
    <row r="1211" spans="1:20" x14ac:dyDescent="0.2">
      <c r="A1211" s="14">
        <f t="shared" si="18"/>
        <v>1199</v>
      </c>
      <c r="E1211" s="12" t="str">
        <f>IF($C$8&gt;=A1211,$E$1&amp;" "&amp;A1211,"")</f>
        <v/>
      </c>
      <c r="J1211" s="8"/>
      <c r="M1211" s="1"/>
      <c r="N1211" s="1"/>
      <c r="O1211" s="1"/>
      <c r="P1211" s="9"/>
      <c r="Q1211" s="9"/>
      <c r="R1211" s="8"/>
      <c r="S1211" s="8"/>
      <c r="T1211" s="1"/>
    </row>
    <row r="1212" spans="1:20" x14ac:dyDescent="0.2">
      <c r="A1212" s="14">
        <f t="shared" si="18"/>
        <v>1200</v>
      </c>
      <c r="E1212" s="12" t="str">
        <f>IF($C$8&gt;=A1212,$E$1&amp;" "&amp;A1212,"")</f>
        <v/>
      </c>
      <c r="J1212" s="8"/>
      <c r="M1212" s="1"/>
      <c r="N1212" s="1"/>
      <c r="O1212" s="1"/>
      <c r="P1212" s="9"/>
      <c r="Q1212" s="9"/>
      <c r="R1212" s="8"/>
      <c r="S1212" s="8"/>
      <c r="T1212" s="1"/>
    </row>
    <row r="1213" spans="1:20" x14ac:dyDescent="0.2">
      <c r="A1213" s="14">
        <f t="shared" si="18"/>
        <v>1201</v>
      </c>
      <c r="E1213" s="12" t="str">
        <f>IF($C$8&gt;=A1213,$E$1&amp;" "&amp;A1213,"")</f>
        <v/>
      </c>
      <c r="J1213" s="8"/>
      <c r="M1213" s="1"/>
      <c r="N1213" s="1"/>
      <c r="O1213" s="1"/>
      <c r="P1213" s="9"/>
      <c r="Q1213" s="9"/>
      <c r="R1213" s="8"/>
      <c r="S1213" s="8"/>
      <c r="T1213" s="1"/>
    </row>
    <row r="1214" spans="1:20" x14ac:dyDescent="0.2">
      <c r="A1214" s="14">
        <f t="shared" si="18"/>
        <v>1202</v>
      </c>
      <c r="E1214" s="12" t="str">
        <f>IF($C$8&gt;=A1214,$E$1&amp;" "&amp;A1214,"")</f>
        <v/>
      </c>
      <c r="J1214" s="8"/>
      <c r="M1214" s="1"/>
      <c r="N1214" s="1"/>
      <c r="O1214" s="1"/>
      <c r="P1214" s="9"/>
      <c r="Q1214" s="9"/>
      <c r="R1214" s="8"/>
      <c r="S1214" s="8"/>
      <c r="T1214" s="1"/>
    </row>
    <row r="1215" spans="1:20" x14ac:dyDescent="0.2">
      <c r="A1215" s="14">
        <f t="shared" si="18"/>
        <v>1203</v>
      </c>
      <c r="E1215" s="12" t="str">
        <f>IF($C$8&gt;=A1215,$E$1&amp;" "&amp;A1215,"")</f>
        <v/>
      </c>
      <c r="J1215" s="8"/>
      <c r="M1215" s="1"/>
      <c r="N1215" s="1"/>
      <c r="O1215" s="1"/>
      <c r="P1215" s="9"/>
      <c r="Q1215" s="9"/>
      <c r="R1215" s="8"/>
      <c r="S1215" s="8"/>
      <c r="T1215" s="1"/>
    </row>
    <row r="1216" spans="1:20" x14ac:dyDescent="0.2">
      <c r="A1216" s="14">
        <f t="shared" si="18"/>
        <v>1204</v>
      </c>
      <c r="E1216" s="12" t="str">
        <f>IF($C$8&gt;=A1216,$E$1&amp;" "&amp;A1216,"")</f>
        <v/>
      </c>
      <c r="J1216" s="8"/>
      <c r="M1216" s="1"/>
      <c r="N1216" s="1"/>
      <c r="O1216" s="1"/>
      <c r="P1216" s="9"/>
      <c r="Q1216" s="9"/>
      <c r="R1216" s="8"/>
      <c r="S1216" s="8"/>
      <c r="T1216" s="1"/>
    </row>
    <row r="1217" spans="1:20" x14ac:dyDescent="0.2">
      <c r="A1217" s="14">
        <f t="shared" si="18"/>
        <v>1205</v>
      </c>
      <c r="E1217" s="12" t="str">
        <f>IF($C$8&gt;=A1217,$E$1&amp;" "&amp;A1217,"")</f>
        <v/>
      </c>
      <c r="J1217" s="8"/>
      <c r="M1217" s="1"/>
      <c r="N1217" s="1"/>
      <c r="O1217" s="1"/>
      <c r="P1217" s="9"/>
      <c r="Q1217" s="9"/>
      <c r="R1217" s="8"/>
      <c r="S1217" s="8"/>
      <c r="T1217" s="1"/>
    </row>
    <row r="1218" spans="1:20" x14ac:dyDescent="0.2">
      <c r="A1218" s="14">
        <f t="shared" si="18"/>
        <v>1206</v>
      </c>
      <c r="E1218" s="12" t="str">
        <f>IF($C$8&gt;=A1218,$E$1&amp;" "&amp;A1218,"")</f>
        <v/>
      </c>
      <c r="J1218" s="8"/>
      <c r="M1218" s="1"/>
      <c r="N1218" s="1"/>
      <c r="O1218" s="1"/>
      <c r="P1218" s="9"/>
      <c r="Q1218" s="9"/>
      <c r="R1218" s="8"/>
      <c r="S1218" s="8"/>
      <c r="T1218" s="1"/>
    </row>
    <row r="1219" spans="1:20" x14ac:dyDescent="0.2">
      <c r="A1219" s="14">
        <f t="shared" si="18"/>
        <v>1207</v>
      </c>
      <c r="E1219" s="12" t="str">
        <f>IF($C$8&gt;=A1219,$E$1&amp;" "&amp;A1219,"")</f>
        <v/>
      </c>
      <c r="J1219" s="8"/>
      <c r="M1219" s="1"/>
      <c r="N1219" s="1"/>
      <c r="O1219" s="1"/>
      <c r="P1219" s="9"/>
      <c r="Q1219" s="9"/>
      <c r="R1219" s="8"/>
      <c r="S1219" s="8"/>
      <c r="T1219" s="1"/>
    </row>
    <row r="1220" spans="1:20" x14ac:dyDescent="0.2">
      <c r="A1220" s="14">
        <f t="shared" si="18"/>
        <v>1208</v>
      </c>
      <c r="E1220" s="12" t="str">
        <f>IF($C$8&gt;=A1220,$E$1&amp;" "&amp;A1220,"")</f>
        <v/>
      </c>
      <c r="J1220" s="8"/>
      <c r="M1220" s="1"/>
      <c r="N1220" s="1"/>
      <c r="O1220" s="1"/>
      <c r="P1220" s="9"/>
      <c r="Q1220" s="9"/>
      <c r="R1220" s="8"/>
      <c r="S1220" s="8"/>
      <c r="T1220" s="1"/>
    </row>
    <row r="1221" spans="1:20" x14ac:dyDescent="0.2">
      <c r="A1221" s="14">
        <f t="shared" si="18"/>
        <v>1209</v>
      </c>
      <c r="E1221" s="12" t="str">
        <f>IF($C$8&gt;=A1221,$E$1&amp;" "&amp;A1221,"")</f>
        <v/>
      </c>
      <c r="J1221" s="8"/>
      <c r="M1221" s="1"/>
      <c r="N1221" s="1"/>
      <c r="O1221" s="1"/>
      <c r="P1221" s="9"/>
      <c r="Q1221" s="9"/>
      <c r="R1221" s="8"/>
      <c r="S1221" s="8"/>
      <c r="T1221" s="1"/>
    </row>
    <row r="1222" spans="1:20" x14ac:dyDescent="0.2">
      <c r="A1222" s="14">
        <f t="shared" si="18"/>
        <v>1210</v>
      </c>
      <c r="E1222" s="12" t="str">
        <f>IF($C$8&gt;=A1222,$E$1&amp;" "&amp;A1222,"")</f>
        <v/>
      </c>
      <c r="J1222" s="8"/>
      <c r="M1222" s="1"/>
      <c r="N1222" s="1"/>
      <c r="O1222" s="1"/>
      <c r="P1222" s="9"/>
      <c r="Q1222" s="9"/>
      <c r="R1222" s="8"/>
      <c r="S1222" s="8"/>
      <c r="T1222" s="1"/>
    </row>
    <row r="1223" spans="1:20" x14ac:dyDescent="0.2">
      <c r="A1223" s="14">
        <f t="shared" si="18"/>
        <v>1211</v>
      </c>
      <c r="E1223" s="12" t="str">
        <f>IF($C$8&gt;=A1223,$E$1&amp;" "&amp;A1223,"")</f>
        <v/>
      </c>
      <c r="J1223" s="8"/>
      <c r="M1223" s="1"/>
      <c r="N1223" s="1"/>
      <c r="O1223" s="1"/>
      <c r="P1223" s="9"/>
      <c r="Q1223" s="9"/>
      <c r="R1223" s="8"/>
      <c r="S1223" s="8"/>
      <c r="T1223" s="1"/>
    </row>
    <row r="1224" spans="1:20" x14ac:dyDescent="0.2">
      <c r="A1224" s="14">
        <f t="shared" si="18"/>
        <v>1212</v>
      </c>
      <c r="E1224" s="12" t="str">
        <f>IF($C$8&gt;=A1224,$E$1&amp;" "&amp;A1224,"")</f>
        <v/>
      </c>
      <c r="J1224" s="8"/>
      <c r="M1224" s="1"/>
      <c r="N1224" s="1"/>
      <c r="O1224" s="1"/>
      <c r="P1224" s="9"/>
      <c r="Q1224" s="9"/>
      <c r="R1224" s="8"/>
      <c r="S1224" s="8"/>
      <c r="T1224" s="1"/>
    </row>
    <row r="1225" spans="1:20" x14ac:dyDescent="0.2">
      <c r="A1225" s="14">
        <f t="shared" si="18"/>
        <v>1213</v>
      </c>
      <c r="E1225" s="12" t="str">
        <f>IF($C$8&gt;=A1225,$E$1&amp;" "&amp;A1225,"")</f>
        <v/>
      </c>
      <c r="J1225" s="8"/>
      <c r="M1225" s="1"/>
      <c r="N1225" s="1"/>
      <c r="O1225" s="1"/>
      <c r="P1225" s="9"/>
      <c r="Q1225" s="9"/>
      <c r="R1225" s="8"/>
      <c r="S1225" s="8"/>
      <c r="T1225" s="1"/>
    </row>
    <row r="1226" spans="1:20" x14ac:dyDescent="0.2">
      <c r="A1226" s="14">
        <f t="shared" si="18"/>
        <v>1214</v>
      </c>
      <c r="E1226" s="12" t="str">
        <f>IF($C$8&gt;=A1226,$E$1&amp;" "&amp;A1226,"")</f>
        <v/>
      </c>
      <c r="J1226" s="8"/>
      <c r="M1226" s="1"/>
      <c r="N1226" s="1"/>
      <c r="O1226" s="1"/>
      <c r="P1226" s="9"/>
      <c r="Q1226" s="9"/>
      <c r="R1226" s="8"/>
      <c r="S1226" s="8"/>
      <c r="T1226" s="1"/>
    </row>
    <row r="1227" spans="1:20" x14ac:dyDescent="0.2">
      <c r="A1227" s="14">
        <f t="shared" si="18"/>
        <v>1215</v>
      </c>
      <c r="E1227" s="12" t="str">
        <f>IF($C$8&gt;=A1227,$E$1&amp;" "&amp;A1227,"")</f>
        <v/>
      </c>
      <c r="J1227" s="8"/>
      <c r="M1227" s="1"/>
      <c r="N1227" s="1"/>
      <c r="O1227" s="1"/>
      <c r="P1227" s="9"/>
      <c r="Q1227" s="9"/>
      <c r="R1227" s="8"/>
      <c r="S1227" s="8"/>
      <c r="T1227" s="1"/>
    </row>
    <row r="1228" spans="1:20" x14ac:dyDescent="0.2">
      <c r="A1228" s="14">
        <f t="shared" si="18"/>
        <v>1216</v>
      </c>
      <c r="E1228" s="12" t="str">
        <f>IF($C$8&gt;=A1228,$E$1&amp;" "&amp;A1228,"")</f>
        <v/>
      </c>
      <c r="J1228" s="8"/>
      <c r="M1228" s="1"/>
      <c r="N1228" s="1"/>
      <c r="O1228" s="1"/>
      <c r="P1228" s="9"/>
      <c r="Q1228" s="9"/>
      <c r="R1228" s="8"/>
      <c r="S1228" s="8"/>
      <c r="T1228" s="1"/>
    </row>
    <row r="1229" spans="1:20" x14ac:dyDescent="0.2">
      <c r="A1229" s="14">
        <f t="shared" si="18"/>
        <v>1217</v>
      </c>
      <c r="E1229" s="12" t="str">
        <f>IF($C$8&gt;=A1229,$E$1&amp;" "&amp;A1229,"")</f>
        <v/>
      </c>
      <c r="J1229" s="8"/>
      <c r="M1229" s="1"/>
      <c r="N1229" s="1"/>
      <c r="O1229" s="1"/>
      <c r="P1229" s="9"/>
      <c r="Q1229" s="9"/>
      <c r="R1229" s="8"/>
      <c r="S1229" s="8"/>
      <c r="T1229" s="1"/>
    </row>
    <row r="1230" spans="1:20" x14ac:dyDescent="0.2">
      <c r="A1230" s="14">
        <f t="shared" si="18"/>
        <v>1218</v>
      </c>
      <c r="E1230" s="12" t="str">
        <f>IF($C$8&gt;=A1230,$E$1&amp;" "&amp;A1230,"")</f>
        <v/>
      </c>
      <c r="J1230" s="8"/>
      <c r="M1230" s="1"/>
      <c r="N1230" s="1"/>
      <c r="O1230" s="1"/>
      <c r="P1230" s="9"/>
      <c r="Q1230" s="9"/>
      <c r="R1230" s="8"/>
      <c r="S1230" s="8"/>
      <c r="T1230" s="1"/>
    </row>
    <row r="1231" spans="1:20" x14ac:dyDescent="0.2">
      <c r="A1231" s="14">
        <f t="shared" ref="A1231:A1294" si="19">A1230+1</f>
        <v>1219</v>
      </c>
      <c r="E1231" s="12" t="str">
        <f>IF($C$8&gt;=A1231,$E$1&amp;" "&amp;A1231,"")</f>
        <v/>
      </c>
      <c r="J1231" s="8"/>
      <c r="M1231" s="1"/>
      <c r="N1231" s="1"/>
      <c r="O1231" s="1"/>
      <c r="P1231" s="9"/>
      <c r="Q1231" s="9"/>
      <c r="R1231" s="8"/>
      <c r="S1231" s="8"/>
      <c r="T1231" s="1"/>
    </row>
    <row r="1232" spans="1:20" x14ac:dyDescent="0.2">
      <c r="A1232" s="14">
        <f t="shared" si="19"/>
        <v>1220</v>
      </c>
      <c r="E1232" s="12" t="str">
        <f>IF($C$8&gt;=A1232,$E$1&amp;" "&amp;A1232,"")</f>
        <v/>
      </c>
      <c r="J1232" s="8"/>
      <c r="M1232" s="1"/>
      <c r="N1232" s="1"/>
      <c r="O1232" s="1"/>
      <c r="P1232" s="9"/>
      <c r="Q1232" s="9"/>
      <c r="R1232" s="8"/>
      <c r="S1232" s="8"/>
      <c r="T1232" s="1"/>
    </row>
    <row r="1233" spans="1:20" x14ac:dyDescent="0.2">
      <c r="A1233" s="14">
        <f t="shared" si="19"/>
        <v>1221</v>
      </c>
      <c r="E1233" s="12" t="str">
        <f>IF($C$8&gt;=A1233,$E$1&amp;" "&amp;A1233,"")</f>
        <v/>
      </c>
      <c r="J1233" s="8"/>
      <c r="M1233" s="1"/>
      <c r="N1233" s="1"/>
      <c r="O1233" s="1"/>
      <c r="P1233" s="9"/>
      <c r="Q1233" s="9"/>
      <c r="R1233" s="8"/>
      <c r="S1233" s="8"/>
      <c r="T1233" s="1"/>
    </row>
    <row r="1234" spans="1:20" x14ac:dyDescent="0.2">
      <c r="A1234" s="14">
        <f t="shared" si="19"/>
        <v>1222</v>
      </c>
      <c r="E1234" s="12" t="str">
        <f>IF($C$8&gt;=A1234,$E$1&amp;" "&amp;A1234,"")</f>
        <v/>
      </c>
      <c r="J1234" s="8"/>
      <c r="M1234" s="1"/>
      <c r="N1234" s="1"/>
      <c r="O1234" s="1"/>
      <c r="P1234" s="9"/>
      <c r="Q1234" s="9"/>
      <c r="R1234" s="8"/>
      <c r="S1234" s="8"/>
      <c r="T1234" s="1"/>
    </row>
    <row r="1235" spans="1:20" x14ac:dyDescent="0.2">
      <c r="A1235" s="14">
        <f t="shared" si="19"/>
        <v>1223</v>
      </c>
      <c r="E1235" s="12" t="str">
        <f>IF($C$8&gt;=A1235,$E$1&amp;" "&amp;A1235,"")</f>
        <v/>
      </c>
      <c r="J1235" s="8"/>
      <c r="M1235" s="1"/>
      <c r="N1235" s="1"/>
      <c r="O1235" s="1"/>
      <c r="P1235" s="9"/>
      <c r="Q1235" s="9"/>
      <c r="R1235" s="8"/>
      <c r="S1235" s="8"/>
      <c r="T1235" s="1"/>
    </row>
    <row r="1236" spans="1:20" x14ac:dyDescent="0.2">
      <c r="A1236" s="14">
        <f t="shared" si="19"/>
        <v>1224</v>
      </c>
      <c r="E1236" s="12" t="str">
        <f>IF($C$8&gt;=A1236,$E$1&amp;" "&amp;A1236,"")</f>
        <v/>
      </c>
      <c r="J1236" s="8"/>
      <c r="M1236" s="1"/>
      <c r="N1236" s="1"/>
      <c r="O1236" s="1"/>
      <c r="P1236" s="9"/>
      <c r="Q1236" s="9"/>
      <c r="R1236" s="8"/>
      <c r="S1236" s="8"/>
      <c r="T1236" s="1"/>
    </row>
    <row r="1237" spans="1:20" x14ac:dyDescent="0.2">
      <c r="A1237" s="14">
        <f t="shared" si="19"/>
        <v>1225</v>
      </c>
      <c r="E1237" s="12" t="str">
        <f>IF($C$8&gt;=A1237,$E$1&amp;" "&amp;A1237,"")</f>
        <v/>
      </c>
      <c r="J1237" s="8"/>
      <c r="M1237" s="1"/>
      <c r="N1237" s="1"/>
      <c r="O1237" s="1"/>
      <c r="P1237" s="9"/>
      <c r="Q1237" s="9"/>
      <c r="R1237" s="8"/>
      <c r="S1237" s="8"/>
      <c r="T1237" s="1"/>
    </row>
    <row r="1238" spans="1:20" x14ac:dyDescent="0.2">
      <c r="A1238" s="14">
        <f t="shared" si="19"/>
        <v>1226</v>
      </c>
      <c r="E1238" s="12" t="str">
        <f>IF($C$8&gt;=A1238,$E$1&amp;" "&amp;A1238,"")</f>
        <v/>
      </c>
      <c r="J1238" s="8"/>
      <c r="M1238" s="1"/>
      <c r="N1238" s="1"/>
      <c r="O1238" s="1"/>
      <c r="P1238" s="9"/>
      <c r="Q1238" s="9"/>
      <c r="R1238" s="8"/>
      <c r="S1238" s="8"/>
      <c r="T1238" s="1"/>
    </row>
    <row r="1239" spans="1:20" x14ac:dyDescent="0.2">
      <c r="A1239" s="14">
        <f t="shared" si="19"/>
        <v>1227</v>
      </c>
      <c r="E1239" s="12" t="str">
        <f>IF($C$8&gt;=A1239,$E$1&amp;" "&amp;A1239,"")</f>
        <v/>
      </c>
      <c r="J1239" s="8"/>
      <c r="M1239" s="1"/>
      <c r="N1239" s="1"/>
      <c r="O1239" s="1"/>
      <c r="P1239" s="9"/>
      <c r="Q1239" s="9"/>
      <c r="R1239" s="8"/>
      <c r="S1239" s="8"/>
      <c r="T1239" s="1"/>
    </row>
    <row r="1240" spans="1:20" x14ac:dyDescent="0.2">
      <c r="A1240" s="14">
        <f t="shared" si="19"/>
        <v>1228</v>
      </c>
      <c r="E1240" s="12" t="str">
        <f>IF($C$8&gt;=A1240,$E$1&amp;" "&amp;A1240,"")</f>
        <v/>
      </c>
      <c r="J1240" s="8"/>
      <c r="M1240" s="1"/>
      <c r="N1240" s="1"/>
      <c r="O1240" s="1"/>
      <c r="P1240" s="9"/>
      <c r="Q1240" s="9"/>
      <c r="R1240" s="8"/>
      <c r="S1240" s="8"/>
      <c r="T1240" s="1"/>
    </row>
    <row r="1241" spans="1:20" x14ac:dyDescent="0.2">
      <c r="A1241" s="14">
        <f t="shared" si="19"/>
        <v>1229</v>
      </c>
      <c r="E1241" s="12" t="str">
        <f>IF($C$8&gt;=A1241,$E$1&amp;" "&amp;A1241,"")</f>
        <v/>
      </c>
      <c r="J1241" s="8"/>
      <c r="M1241" s="1"/>
      <c r="N1241" s="1"/>
      <c r="O1241" s="1"/>
      <c r="P1241" s="9"/>
      <c r="Q1241" s="9"/>
      <c r="R1241" s="8"/>
      <c r="S1241" s="8"/>
      <c r="T1241" s="1"/>
    </row>
    <row r="1242" spans="1:20" x14ac:dyDescent="0.2">
      <c r="A1242" s="14">
        <f t="shared" si="19"/>
        <v>1230</v>
      </c>
      <c r="E1242" s="12" t="str">
        <f>IF($C$8&gt;=A1242,$E$1&amp;" "&amp;A1242,"")</f>
        <v/>
      </c>
      <c r="J1242" s="8"/>
      <c r="M1242" s="1"/>
      <c r="N1242" s="1"/>
      <c r="O1242" s="1"/>
      <c r="P1242" s="9"/>
      <c r="Q1242" s="9"/>
      <c r="R1242" s="8"/>
      <c r="S1242" s="8"/>
      <c r="T1242" s="1"/>
    </row>
    <row r="1243" spans="1:20" x14ac:dyDescent="0.2">
      <c r="A1243" s="14">
        <f t="shared" si="19"/>
        <v>1231</v>
      </c>
      <c r="E1243" s="12" t="str">
        <f>IF($C$8&gt;=A1243,$E$1&amp;" "&amp;A1243,"")</f>
        <v/>
      </c>
      <c r="J1243" s="8"/>
      <c r="M1243" s="1"/>
      <c r="N1243" s="1"/>
      <c r="O1243" s="1"/>
      <c r="P1243" s="9"/>
      <c r="Q1243" s="9"/>
      <c r="R1243" s="8"/>
      <c r="S1243" s="8"/>
      <c r="T1243" s="1"/>
    </row>
    <row r="1244" spans="1:20" x14ac:dyDescent="0.2">
      <c r="A1244" s="14">
        <f t="shared" si="19"/>
        <v>1232</v>
      </c>
      <c r="E1244" s="12" t="str">
        <f>IF($C$8&gt;=A1244,$E$1&amp;" "&amp;A1244,"")</f>
        <v/>
      </c>
      <c r="J1244" s="8"/>
      <c r="M1244" s="1"/>
      <c r="N1244" s="1"/>
      <c r="O1244" s="1"/>
      <c r="P1244" s="9"/>
      <c r="Q1244" s="9"/>
      <c r="R1244" s="8"/>
      <c r="S1244" s="8"/>
      <c r="T1244" s="1"/>
    </row>
    <row r="1245" spans="1:20" x14ac:dyDescent="0.2">
      <c r="A1245" s="14">
        <f t="shared" si="19"/>
        <v>1233</v>
      </c>
      <c r="E1245" s="12" t="str">
        <f>IF($C$8&gt;=A1245,$E$1&amp;" "&amp;A1245,"")</f>
        <v/>
      </c>
      <c r="J1245" s="8"/>
      <c r="M1245" s="1"/>
      <c r="N1245" s="1"/>
      <c r="O1245" s="1"/>
      <c r="P1245" s="9"/>
      <c r="Q1245" s="9"/>
      <c r="R1245" s="8"/>
      <c r="S1245" s="8"/>
      <c r="T1245" s="1"/>
    </row>
    <row r="1246" spans="1:20" x14ac:dyDescent="0.2">
      <c r="A1246" s="14">
        <f t="shared" si="19"/>
        <v>1234</v>
      </c>
      <c r="E1246" s="12" t="str">
        <f>IF($C$8&gt;=A1246,$E$1&amp;" "&amp;A1246,"")</f>
        <v/>
      </c>
      <c r="J1246" s="8"/>
      <c r="M1246" s="1"/>
      <c r="N1246" s="1"/>
      <c r="O1246" s="1"/>
      <c r="P1246" s="9"/>
      <c r="Q1246" s="9"/>
      <c r="R1246" s="8"/>
      <c r="S1246" s="8"/>
      <c r="T1246" s="1"/>
    </row>
    <row r="1247" spans="1:20" x14ac:dyDescent="0.2">
      <c r="A1247" s="14">
        <f t="shared" si="19"/>
        <v>1235</v>
      </c>
      <c r="E1247" s="12" t="str">
        <f>IF($C$8&gt;=A1247,$E$1&amp;" "&amp;A1247,"")</f>
        <v/>
      </c>
      <c r="J1247" s="8"/>
      <c r="M1247" s="1"/>
      <c r="N1247" s="1"/>
      <c r="O1247" s="1"/>
      <c r="P1247" s="9"/>
      <c r="Q1247" s="9"/>
      <c r="R1247" s="8"/>
      <c r="S1247" s="8"/>
      <c r="T1247" s="1"/>
    </row>
    <row r="1248" spans="1:20" x14ac:dyDescent="0.2">
      <c r="A1248" s="14">
        <f t="shared" si="19"/>
        <v>1236</v>
      </c>
      <c r="E1248" s="12" t="str">
        <f>IF($C$8&gt;=A1248,$E$1&amp;" "&amp;A1248,"")</f>
        <v/>
      </c>
      <c r="J1248" s="8"/>
      <c r="M1248" s="1"/>
      <c r="N1248" s="1"/>
      <c r="O1248" s="1"/>
      <c r="P1248" s="9"/>
      <c r="Q1248" s="9"/>
      <c r="R1248" s="8"/>
      <c r="S1248" s="8"/>
      <c r="T1248" s="1"/>
    </row>
    <row r="1249" spans="1:20" x14ac:dyDescent="0.2">
      <c r="A1249" s="14">
        <f t="shared" si="19"/>
        <v>1237</v>
      </c>
      <c r="E1249" s="12" t="str">
        <f>IF($C$8&gt;=A1249,$E$1&amp;" "&amp;A1249,"")</f>
        <v/>
      </c>
      <c r="J1249" s="8"/>
      <c r="M1249" s="1"/>
      <c r="N1249" s="1"/>
      <c r="O1249" s="1"/>
      <c r="P1249" s="9"/>
      <c r="Q1249" s="9"/>
      <c r="R1249" s="8"/>
      <c r="S1249" s="8"/>
      <c r="T1249" s="1"/>
    </row>
    <row r="1250" spans="1:20" x14ac:dyDescent="0.2">
      <c r="A1250" s="14">
        <f t="shared" si="19"/>
        <v>1238</v>
      </c>
      <c r="E1250" s="12" t="str">
        <f>IF($C$8&gt;=A1250,$E$1&amp;" "&amp;A1250,"")</f>
        <v/>
      </c>
      <c r="J1250" s="8"/>
      <c r="M1250" s="1"/>
      <c r="N1250" s="1"/>
      <c r="O1250" s="1"/>
      <c r="P1250" s="9"/>
      <c r="Q1250" s="9"/>
      <c r="R1250" s="8"/>
      <c r="S1250" s="8"/>
      <c r="T1250" s="1"/>
    </row>
    <row r="1251" spans="1:20" x14ac:dyDescent="0.2">
      <c r="A1251" s="14">
        <f t="shared" si="19"/>
        <v>1239</v>
      </c>
      <c r="E1251" s="12" t="str">
        <f>IF($C$8&gt;=A1251,$E$1&amp;" "&amp;A1251,"")</f>
        <v/>
      </c>
      <c r="J1251" s="8"/>
      <c r="M1251" s="1"/>
      <c r="N1251" s="1"/>
      <c r="O1251" s="1"/>
      <c r="P1251" s="9"/>
      <c r="Q1251" s="9"/>
      <c r="R1251" s="8"/>
      <c r="S1251" s="8"/>
      <c r="T1251" s="1"/>
    </row>
    <row r="1252" spans="1:20" x14ac:dyDescent="0.2">
      <c r="A1252" s="14">
        <f t="shared" si="19"/>
        <v>1240</v>
      </c>
      <c r="E1252" s="12" t="str">
        <f>IF($C$8&gt;=A1252,$E$1&amp;" "&amp;A1252,"")</f>
        <v/>
      </c>
      <c r="J1252" s="8"/>
      <c r="M1252" s="1"/>
      <c r="N1252" s="1"/>
      <c r="O1252" s="1"/>
      <c r="P1252" s="9"/>
      <c r="Q1252" s="9"/>
      <c r="R1252" s="8"/>
      <c r="S1252" s="8"/>
      <c r="T1252" s="1"/>
    </row>
    <row r="1253" spans="1:20" x14ac:dyDescent="0.2">
      <c r="A1253" s="14">
        <f t="shared" si="19"/>
        <v>1241</v>
      </c>
      <c r="E1253" s="12" t="str">
        <f>IF($C$8&gt;=A1253,$E$1&amp;" "&amp;A1253,"")</f>
        <v/>
      </c>
      <c r="J1253" s="8"/>
      <c r="M1253" s="1"/>
      <c r="N1253" s="1"/>
      <c r="O1253" s="1"/>
      <c r="P1253" s="9"/>
      <c r="Q1253" s="9"/>
      <c r="R1253" s="8"/>
      <c r="S1253" s="8"/>
      <c r="T1253" s="1"/>
    </row>
    <row r="1254" spans="1:20" x14ac:dyDescent="0.2">
      <c r="A1254" s="14">
        <f t="shared" si="19"/>
        <v>1242</v>
      </c>
      <c r="E1254" s="12" t="str">
        <f>IF($C$8&gt;=A1254,$E$1&amp;" "&amp;A1254,"")</f>
        <v/>
      </c>
      <c r="J1254" s="8"/>
      <c r="M1254" s="1"/>
      <c r="N1254" s="1"/>
      <c r="O1254" s="1"/>
      <c r="P1254" s="9"/>
      <c r="Q1254" s="9"/>
      <c r="R1254" s="8"/>
      <c r="S1254" s="8"/>
      <c r="T1254" s="1"/>
    </row>
    <row r="1255" spans="1:20" x14ac:dyDescent="0.2">
      <c r="A1255" s="14">
        <f t="shared" si="19"/>
        <v>1243</v>
      </c>
      <c r="E1255" s="12" t="str">
        <f>IF($C$8&gt;=A1255,$E$1&amp;" "&amp;A1255,"")</f>
        <v/>
      </c>
      <c r="J1255" s="8"/>
      <c r="M1255" s="1"/>
      <c r="N1255" s="1"/>
      <c r="O1255" s="1"/>
      <c r="P1255" s="9"/>
      <c r="Q1255" s="9"/>
      <c r="R1255" s="8"/>
      <c r="S1255" s="8"/>
      <c r="T1255" s="1"/>
    </row>
    <row r="1256" spans="1:20" x14ac:dyDescent="0.2">
      <c r="A1256" s="14">
        <f t="shared" si="19"/>
        <v>1244</v>
      </c>
      <c r="E1256" s="12" t="str">
        <f>IF($C$8&gt;=A1256,$E$1&amp;" "&amp;A1256,"")</f>
        <v/>
      </c>
      <c r="J1256" s="8"/>
      <c r="M1256" s="1"/>
      <c r="N1256" s="1"/>
      <c r="O1256" s="1"/>
      <c r="P1256" s="9"/>
      <c r="Q1256" s="9"/>
      <c r="R1256" s="8"/>
      <c r="S1256" s="8"/>
      <c r="T1256" s="1"/>
    </row>
    <row r="1257" spans="1:20" x14ac:dyDescent="0.2">
      <c r="A1257" s="14">
        <f t="shared" si="19"/>
        <v>1245</v>
      </c>
      <c r="E1257" s="12" t="str">
        <f>IF($C$8&gt;=A1257,$E$1&amp;" "&amp;A1257,"")</f>
        <v/>
      </c>
      <c r="J1257" s="8"/>
      <c r="M1257" s="1"/>
      <c r="N1257" s="1"/>
      <c r="O1257" s="1"/>
      <c r="P1257" s="9"/>
      <c r="Q1257" s="9"/>
      <c r="R1257" s="8"/>
      <c r="S1257" s="8"/>
      <c r="T1257" s="1"/>
    </row>
    <row r="1258" spans="1:20" x14ac:dyDescent="0.2">
      <c r="A1258" s="14">
        <f t="shared" si="19"/>
        <v>1246</v>
      </c>
      <c r="E1258" s="12" t="str">
        <f>IF($C$8&gt;=A1258,$E$1&amp;" "&amp;A1258,"")</f>
        <v/>
      </c>
      <c r="J1258" s="8"/>
      <c r="M1258" s="1"/>
      <c r="N1258" s="1"/>
      <c r="O1258" s="1"/>
      <c r="P1258" s="9"/>
      <c r="Q1258" s="9"/>
      <c r="R1258" s="8"/>
      <c r="S1258" s="8"/>
      <c r="T1258" s="1"/>
    </row>
    <row r="1259" spans="1:20" x14ac:dyDescent="0.2">
      <c r="A1259" s="14">
        <f t="shared" si="19"/>
        <v>1247</v>
      </c>
      <c r="E1259" s="12" t="str">
        <f>IF($C$8&gt;=A1259,$E$1&amp;" "&amp;A1259,"")</f>
        <v/>
      </c>
      <c r="J1259" s="8"/>
      <c r="M1259" s="1"/>
      <c r="N1259" s="1"/>
      <c r="O1259" s="1"/>
      <c r="P1259" s="9"/>
      <c r="Q1259" s="9"/>
      <c r="R1259" s="8"/>
      <c r="S1259" s="8"/>
      <c r="T1259" s="1"/>
    </row>
    <row r="1260" spans="1:20" x14ac:dyDescent="0.2">
      <c r="A1260" s="14">
        <f t="shared" si="19"/>
        <v>1248</v>
      </c>
      <c r="E1260" s="12" t="str">
        <f>IF($C$8&gt;=A1260,$E$1&amp;" "&amp;A1260,"")</f>
        <v/>
      </c>
      <c r="J1260" s="8"/>
      <c r="M1260" s="1"/>
      <c r="N1260" s="1"/>
      <c r="O1260" s="1"/>
      <c r="P1260" s="9"/>
      <c r="Q1260" s="9"/>
      <c r="R1260" s="8"/>
      <c r="S1260" s="8"/>
      <c r="T1260" s="1"/>
    </row>
    <row r="1261" spans="1:20" x14ac:dyDescent="0.2">
      <c r="A1261" s="14">
        <f t="shared" si="19"/>
        <v>1249</v>
      </c>
      <c r="E1261" s="12" t="str">
        <f>IF($C$8&gt;=A1261,$E$1&amp;" "&amp;A1261,"")</f>
        <v/>
      </c>
      <c r="J1261" s="8"/>
      <c r="M1261" s="1"/>
      <c r="N1261" s="1"/>
      <c r="O1261" s="1"/>
      <c r="P1261" s="9"/>
      <c r="Q1261" s="9"/>
      <c r="R1261" s="8"/>
      <c r="S1261" s="8"/>
      <c r="T1261" s="1"/>
    </row>
    <row r="1262" spans="1:20" x14ac:dyDescent="0.2">
      <c r="A1262" s="14">
        <f t="shared" si="19"/>
        <v>1250</v>
      </c>
      <c r="E1262" s="12" t="str">
        <f>IF($C$8&gt;=A1262,$E$1&amp;" "&amp;A1262,"")</f>
        <v/>
      </c>
      <c r="J1262" s="8"/>
      <c r="M1262" s="1"/>
      <c r="N1262" s="1"/>
      <c r="O1262" s="1"/>
      <c r="P1262" s="9"/>
      <c r="Q1262" s="9"/>
      <c r="R1262" s="8"/>
      <c r="S1262" s="8"/>
      <c r="T1262" s="1"/>
    </row>
    <row r="1263" spans="1:20" x14ac:dyDescent="0.2">
      <c r="A1263" s="14">
        <f t="shared" si="19"/>
        <v>1251</v>
      </c>
      <c r="E1263" s="12" t="str">
        <f>IF($C$8&gt;=A1263,$E$1&amp;" "&amp;A1263,"")</f>
        <v/>
      </c>
      <c r="J1263" s="8"/>
      <c r="M1263" s="1"/>
      <c r="N1263" s="1"/>
      <c r="O1263" s="1"/>
      <c r="P1263" s="9"/>
      <c r="Q1263" s="9"/>
      <c r="R1263" s="8"/>
      <c r="S1263" s="8"/>
      <c r="T1263" s="1"/>
    </row>
    <row r="1264" spans="1:20" x14ac:dyDescent="0.2">
      <c r="A1264" s="14">
        <f t="shared" si="19"/>
        <v>1252</v>
      </c>
      <c r="E1264" s="12" t="str">
        <f>IF($C$8&gt;=A1264,$E$1&amp;" "&amp;A1264,"")</f>
        <v/>
      </c>
      <c r="J1264" s="8"/>
      <c r="M1264" s="1"/>
      <c r="N1264" s="1"/>
      <c r="O1264" s="1"/>
      <c r="P1264" s="9"/>
      <c r="Q1264" s="9"/>
      <c r="R1264" s="8"/>
      <c r="S1264" s="8"/>
      <c r="T1264" s="1"/>
    </row>
    <row r="1265" spans="1:20" x14ac:dyDescent="0.2">
      <c r="A1265" s="14">
        <f t="shared" si="19"/>
        <v>1253</v>
      </c>
      <c r="E1265" s="12" t="str">
        <f>IF($C$8&gt;=A1265,$E$1&amp;" "&amp;A1265,"")</f>
        <v/>
      </c>
      <c r="J1265" s="8"/>
      <c r="M1265" s="1"/>
      <c r="N1265" s="1"/>
      <c r="O1265" s="1"/>
      <c r="P1265" s="9"/>
      <c r="Q1265" s="9"/>
      <c r="R1265" s="8"/>
      <c r="S1265" s="8"/>
      <c r="T1265" s="1"/>
    </row>
    <row r="1266" spans="1:20" x14ac:dyDescent="0.2">
      <c r="A1266" s="14">
        <f t="shared" si="19"/>
        <v>1254</v>
      </c>
      <c r="E1266" s="12" t="str">
        <f>IF($C$8&gt;=A1266,$E$1&amp;" "&amp;A1266,"")</f>
        <v/>
      </c>
      <c r="J1266" s="8"/>
      <c r="M1266" s="1"/>
      <c r="N1266" s="1"/>
      <c r="O1266" s="1"/>
      <c r="P1266" s="9"/>
      <c r="Q1266" s="9"/>
      <c r="R1266" s="8"/>
      <c r="S1266" s="8"/>
      <c r="T1266" s="1"/>
    </row>
    <row r="1267" spans="1:20" x14ac:dyDescent="0.2">
      <c r="A1267" s="14">
        <f t="shared" si="19"/>
        <v>1255</v>
      </c>
      <c r="E1267" s="12" t="str">
        <f>IF($C$8&gt;=A1267,$E$1&amp;" "&amp;A1267,"")</f>
        <v/>
      </c>
      <c r="J1267" s="8"/>
      <c r="M1267" s="1"/>
      <c r="N1267" s="1"/>
      <c r="O1267" s="1"/>
      <c r="P1267" s="9"/>
      <c r="Q1267" s="9"/>
      <c r="R1267" s="8"/>
      <c r="S1267" s="8"/>
      <c r="T1267" s="1"/>
    </row>
    <row r="1268" spans="1:20" x14ac:dyDescent="0.2">
      <c r="A1268" s="14">
        <f t="shared" si="19"/>
        <v>1256</v>
      </c>
      <c r="E1268" s="12" t="str">
        <f>IF($C$8&gt;=A1268,$E$1&amp;" "&amp;A1268,"")</f>
        <v/>
      </c>
      <c r="J1268" s="8"/>
      <c r="M1268" s="1"/>
      <c r="N1268" s="1"/>
      <c r="O1268" s="1"/>
      <c r="P1268" s="9"/>
      <c r="Q1268" s="9"/>
      <c r="R1268" s="8"/>
      <c r="S1268" s="8"/>
      <c r="T1268" s="1"/>
    </row>
    <row r="1269" spans="1:20" x14ac:dyDescent="0.2">
      <c r="A1269" s="14">
        <f t="shared" si="19"/>
        <v>1257</v>
      </c>
      <c r="E1269" s="12" t="str">
        <f>IF($C$8&gt;=A1269,$E$1&amp;" "&amp;A1269,"")</f>
        <v/>
      </c>
      <c r="J1269" s="8"/>
      <c r="M1269" s="1"/>
      <c r="N1269" s="1"/>
      <c r="O1269" s="1"/>
      <c r="P1269" s="9"/>
      <c r="Q1269" s="9"/>
      <c r="R1269" s="8"/>
      <c r="S1269" s="8"/>
      <c r="T1269" s="1"/>
    </row>
    <row r="1270" spans="1:20" x14ac:dyDescent="0.2">
      <c r="A1270" s="14">
        <f t="shared" si="19"/>
        <v>1258</v>
      </c>
      <c r="E1270" s="12" t="str">
        <f>IF($C$8&gt;=A1270,$E$1&amp;" "&amp;A1270,"")</f>
        <v/>
      </c>
      <c r="J1270" s="8"/>
      <c r="M1270" s="1"/>
      <c r="N1270" s="1"/>
      <c r="O1270" s="1"/>
      <c r="P1270" s="9"/>
      <c r="Q1270" s="9"/>
      <c r="R1270" s="8"/>
      <c r="S1270" s="8"/>
      <c r="T1270" s="1"/>
    </row>
    <row r="1271" spans="1:20" x14ac:dyDescent="0.2">
      <c r="A1271" s="14">
        <f t="shared" si="19"/>
        <v>1259</v>
      </c>
      <c r="E1271" s="12" t="str">
        <f>IF($C$8&gt;=A1271,$E$1&amp;" "&amp;A1271,"")</f>
        <v/>
      </c>
      <c r="J1271" s="8"/>
      <c r="M1271" s="1"/>
      <c r="N1271" s="1"/>
      <c r="O1271" s="1"/>
      <c r="P1271" s="9"/>
      <c r="Q1271" s="9"/>
      <c r="R1271" s="8"/>
      <c r="S1271" s="8"/>
      <c r="T1271" s="1"/>
    </row>
    <row r="1272" spans="1:20" x14ac:dyDescent="0.2">
      <c r="A1272" s="14">
        <f t="shared" si="19"/>
        <v>1260</v>
      </c>
      <c r="E1272" s="12" t="str">
        <f>IF($C$8&gt;=A1272,$E$1&amp;" "&amp;A1272,"")</f>
        <v/>
      </c>
      <c r="J1272" s="8"/>
      <c r="M1272" s="1"/>
      <c r="N1272" s="1"/>
      <c r="O1272" s="1"/>
      <c r="P1272" s="9"/>
      <c r="Q1272" s="9"/>
      <c r="R1272" s="8"/>
      <c r="S1272" s="8"/>
      <c r="T1272" s="1"/>
    </row>
    <row r="1273" spans="1:20" x14ac:dyDescent="0.2">
      <c r="A1273" s="14">
        <f t="shared" si="19"/>
        <v>1261</v>
      </c>
      <c r="E1273" s="12" t="str">
        <f>IF($C$8&gt;=A1273,$E$1&amp;" "&amp;A1273,"")</f>
        <v/>
      </c>
      <c r="J1273" s="8"/>
      <c r="M1273" s="1"/>
      <c r="N1273" s="1"/>
      <c r="O1273" s="1"/>
      <c r="P1273" s="9"/>
      <c r="Q1273" s="9"/>
      <c r="R1273" s="8"/>
      <c r="S1273" s="8"/>
      <c r="T1273" s="1"/>
    </row>
    <row r="1274" spans="1:20" x14ac:dyDescent="0.2">
      <c r="A1274" s="14">
        <f t="shared" si="19"/>
        <v>1262</v>
      </c>
      <c r="E1274" s="12" t="str">
        <f>IF($C$8&gt;=A1274,$E$1&amp;" "&amp;A1274,"")</f>
        <v/>
      </c>
      <c r="J1274" s="8"/>
      <c r="M1274" s="1"/>
      <c r="N1274" s="1"/>
      <c r="O1274" s="1"/>
      <c r="P1274" s="9"/>
      <c r="Q1274" s="9"/>
      <c r="R1274" s="8"/>
      <c r="S1274" s="8"/>
      <c r="T1274" s="1"/>
    </row>
    <row r="1275" spans="1:20" x14ac:dyDescent="0.2">
      <c r="A1275" s="14">
        <f t="shared" si="19"/>
        <v>1263</v>
      </c>
      <c r="E1275" s="12" t="str">
        <f>IF($C$8&gt;=A1275,$E$1&amp;" "&amp;A1275,"")</f>
        <v/>
      </c>
      <c r="J1275" s="8"/>
      <c r="M1275" s="1"/>
      <c r="N1275" s="1"/>
      <c r="O1275" s="1"/>
      <c r="P1275" s="9"/>
      <c r="Q1275" s="9"/>
      <c r="R1275" s="8"/>
      <c r="S1275" s="8"/>
      <c r="T1275" s="1"/>
    </row>
    <row r="1276" spans="1:20" x14ac:dyDescent="0.2">
      <c r="A1276" s="14">
        <f t="shared" si="19"/>
        <v>1264</v>
      </c>
      <c r="E1276" s="12" t="str">
        <f>IF($C$8&gt;=A1276,$E$1&amp;" "&amp;A1276,"")</f>
        <v/>
      </c>
      <c r="J1276" s="8"/>
      <c r="M1276" s="1"/>
      <c r="N1276" s="1"/>
      <c r="O1276" s="1"/>
      <c r="P1276" s="9"/>
      <c r="Q1276" s="9"/>
      <c r="R1276" s="8"/>
      <c r="S1276" s="8"/>
      <c r="T1276" s="1"/>
    </row>
    <row r="1277" spans="1:20" x14ac:dyDescent="0.2">
      <c r="A1277" s="14">
        <f t="shared" si="19"/>
        <v>1265</v>
      </c>
      <c r="E1277" s="12" t="str">
        <f>IF($C$8&gt;=A1277,$E$1&amp;" "&amp;A1277,"")</f>
        <v/>
      </c>
      <c r="J1277" s="8"/>
      <c r="M1277" s="1"/>
      <c r="N1277" s="1"/>
      <c r="O1277" s="1"/>
      <c r="P1277" s="9"/>
      <c r="Q1277" s="9"/>
      <c r="R1277" s="8"/>
      <c r="S1277" s="8"/>
      <c r="T1277" s="1"/>
    </row>
    <row r="1278" spans="1:20" x14ac:dyDescent="0.2">
      <c r="A1278" s="14">
        <f t="shared" si="19"/>
        <v>1266</v>
      </c>
      <c r="E1278" s="12" t="str">
        <f>IF($C$8&gt;=A1278,$E$1&amp;" "&amp;A1278,"")</f>
        <v/>
      </c>
      <c r="J1278" s="8"/>
      <c r="M1278" s="1"/>
      <c r="N1278" s="1"/>
      <c r="O1278" s="1"/>
      <c r="P1278" s="9"/>
      <c r="Q1278" s="9"/>
      <c r="R1278" s="8"/>
      <c r="S1278" s="8"/>
      <c r="T1278" s="1"/>
    </row>
    <row r="1279" spans="1:20" x14ac:dyDescent="0.2">
      <c r="A1279" s="14">
        <f t="shared" si="19"/>
        <v>1267</v>
      </c>
      <c r="E1279" s="12" t="str">
        <f>IF($C$8&gt;=A1279,$E$1&amp;" "&amp;A1279,"")</f>
        <v/>
      </c>
      <c r="J1279" s="8"/>
      <c r="M1279" s="1"/>
      <c r="N1279" s="1"/>
      <c r="O1279" s="1"/>
      <c r="P1279" s="9"/>
      <c r="Q1279" s="9"/>
      <c r="R1279" s="8"/>
      <c r="S1279" s="8"/>
      <c r="T1279" s="1"/>
    </row>
    <row r="1280" spans="1:20" x14ac:dyDescent="0.2">
      <c r="A1280" s="14">
        <f t="shared" si="19"/>
        <v>1268</v>
      </c>
      <c r="E1280" s="12" t="str">
        <f>IF($C$8&gt;=A1280,$E$1&amp;" "&amp;A1280,"")</f>
        <v/>
      </c>
      <c r="J1280" s="8"/>
      <c r="M1280" s="1"/>
      <c r="N1280" s="1"/>
      <c r="O1280" s="1"/>
      <c r="P1280" s="9"/>
      <c r="Q1280" s="9"/>
      <c r="R1280" s="8"/>
      <c r="S1280" s="8"/>
      <c r="T1280" s="1"/>
    </row>
    <row r="1281" spans="1:20" x14ac:dyDescent="0.2">
      <c r="A1281" s="14">
        <f t="shared" si="19"/>
        <v>1269</v>
      </c>
      <c r="E1281" s="12" t="str">
        <f>IF($C$8&gt;=A1281,$E$1&amp;" "&amp;A1281,"")</f>
        <v/>
      </c>
      <c r="J1281" s="8"/>
      <c r="M1281" s="1"/>
      <c r="N1281" s="1"/>
      <c r="O1281" s="1"/>
      <c r="P1281" s="9"/>
      <c r="Q1281" s="9"/>
      <c r="R1281" s="8"/>
      <c r="S1281" s="8"/>
      <c r="T1281" s="1"/>
    </row>
    <row r="1282" spans="1:20" x14ac:dyDescent="0.2">
      <c r="A1282" s="14">
        <f t="shared" si="19"/>
        <v>1270</v>
      </c>
      <c r="E1282" s="12" t="str">
        <f>IF($C$8&gt;=A1282,$E$1&amp;" "&amp;A1282,"")</f>
        <v/>
      </c>
      <c r="J1282" s="8"/>
      <c r="M1282" s="1"/>
      <c r="N1282" s="1"/>
      <c r="O1282" s="1"/>
      <c r="P1282" s="9"/>
      <c r="Q1282" s="9"/>
      <c r="R1282" s="8"/>
      <c r="S1282" s="8"/>
      <c r="T1282" s="1"/>
    </row>
    <row r="1283" spans="1:20" x14ac:dyDescent="0.2">
      <c r="A1283" s="14">
        <f t="shared" si="19"/>
        <v>1271</v>
      </c>
      <c r="E1283" s="12" t="str">
        <f>IF($C$8&gt;=A1283,$E$1&amp;" "&amp;A1283,"")</f>
        <v/>
      </c>
      <c r="J1283" s="8"/>
      <c r="M1283" s="1"/>
      <c r="N1283" s="1"/>
      <c r="O1283" s="1"/>
      <c r="P1283" s="9"/>
      <c r="Q1283" s="9"/>
      <c r="R1283" s="8"/>
      <c r="S1283" s="8"/>
      <c r="T1283" s="1"/>
    </row>
    <row r="1284" spans="1:20" x14ac:dyDescent="0.2">
      <c r="A1284" s="14">
        <f t="shared" si="19"/>
        <v>1272</v>
      </c>
      <c r="E1284" s="12" t="str">
        <f>IF($C$8&gt;=A1284,$E$1&amp;" "&amp;A1284,"")</f>
        <v/>
      </c>
      <c r="J1284" s="8"/>
      <c r="M1284" s="1"/>
      <c r="N1284" s="1"/>
      <c r="O1284" s="1"/>
      <c r="P1284" s="9"/>
      <c r="Q1284" s="9"/>
      <c r="R1284" s="8"/>
      <c r="S1284" s="8"/>
      <c r="T1284" s="1"/>
    </row>
    <row r="1285" spans="1:20" x14ac:dyDescent="0.2">
      <c r="A1285" s="14">
        <f t="shared" si="19"/>
        <v>1273</v>
      </c>
      <c r="E1285" s="12" t="str">
        <f>IF($C$8&gt;=A1285,$E$1&amp;" "&amp;A1285,"")</f>
        <v/>
      </c>
      <c r="J1285" s="8"/>
      <c r="M1285" s="1"/>
      <c r="N1285" s="1"/>
      <c r="O1285" s="1"/>
      <c r="P1285" s="9"/>
      <c r="Q1285" s="9"/>
      <c r="R1285" s="8"/>
      <c r="S1285" s="8"/>
      <c r="T1285" s="1"/>
    </row>
    <row r="1286" spans="1:20" x14ac:dyDescent="0.2">
      <c r="A1286" s="14">
        <f t="shared" si="19"/>
        <v>1274</v>
      </c>
      <c r="E1286" s="12" t="str">
        <f>IF($C$8&gt;=A1286,$E$1&amp;" "&amp;A1286,"")</f>
        <v/>
      </c>
      <c r="J1286" s="8"/>
      <c r="M1286" s="1"/>
      <c r="N1286" s="1"/>
      <c r="O1286" s="1"/>
      <c r="P1286" s="9"/>
      <c r="Q1286" s="9"/>
      <c r="R1286" s="8"/>
      <c r="S1286" s="8"/>
      <c r="T1286" s="1"/>
    </row>
    <row r="1287" spans="1:20" x14ac:dyDescent="0.2">
      <c r="A1287" s="14">
        <f t="shared" si="19"/>
        <v>1275</v>
      </c>
      <c r="E1287" s="12" t="str">
        <f>IF($C$8&gt;=A1287,$E$1&amp;" "&amp;A1287,"")</f>
        <v/>
      </c>
      <c r="J1287" s="8"/>
      <c r="M1287" s="1"/>
      <c r="N1287" s="1"/>
      <c r="O1287" s="1"/>
      <c r="P1287" s="9"/>
      <c r="Q1287" s="9"/>
      <c r="R1287" s="8"/>
      <c r="S1287" s="8"/>
      <c r="T1287" s="1"/>
    </row>
    <row r="1288" spans="1:20" x14ac:dyDescent="0.2">
      <c r="A1288" s="14">
        <f t="shared" si="19"/>
        <v>1276</v>
      </c>
      <c r="E1288" s="12" t="str">
        <f>IF($C$8&gt;=A1288,$E$1&amp;" "&amp;A1288,"")</f>
        <v/>
      </c>
      <c r="J1288" s="8"/>
      <c r="M1288" s="1"/>
      <c r="N1288" s="1"/>
      <c r="O1288" s="1"/>
      <c r="P1288" s="9"/>
      <c r="Q1288" s="9"/>
      <c r="R1288" s="8"/>
      <c r="S1288" s="8"/>
      <c r="T1288" s="1"/>
    </row>
    <row r="1289" spans="1:20" x14ac:dyDescent="0.2">
      <c r="A1289" s="14">
        <f t="shared" si="19"/>
        <v>1277</v>
      </c>
      <c r="E1289" s="12" t="str">
        <f>IF($C$8&gt;=A1289,$E$1&amp;" "&amp;A1289,"")</f>
        <v/>
      </c>
      <c r="J1289" s="8"/>
      <c r="M1289" s="1"/>
      <c r="N1289" s="1"/>
      <c r="O1289" s="1"/>
      <c r="P1289" s="9"/>
      <c r="Q1289" s="9"/>
      <c r="R1289" s="8"/>
      <c r="S1289" s="8"/>
      <c r="T1289" s="1"/>
    </row>
    <row r="1290" spans="1:20" x14ac:dyDescent="0.2">
      <c r="A1290" s="14">
        <f t="shared" si="19"/>
        <v>1278</v>
      </c>
      <c r="E1290" s="12" t="str">
        <f>IF($C$8&gt;=A1290,$E$1&amp;" "&amp;A1290,"")</f>
        <v/>
      </c>
      <c r="J1290" s="8"/>
      <c r="M1290" s="1"/>
      <c r="N1290" s="1"/>
      <c r="O1290" s="1"/>
      <c r="P1290" s="9"/>
      <c r="Q1290" s="9"/>
      <c r="R1290" s="8"/>
      <c r="S1290" s="8"/>
      <c r="T1290" s="1"/>
    </row>
    <row r="1291" spans="1:20" x14ac:dyDescent="0.2">
      <c r="A1291" s="14">
        <f t="shared" si="19"/>
        <v>1279</v>
      </c>
      <c r="E1291" s="12" t="str">
        <f>IF($C$8&gt;=A1291,$E$1&amp;" "&amp;A1291,"")</f>
        <v/>
      </c>
      <c r="J1291" s="8"/>
      <c r="M1291" s="1"/>
      <c r="N1291" s="1"/>
      <c r="O1291" s="1"/>
      <c r="P1291" s="9"/>
      <c r="Q1291" s="9"/>
      <c r="R1291" s="8"/>
      <c r="S1291" s="8"/>
      <c r="T1291" s="1"/>
    </row>
    <row r="1292" spans="1:20" x14ac:dyDescent="0.2">
      <c r="A1292" s="14">
        <f t="shared" si="19"/>
        <v>1280</v>
      </c>
      <c r="E1292" s="12" t="str">
        <f>IF($C$8&gt;=A1292,$E$1&amp;" "&amp;A1292,"")</f>
        <v/>
      </c>
      <c r="J1292" s="8"/>
      <c r="M1292" s="1"/>
      <c r="N1292" s="1"/>
      <c r="O1292" s="1"/>
      <c r="P1292" s="9"/>
      <c r="Q1292" s="9"/>
      <c r="R1292" s="8"/>
      <c r="S1292" s="8"/>
      <c r="T1292" s="1"/>
    </row>
    <row r="1293" spans="1:20" x14ac:dyDescent="0.2">
      <c r="A1293" s="14">
        <f t="shared" si="19"/>
        <v>1281</v>
      </c>
      <c r="E1293" s="12" t="str">
        <f>IF($C$8&gt;=A1293,$E$1&amp;" "&amp;A1293,"")</f>
        <v/>
      </c>
      <c r="J1293" s="8"/>
      <c r="M1293" s="1"/>
      <c r="N1293" s="1"/>
      <c r="O1293" s="1"/>
      <c r="P1293" s="9"/>
      <c r="Q1293" s="9"/>
      <c r="R1293" s="8"/>
      <c r="S1293" s="8"/>
      <c r="T1293" s="1"/>
    </row>
    <row r="1294" spans="1:20" x14ac:dyDescent="0.2">
      <c r="A1294" s="14">
        <f t="shared" si="19"/>
        <v>1282</v>
      </c>
      <c r="E1294" s="12" t="str">
        <f>IF($C$8&gt;=A1294,$E$1&amp;" "&amp;A1294,"")</f>
        <v/>
      </c>
      <c r="J1294" s="8"/>
      <c r="M1294" s="1"/>
      <c r="N1294" s="1"/>
      <c r="O1294" s="1"/>
      <c r="P1294" s="9"/>
      <c r="Q1294" s="9"/>
      <c r="R1294" s="8"/>
      <c r="S1294" s="8"/>
      <c r="T1294" s="1"/>
    </row>
    <row r="1295" spans="1:20" x14ac:dyDescent="0.2">
      <c r="A1295" s="14">
        <f t="shared" ref="A1295:A1358" si="20">A1294+1</f>
        <v>1283</v>
      </c>
      <c r="E1295" s="12" t="str">
        <f>IF($C$8&gt;=A1295,$E$1&amp;" "&amp;A1295,"")</f>
        <v/>
      </c>
      <c r="J1295" s="8"/>
      <c r="M1295" s="1"/>
      <c r="N1295" s="1"/>
      <c r="O1295" s="1"/>
      <c r="P1295" s="9"/>
      <c r="Q1295" s="9"/>
      <c r="R1295" s="8"/>
      <c r="S1295" s="8"/>
      <c r="T1295" s="1"/>
    </row>
    <row r="1296" spans="1:20" x14ac:dyDescent="0.2">
      <c r="A1296" s="14">
        <f t="shared" si="20"/>
        <v>1284</v>
      </c>
      <c r="E1296" s="12" t="str">
        <f>IF($C$8&gt;=A1296,$E$1&amp;" "&amp;A1296,"")</f>
        <v/>
      </c>
      <c r="J1296" s="8"/>
      <c r="M1296" s="1"/>
      <c r="N1296" s="1"/>
      <c r="O1296" s="1"/>
      <c r="P1296" s="9"/>
      <c r="Q1296" s="9"/>
      <c r="R1296" s="8"/>
      <c r="S1296" s="8"/>
      <c r="T1296" s="1"/>
    </row>
    <row r="1297" spans="1:20" x14ac:dyDescent="0.2">
      <c r="A1297" s="14">
        <f t="shared" si="20"/>
        <v>1285</v>
      </c>
      <c r="E1297" s="12" t="str">
        <f>IF($C$8&gt;=A1297,$E$1&amp;" "&amp;A1297,"")</f>
        <v/>
      </c>
      <c r="J1297" s="8"/>
      <c r="M1297" s="1"/>
      <c r="N1297" s="1"/>
      <c r="O1297" s="1"/>
      <c r="P1297" s="9"/>
      <c r="Q1297" s="9"/>
      <c r="R1297" s="8"/>
      <c r="S1297" s="8"/>
      <c r="T1297" s="1"/>
    </row>
    <row r="1298" spans="1:20" x14ac:dyDescent="0.2">
      <c r="A1298" s="14">
        <f t="shared" si="20"/>
        <v>1286</v>
      </c>
      <c r="E1298" s="12" t="str">
        <f>IF($C$8&gt;=A1298,$E$1&amp;" "&amp;A1298,"")</f>
        <v/>
      </c>
      <c r="J1298" s="8"/>
      <c r="M1298" s="1"/>
      <c r="N1298" s="1"/>
      <c r="O1298" s="1"/>
      <c r="P1298" s="9"/>
      <c r="Q1298" s="9"/>
      <c r="R1298" s="8"/>
      <c r="S1298" s="8"/>
      <c r="T1298" s="1"/>
    </row>
    <row r="1299" spans="1:20" x14ac:dyDescent="0.2">
      <c r="A1299" s="14">
        <f t="shared" si="20"/>
        <v>1287</v>
      </c>
      <c r="E1299" s="12" t="str">
        <f>IF($C$8&gt;=A1299,$E$1&amp;" "&amp;A1299,"")</f>
        <v/>
      </c>
      <c r="J1299" s="8"/>
      <c r="M1299" s="1"/>
      <c r="N1299" s="1"/>
      <c r="O1299" s="1"/>
      <c r="P1299" s="9"/>
      <c r="Q1299" s="9"/>
      <c r="R1299" s="8"/>
      <c r="S1299" s="8"/>
      <c r="T1299" s="1"/>
    </row>
    <row r="1300" spans="1:20" x14ac:dyDescent="0.2">
      <c r="A1300" s="14">
        <f t="shared" si="20"/>
        <v>1288</v>
      </c>
      <c r="E1300" s="12" t="str">
        <f>IF($C$8&gt;=A1300,$E$1&amp;" "&amp;A1300,"")</f>
        <v/>
      </c>
      <c r="J1300" s="8"/>
      <c r="M1300" s="1"/>
      <c r="N1300" s="1"/>
      <c r="O1300" s="1"/>
      <c r="P1300" s="9"/>
      <c r="Q1300" s="9"/>
      <c r="R1300" s="8"/>
      <c r="S1300" s="8"/>
      <c r="T1300" s="1"/>
    </row>
    <row r="1301" spans="1:20" x14ac:dyDescent="0.2">
      <c r="A1301" s="14">
        <f t="shared" si="20"/>
        <v>1289</v>
      </c>
      <c r="E1301" s="12" t="str">
        <f>IF($C$8&gt;=A1301,$E$1&amp;" "&amp;A1301,"")</f>
        <v/>
      </c>
      <c r="J1301" s="8"/>
      <c r="M1301" s="1"/>
      <c r="N1301" s="1"/>
      <c r="O1301" s="1"/>
      <c r="P1301" s="9"/>
      <c r="Q1301" s="9"/>
      <c r="R1301" s="8"/>
      <c r="S1301" s="8"/>
      <c r="T1301" s="1"/>
    </row>
    <row r="1302" spans="1:20" x14ac:dyDescent="0.2">
      <c r="A1302" s="14">
        <f t="shared" si="20"/>
        <v>1290</v>
      </c>
      <c r="E1302" s="12" t="str">
        <f>IF($C$8&gt;=A1302,$E$1&amp;" "&amp;A1302,"")</f>
        <v/>
      </c>
      <c r="J1302" s="8"/>
      <c r="M1302" s="1"/>
      <c r="N1302" s="1"/>
      <c r="O1302" s="1"/>
      <c r="P1302" s="9"/>
      <c r="Q1302" s="9"/>
      <c r="R1302" s="8"/>
      <c r="S1302" s="8"/>
      <c r="T1302" s="1"/>
    </row>
    <row r="1303" spans="1:20" x14ac:dyDescent="0.2">
      <c r="A1303" s="14">
        <f t="shared" si="20"/>
        <v>1291</v>
      </c>
      <c r="E1303" s="12" t="str">
        <f>IF($C$8&gt;=A1303,$E$1&amp;" "&amp;A1303,"")</f>
        <v/>
      </c>
      <c r="J1303" s="8"/>
      <c r="M1303" s="1"/>
      <c r="N1303" s="1"/>
      <c r="O1303" s="1"/>
      <c r="P1303" s="9"/>
      <c r="Q1303" s="9"/>
      <c r="R1303" s="8"/>
      <c r="S1303" s="8"/>
      <c r="T1303" s="1"/>
    </row>
    <row r="1304" spans="1:20" x14ac:dyDescent="0.2">
      <c r="A1304" s="14">
        <f t="shared" si="20"/>
        <v>1292</v>
      </c>
      <c r="E1304" s="12" t="str">
        <f>IF($C$8&gt;=A1304,$E$1&amp;" "&amp;A1304,"")</f>
        <v/>
      </c>
      <c r="J1304" s="8"/>
      <c r="M1304" s="1"/>
      <c r="N1304" s="1"/>
      <c r="O1304" s="1"/>
      <c r="P1304" s="9"/>
      <c r="Q1304" s="9"/>
      <c r="R1304" s="8"/>
      <c r="S1304" s="8"/>
      <c r="T1304" s="1"/>
    </row>
    <row r="1305" spans="1:20" x14ac:dyDescent="0.2">
      <c r="A1305" s="14">
        <f t="shared" si="20"/>
        <v>1293</v>
      </c>
      <c r="E1305" s="12" t="str">
        <f>IF($C$8&gt;=A1305,$E$1&amp;" "&amp;A1305,"")</f>
        <v/>
      </c>
      <c r="J1305" s="8"/>
      <c r="M1305" s="1"/>
      <c r="N1305" s="1"/>
      <c r="O1305" s="1"/>
      <c r="P1305" s="9"/>
      <c r="Q1305" s="9"/>
      <c r="R1305" s="8"/>
      <c r="S1305" s="8"/>
      <c r="T1305" s="1"/>
    </row>
    <row r="1306" spans="1:20" x14ac:dyDescent="0.2">
      <c r="A1306" s="14">
        <f t="shared" si="20"/>
        <v>1294</v>
      </c>
      <c r="E1306" s="12" t="str">
        <f>IF($C$8&gt;=A1306,$E$1&amp;" "&amp;A1306,"")</f>
        <v/>
      </c>
      <c r="J1306" s="8"/>
      <c r="M1306" s="1"/>
      <c r="N1306" s="1"/>
      <c r="O1306" s="1"/>
      <c r="P1306" s="9"/>
      <c r="Q1306" s="9"/>
      <c r="R1306" s="8"/>
      <c r="S1306" s="8"/>
      <c r="T1306" s="1"/>
    </row>
    <row r="1307" spans="1:20" x14ac:dyDescent="0.2">
      <c r="A1307" s="14">
        <f t="shared" si="20"/>
        <v>1295</v>
      </c>
      <c r="E1307" s="12" t="str">
        <f>IF($C$8&gt;=A1307,$E$1&amp;" "&amp;A1307,"")</f>
        <v/>
      </c>
      <c r="J1307" s="8"/>
      <c r="M1307" s="1"/>
      <c r="N1307" s="1"/>
      <c r="O1307" s="1"/>
      <c r="P1307" s="9"/>
      <c r="Q1307" s="9"/>
      <c r="R1307" s="8"/>
      <c r="S1307" s="8"/>
      <c r="T1307" s="1"/>
    </row>
    <row r="1308" spans="1:20" x14ac:dyDescent="0.2">
      <c r="A1308" s="14">
        <f t="shared" si="20"/>
        <v>1296</v>
      </c>
      <c r="E1308" s="12" t="str">
        <f>IF($C$8&gt;=A1308,$E$1&amp;" "&amp;A1308,"")</f>
        <v/>
      </c>
      <c r="J1308" s="8"/>
      <c r="M1308" s="1"/>
      <c r="N1308" s="1"/>
      <c r="O1308" s="1"/>
      <c r="P1308" s="9"/>
      <c r="Q1308" s="9"/>
      <c r="R1308" s="8"/>
      <c r="S1308" s="8"/>
      <c r="T1308" s="1"/>
    </row>
    <row r="1309" spans="1:20" x14ac:dyDescent="0.2">
      <c r="A1309" s="14">
        <f t="shared" si="20"/>
        <v>1297</v>
      </c>
      <c r="E1309" s="12" t="str">
        <f>IF($C$8&gt;=A1309,$E$1&amp;" "&amp;A1309,"")</f>
        <v/>
      </c>
      <c r="J1309" s="8"/>
      <c r="M1309" s="1"/>
      <c r="N1309" s="1"/>
      <c r="O1309" s="1"/>
      <c r="P1309" s="9"/>
      <c r="Q1309" s="9"/>
      <c r="R1309" s="8"/>
      <c r="S1309" s="8"/>
      <c r="T1309" s="1"/>
    </row>
    <row r="1310" spans="1:20" x14ac:dyDescent="0.2">
      <c r="A1310" s="14">
        <f t="shared" si="20"/>
        <v>1298</v>
      </c>
      <c r="E1310" s="12" t="str">
        <f>IF($C$8&gt;=A1310,$E$1&amp;" "&amp;A1310,"")</f>
        <v/>
      </c>
      <c r="J1310" s="8"/>
      <c r="M1310" s="1"/>
      <c r="N1310" s="1"/>
      <c r="O1310" s="1"/>
      <c r="P1310" s="9"/>
      <c r="Q1310" s="9"/>
      <c r="R1310" s="8"/>
      <c r="S1310" s="8"/>
      <c r="T1310" s="1"/>
    </row>
    <row r="1311" spans="1:20" x14ac:dyDescent="0.2">
      <c r="A1311" s="14">
        <f t="shared" si="20"/>
        <v>1299</v>
      </c>
      <c r="E1311" s="12" t="str">
        <f>IF($C$8&gt;=A1311,$E$1&amp;" "&amp;A1311,"")</f>
        <v/>
      </c>
      <c r="J1311" s="8"/>
      <c r="M1311" s="1"/>
      <c r="N1311" s="1"/>
      <c r="O1311" s="1"/>
      <c r="P1311" s="9"/>
      <c r="Q1311" s="9"/>
      <c r="R1311" s="8"/>
      <c r="S1311" s="8"/>
      <c r="T1311" s="1"/>
    </row>
    <row r="1312" spans="1:20" x14ac:dyDescent="0.2">
      <c r="A1312" s="14">
        <f t="shared" si="20"/>
        <v>1300</v>
      </c>
      <c r="E1312" s="12" t="str">
        <f>IF($C$8&gt;=A1312,$E$1&amp;" "&amp;A1312,"")</f>
        <v/>
      </c>
      <c r="J1312" s="8"/>
      <c r="M1312" s="1"/>
      <c r="N1312" s="1"/>
      <c r="O1312" s="1"/>
      <c r="P1312" s="9"/>
      <c r="Q1312" s="9"/>
      <c r="R1312" s="8"/>
      <c r="S1312" s="8"/>
      <c r="T1312" s="1"/>
    </row>
    <row r="1313" spans="1:20" x14ac:dyDescent="0.2">
      <c r="A1313" s="14">
        <f t="shared" si="20"/>
        <v>1301</v>
      </c>
      <c r="E1313" s="12" t="str">
        <f>IF($C$8&gt;=A1313,$E$1&amp;" "&amp;A1313,"")</f>
        <v/>
      </c>
      <c r="J1313" s="8"/>
      <c r="M1313" s="1"/>
      <c r="N1313" s="1"/>
      <c r="O1313" s="1"/>
      <c r="P1313" s="9"/>
      <c r="Q1313" s="9"/>
      <c r="R1313" s="8"/>
      <c r="S1313" s="8"/>
      <c r="T1313" s="1"/>
    </row>
    <row r="1314" spans="1:20" x14ac:dyDescent="0.2">
      <c r="A1314" s="14">
        <f t="shared" si="20"/>
        <v>1302</v>
      </c>
      <c r="E1314" s="12" t="str">
        <f>IF($C$8&gt;=A1314,$E$1&amp;" "&amp;A1314,"")</f>
        <v/>
      </c>
      <c r="J1314" s="8"/>
      <c r="M1314" s="1"/>
      <c r="N1314" s="1"/>
      <c r="O1314" s="1"/>
      <c r="P1314" s="9"/>
      <c r="Q1314" s="9"/>
      <c r="R1314" s="8"/>
      <c r="S1314" s="8"/>
      <c r="T1314" s="1"/>
    </row>
    <row r="1315" spans="1:20" x14ac:dyDescent="0.2">
      <c r="A1315" s="14">
        <f t="shared" si="20"/>
        <v>1303</v>
      </c>
      <c r="E1315" s="12" t="str">
        <f>IF($C$8&gt;=A1315,$E$1&amp;" "&amp;A1315,"")</f>
        <v/>
      </c>
      <c r="J1315" s="8"/>
      <c r="M1315" s="1"/>
      <c r="N1315" s="1"/>
      <c r="O1315" s="1"/>
      <c r="P1315" s="9"/>
      <c r="Q1315" s="9"/>
      <c r="R1315" s="8"/>
      <c r="S1315" s="8"/>
      <c r="T1315" s="1"/>
    </row>
    <row r="1316" spans="1:20" x14ac:dyDescent="0.2">
      <c r="A1316" s="14">
        <f t="shared" si="20"/>
        <v>1304</v>
      </c>
      <c r="E1316" s="12" t="str">
        <f>IF($C$8&gt;=A1316,$E$1&amp;" "&amp;A1316,"")</f>
        <v/>
      </c>
      <c r="J1316" s="8"/>
      <c r="M1316" s="1"/>
      <c r="N1316" s="1"/>
      <c r="O1316" s="1"/>
      <c r="P1316" s="9"/>
      <c r="Q1316" s="9"/>
      <c r="R1316" s="8"/>
      <c r="S1316" s="8"/>
      <c r="T1316" s="1"/>
    </row>
    <row r="1317" spans="1:20" x14ac:dyDescent="0.2">
      <c r="A1317" s="14">
        <f t="shared" si="20"/>
        <v>1305</v>
      </c>
      <c r="E1317" s="12" t="str">
        <f>IF($C$8&gt;=A1317,$E$1&amp;" "&amp;A1317,"")</f>
        <v/>
      </c>
      <c r="J1317" s="8"/>
      <c r="M1317" s="1"/>
      <c r="N1317" s="1"/>
      <c r="O1317" s="1"/>
      <c r="P1317" s="9"/>
      <c r="Q1317" s="9"/>
      <c r="R1317" s="8"/>
      <c r="S1317" s="8"/>
      <c r="T1317" s="1"/>
    </row>
    <row r="1318" spans="1:20" x14ac:dyDescent="0.2">
      <c r="A1318" s="14">
        <f t="shared" si="20"/>
        <v>1306</v>
      </c>
      <c r="E1318" s="12" t="str">
        <f>IF($C$8&gt;=A1318,$E$1&amp;" "&amp;A1318,"")</f>
        <v/>
      </c>
      <c r="J1318" s="8"/>
      <c r="M1318" s="1"/>
      <c r="N1318" s="1"/>
      <c r="O1318" s="1"/>
      <c r="P1318" s="9"/>
      <c r="Q1318" s="9"/>
      <c r="R1318" s="8"/>
      <c r="S1318" s="8"/>
      <c r="T1318" s="1"/>
    </row>
    <row r="1319" spans="1:20" x14ac:dyDescent="0.2">
      <c r="A1319" s="14">
        <f t="shared" si="20"/>
        <v>1307</v>
      </c>
      <c r="E1319" s="12" t="str">
        <f>IF($C$8&gt;=A1319,$E$1&amp;" "&amp;A1319,"")</f>
        <v/>
      </c>
      <c r="J1319" s="8"/>
      <c r="M1319" s="1"/>
      <c r="N1319" s="1"/>
      <c r="O1319" s="1"/>
      <c r="P1319" s="9"/>
      <c r="Q1319" s="9"/>
      <c r="R1319" s="8"/>
      <c r="S1319" s="8"/>
      <c r="T1319" s="1"/>
    </row>
    <row r="1320" spans="1:20" x14ac:dyDescent="0.2">
      <c r="A1320" s="14">
        <f t="shared" si="20"/>
        <v>1308</v>
      </c>
      <c r="E1320" s="12" t="str">
        <f>IF($C$8&gt;=A1320,$E$1&amp;" "&amp;A1320,"")</f>
        <v/>
      </c>
      <c r="J1320" s="8"/>
      <c r="M1320" s="1"/>
      <c r="N1320" s="1"/>
      <c r="O1320" s="1"/>
      <c r="P1320" s="9"/>
      <c r="Q1320" s="9"/>
      <c r="R1320" s="8"/>
      <c r="S1320" s="8"/>
      <c r="T1320" s="1"/>
    </row>
    <row r="1321" spans="1:20" x14ac:dyDescent="0.2">
      <c r="A1321" s="14">
        <f t="shared" si="20"/>
        <v>1309</v>
      </c>
      <c r="E1321" s="12" t="str">
        <f>IF($C$8&gt;=A1321,$E$1&amp;" "&amp;A1321,"")</f>
        <v/>
      </c>
      <c r="J1321" s="8"/>
      <c r="M1321" s="1"/>
      <c r="N1321" s="1"/>
      <c r="O1321" s="1"/>
      <c r="P1321" s="9"/>
      <c r="Q1321" s="9"/>
      <c r="R1321" s="8"/>
      <c r="S1321" s="8"/>
      <c r="T1321" s="1"/>
    </row>
    <row r="1322" spans="1:20" x14ac:dyDescent="0.2">
      <c r="A1322" s="14">
        <f t="shared" si="20"/>
        <v>1310</v>
      </c>
      <c r="E1322" s="12" t="str">
        <f>IF($C$8&gt;=A1322,$E$1&amp;" "&amp;A1322,"")</f>
        <v/>
      </c>
      <c r="J1322" s="8"/>
      <c r="M1322" s="1"/>
      <c r="N1322" s="1"/>
      <c r="O1322" s="1"/>
      <c r="P1322" s="9"/>
      <c r="Q1322" s="9"/>
      <c r="R1322" s="8"/>
      <c r="S1322" s="8"/>
      <c r="T1322" s="1"/>
    </row>
    <row r="1323" spans="1:20" x14ac:dyDescent="0.2">
      <c r="A1323" s="14">
        <f t="shared" si="20"/>
        <v>1311</v>
      </c>
      <c r="E1323" s="12" t="str">
        <f>IF($C$8&gt;=A1323,$E$1&amp;" "&amp;A1323,"")</f>
        <v/>
      </c>
      <c r="J1323" s="8"/>
      <c r="M1323" s="1"/>
      <c r="N1323" s="1"/>
      <c r="O1323" s="1"/>
      <c r="P1323" s="9"/>
      <c r="Q1323" s="9"/>
      <c r="R1323" s="8"/>
      <c r="S1323" s="8"/>
      <c r="T1323" s="1"/>
    </row>
    <row r="1324" spans="1:20" x14ac:dyDescent="0.2">
      <c r="A1324" s="14">
        <f t="shared" si="20"/>
        <v>1312</v>
      </c>
      <c r="E1324" s="12" t="str">
        <f>IF($C$8&gt;=A1324,$E$1&amp;" "&amp;A1324,"")</f>
        <v/>
      </c>
      <c r="J1324" s="8"/>
      <c r="M1324" s="1"/>
      <c r="N1324" s="1"/>
      <c r="O1324" s="1"/>
      <c r="P1324" s="9"/>
      <c r="Q1324" s="9"/>
      <c r="R1324" s="8"/>
      <c r="S1324" s="8"/>
      <c r="T1324" s="1"/>
    </row>
    <row r="1325" spans="1:20" x14ac:dyDescent="0.2">
      <c r="A1325" s="14">
        <f t="shared" si="20"/>
        <v>1313</v>
      </c>
      <c r="E1325" s="12" t="str">
        <f>IF($C$8&gt;=A1325,$E$1&amp;" "&amp;A1325,"")</f>
        <v/>
      </c>
      <c r="J1325" s="8"/>
      <c r="M1325" s="1"/>
      <c r="N1325" s="1"/>
      <c r="O1325" s="1"/>
      <c r="P1325" s="9"/>
      <c r="Q1325" s="9"/>
      <c r="R1325" s="8"/>
      <c r="S1325" s="8"/>
      <c r="T1325" s="1"/>
    </row>
    <row r="1326" spans="1:20" x14ac:dyDescent="0.2">
      <c r="A1326" s="14">
        <f t="shared" si="20"/>
        <v>1314</v>
      </c>
      <c r="E1326" s="12" t="str">
        <f>IF($C$8&gt;=A1326,$E$1&amp;" "&amp;A1326,"")</f>
        <v/>
      </c>
      <c r="J1326" s="8"/>
      <c r="M1326" s="1"/>
      <c r="N1326" s="1"/>
      <c r="O1326" s="1"/>
      <c r="P1326" s="9"/>
      <c r="Q1326" s="9"/>
      <c r="R1326" s="8"/>
      <c r="S1326" s="8"/>
      <c r="T1326" s="1"/>
    </row>
    <row r="1327" spans="1:20" x14ac:dyDescent="0.2">
      <c r="A1327" s="14">
        <f t="shared" si="20"/>
        <v>1315</v>
      </c>
      <c r="E1327" s="12" t="str">
        <f>IF($C$8&gt;=A1327,$E$1&amp;" "&amp;A1327,"")</f>
        <v/>
      </c>
      <c r="J1327" s="8"/>
      <c r="M1327" s="1"/>
      <c r="N1327" s="1"/>
      <c r="O1327" s="1"/>
      <c r="P1327" s="9"/>
      <c r="Q1327" s="9"/>
      <c r="R1327" s="8"/>
      <c r="S1327" s="8"/>
      <c r="T1327" s="1"/>
    </row>
    <row r="1328" spans="1:20" x14ac:dyDescent="0.2">
      <c r="A1328" s="14">
        <f t="shared" si="20"/>
        <v>1316</v>
      </c>
      <c r="E1328" s="12" t="str">
        <f>IF($C$8&gt;=A1328,$E$1&amp;" "&amp;A1328,"")</f>
        <v/>
      </c>
      <c r="J1328" s="8"/>
      <c r="M1328" s="1"/>
      <c r="N1328" s="1"/>
      <c r="O1328" s="1"/>
      <c r="P1328" s="9"/>
      <c r="Q1328" s="9"/>
      <c r="R1328" s="8"/>
      <c r="S1328" s="8"/>
      <c r="T1328" s="1"/>
    </row>
    <row r="1329" spans="1:20" x14ac:dyDescent="0.2">
      <c r="A1329" s="14">
        <f t="shared" si="20"/>
        <v>1317</v>
      </c>
      <c r="E1329" s="12" t="str">
        <f>IF($C$8&gt;=A1329,$E$1&amp;" "&amp;A1329,"")</f>
        <v/>
      </c>
      <c r="J1329" s="8"/>
      <c r="M1329" s="1"/>
      <c r="N1329" s="1"/>
      <c r="O1329" s="1"/>
      <c r="P1329" s="9"/>
      <c r="Q1329" s="9"/>
      <c r="R1329" s="8"/>
      <c r="S1329" s="8"/>
      <c r="T1329" s="1"/>
    </row>
    <row r="1330" spans="1:20" x14ac:dyDescent="0.2">
      <c r="A1330" s="14">
        <f t="shared" si="20"/>
        <v>1318</v>
      </c>
      <c r="E1330" s="12" t="str">
        <f>IF($C$8&gt;=A1330,$E$1&amp;" "&amp;A1330,"")</f>
        <v/>
      </c>
      <c r="J1330" s="8"/>
      <c r="M1330" s="1"/>
      <c r="N1330" s="1"/>
      <c r="O1330" s="1"/>
      <c r="P1330" s="9"/>
      <c r="Q1330" s="9"/>
      <c r="R1330" s="8"/>
      <c r="S1330" s="8"/>
      <c r="T1330" s="1"/>
    </row>
    <row r="1331" spans="1:20" x14ac:dyDescent="0.2">
      <c r="A1331" s="14">
        <f t="shared" si="20"/>
        <v>1319</v>
      </c>
      <c r="E1331" s="12" t="str">
        <f>IF($C$8&gt;=A1331,$E$1&amp;" "&amp;A1331,"")</f>
        <v/>
      </c>
      <c r="J1331" s="8"/>
      <c r="M1331" s="1"/>
      <c r="N1331" s="1"/>
      <c r="O1331" s="1"/>
      <c r="P1331" s="9"/>
      <c r="Q1331" s="9"/>
      <c r="R1331" s="8"/>
      <c r="S1331" s="8"/>
      <c r="T1331" s="1"/>
    </row>
    <row r="1332" spans="1:20" x14ac:dyDescent="0.2">
      <c r="A1332" s="14">
        <f t="shared" si="20"/>
        <v>1320</v>
      </c>
      <c r="E1332" s="12" t="str">
        <f>IF($C$8&gt;=A1332,$E$1&amp;" "&amp;A1332,"")</f>
        <v/>
      </c>
      <c r="J1332" s="8"/>
      <c r="M1332" s="1"/>
      <c r="N1332" s="1"/>
      <c r="O1332" s="1"/>
      <c r="P1332" s="9"/>
      <c r="Q1332" s="9"/>
      <c r="R1332" s="8"/>
      <c r="S1332" s="8"/>
      <c r="T1332" s="1"/>
    </row>
    <row r="1333" spans="1:20" x14ac:dyDescent="0.2">
      <c r="A1333" s="14">
        <f t="shared" si="20"/>
        <v>1321</v>
      </c>
      <c r="E1333" s="12" t="str">
        <f>IF($C$8&gt;=A1333,$E$1&amp;" "&amp;A1333,"")</f>
        <v/>
      </c>
      <c r="J1333" s="8"/>
      <c r="M1333" s="1"/>
      <c r="N1333" s="1"/>
      <c r="O1333" s="1"/>
      <c r="P1333" s="9"/>
      <c r="Q1333" s="9"/>
      <c r="R1333" s="8"/>
      <c r="S1333" s="8"/>
      <c r="T1333" s="1"/>
    </row>
    <row r="1334" spans="1:20" x14ac:dyDescent="0.2">
      <c r="A1334" s="14">
        <f t="shared" si="20"/>
        <v>1322</v>
      </c>
      <c r="E1334" s="12" t="str">
        <f>IF($C$8&gt;=A1334,$E$1&amp;" "&amp;A1334,"")</f>
        <v/>
      </c>
      <c r="J1334" s="8"/>
      <c r="M1334" s="1"/>
      <c r="N1334" s="1"/>
      <c r="O1334" s="1"/>
      <c r="P1334" s="9"/>
      <c r="Q1334" s="9"/>
      <c r="R1334" s="8"/>
      <c r="S1334" s="8"/>
      <c r="T1334" s="1"/>
    </row>
    <row r="1335" spans="1:20" x14ac:dyDescent="0.2">
      <c r="A1335" s="14">
        <f t="shared" si="20"/>
        <v>1323</v>
      </c>
      <c r="E1335" s="12" t="str">
        <f>IF($C$8&gt;=A1335,$E$1&amp;" "&amp;A1335,"")</f>
        <v/>
      </c>
      <c r="J1335" s="8"/>
      <c r="M1335" s="1"/>
      <c r="N1335" s="1"/>
      <c r="O1335" s="1"/>
      <c r="P1335" s="9"/>
      <c r="Q1335" s="9"/>
      <c r="R1335" s="8"/>
      <c r="S1335" s="8"/>
      <c r="T1335" s="1"/>
    </row>
    <row r="1336" spans="1:20" x14ac:dyDescent="0.2">
      <c r="A1336" s="14">
        <f t="shared" si="20"/>
        <v>1324</v>
      </c>
      <c r="E1336" s="12" t="str">
        <f>IF($C$8&gt;=A1336,$E$1&amp;" "&amp;A1336,"")</f>
        <v/>
      </c>
      <c r="J1336" s="8"/>
      <c r="M1336" s="1"/>
      <c r="N1336" s="1"/>
      <c r="O1336" s="1"/>
      <c r="P1336" s="9"/>
      <c r="Q1336" s="9"/>
      <c r="R1336" s="8"/>
      <c r="S1336" s="8"/>
      <c r="T1336" s="1"/>
    </row>
    <row r="1337" spans="1:20" x14ac:dyDescent="0.2">
      <c r="A1337" s="14">
        <f t="shared" si="20"/>
        <v>1325</v>
      </c>
      <c r="E1337" s="12" t="str">
        <f>IF($C$8&gt;=A1337,$E$1&amp;" "&amp;A1337,"")</f>
        <v/>
      </c>
      <c r="J1337" s="8"/>
      <c r="M1337" s="1"/>
      <c r="N1337" s="1"/>
      <c r="O1337" s="1"/>
      <c r="P1337" s="9"/>
      <c r="Q1337" s="9"/>
      <c r="R1337" s="8"/>
      <c r="S1337" s="8"/>
      <c r="T1337" s="1"/>
    </row>
    <row r="1338" spans="1:20" x14ac:dyDescent="0.2">
      <c r="A1338" s="14">
        <f t="shared" si="20"/>
        <v>1326</v>
      </c>
      <c r="E1338" s="12" t="str">
        <f>IF($C$8&gt;=A1338,$E$1&amp;" "&amp;A1338,"")</f>
        <v/>
      </c>
      <c r="J1338" s="8"/>
      <c r="M1338" s="1"/>
      <c r="N1338" s="1"/>
      <c r="O1338" s="1"/>
      <c r="P1338" s="9"/>
      <c r="Q1338" s="9"/>
      <c r="R1338" s="8"/>
      <c r="S1338" s="8"/>
      <c r="T1338" s="1"/>
    </row>
    <row r="1339" spans="1:20" x14ac:dyDescent="0.2">
      <c r="A1339" s="14">
        <f t="shared" si="20"/>
        <v>1327</v>
      </c>
      <c r="E1339" s="12" t="str">
        <f>IF($C$8&gt;=A1339,$E$1&amp;" "&amp;A1339,"")</f>
        <v/>
      </c>
      <c r="J1339" s="8"/>
      <c r="M1339" s="1"/>
      <c r="N1339" s="1"/>
      <c r="O1339" s="1"/>
      <c r="P1339" s="9"/>
      <c r="Q1339" s="9"/>
      <c r="R1339" s="8"/>
      <c r="S1339" s="8"/>
      <c r="T1339" s="1"/>
    </row>
    <row r="1340" spans="1:20" x14ac:dyDescent="0.2">
      <c r="A1340" s="14">
        <f t="shared" si="20"/>
        <v>1328</v>
      </c>
      <c r="E1340" s="12" t="str">
        <f>IF($C$8&gt;=A1340,$E$1&amp;" "&amp;A1340,"")</f>
        <v/>
      </c>
      <c r="J1340" s="8"/>
      <c r="M1340" s="1"/>
      <c r="N1340" s="1"/>
      <c r="O1340" s="1"/>
      <c r="P1340" s="9"/>
      <c r="Q1340" s="9"/>
      <c r="R1340" s="8"/>
      <c r="S1340" s="8"/>
      <c r="T1340" s="1"/>
    </row>
    <row r="1341" spans="1:20" x14ac:dyDescent="0.2">
      <c r="A1341" s="14">
        <f t="shared" si="20"/>
        <v>1329</v>
      </c>
      <c r="E1341" s="12" t="str">
        <f>IF($C$8&gt;=A1341,$E$1&amp;" "&amp;A1341,"")</f>
        <v/>
      </c>
      <c r="J1341" s="8"/>
      <c r="M1341" s="1"/>
      <c r="N1341" s="1"/>
      <c r="O1341" s="1"/>
      <c r="P1341" s="9"/>
      <c r="Q1341" s="9"/>
      <c r="R1341" s="8"/>
      <c r="S1341" s="8"/>
      <c r="T1341" s="1"/>
    </row>
    <row r="1342" spans="1:20" x14ac:dyDescent="0.2">
      <c r="A1342" s="14">
        <f t="shared" si="20"/>
        <v>1330</v>
      </c>
      <c r="E1342" s="12" t="str">
        <f>IF($C$8&gt;=A1342,$E$1&amp;" "&amp;A1342,"")</f>
        <v/>
      </c>
      <c r="J1342" s="8"/>
      <c r="M1342" s="1"/>
      <c r="N1342" s="1"/>
      <c r="O1342" s="1"/>
      <c r="P1342" s="9"/>
      <c r="Q1342" s="9"/>
      <c r="R1342" s="8"/>
      <c r="S1342" s="8"/>
      <c r="T1342" s="1"/>
    </row>
    <row r="1343" spans="1:20" x14ac:dyDescent="0.2">
      <c r="A1343" s="14">
        <f t="shared" si="20"/>
        <v>1331</v>
      </c>
      <c r="E1343" s="12" t="str">
        <f>IF($C$8&gt;=A1343,$E$1&amp;" "&amp;A1343,"")</f>
        <v/>
      </c>
      <c r="J1343" s="8"/>
      <c r="M1343" s="1"/>
      <c r="N1343" s="1"/>
      <c r="O1343" s="1"/>
      <c r="P1343" s="9"/>
      <c r="Q1343" s="9"/>
      <c r="R1343" s="8"/>
      <c r="S1343" s="8"/>
      <c r="T1343" s="1"/>
    </row>
    <row r="1344" spans="1:20" x14ac:dyDescent="0.2">
      <c r="A1344" s="14">
        <f t="shared" si="20"/>
        <v>1332</v>
      </c>
      <c r="E1344" s="12" t="str">
        <f>IF($C$8&gt;=A1344,$E$1&amp;" "&amp;A1344,"")</f>
        <v/>
      </c>
      <c r="J1344" s="8"/>
      <c r="M1344" s="1"/>
      <c r="N1344" s="1"/>
      <c r="O1344" s="1"/>
      <c r="P1344" s="9"/>
      <c r="Q1344" s="9"/>
      <c r="R1344" s="8"/>
      <c r="S1344" s="8"/>
      <c r="T1344" s="1"/>
    </row>
    <row r="1345" spans="1:20" x14ac:dyDescent="0.2">
      <c r="A1345" s="14">
        <f t="shared" si="20"/>
        <v>1333</v>
      </c>
      <c r="E1345" s="12" t="str">
        <f>IF($C$8&gt;=A1345,$E$1&amp;" "&amp;A1345,"")</f>
        <v/>
      </c>
      <c r="J1345" s="8"/>
      <c r="M1345" s="1"/>
      <c r="N1345" s="1"/>
      <c r="O1345" s="1"/>
      <c r="P1345" s="9"/>
      <c r="Q1345" s="9"/>
      <c r="R1345" s="8"/>
      <c r="S1345" s="8"/>
      <c r="T1345" s="1"/>
    </row>
    <row r="1346" spans="1:20" x14ac:dyDescent="0.2">
      <c r="A1346" s="14">
        <f t="shared" si="20"/>
        <v>1334</v>
      </c>
      <c r="E1346" s="12" t="str">
        <f>IF($C$8&gt;=A1346,$E$1&amp;" "&amp;A1346,"")</f>
        <v/>
      </c>
      <c r="J1346" s="8"/>
      <c r="M1346" s="1"/>
      <c r="N1346" s="1"/>
      <c r="O1346" s="1"/>
      <c r="P1346" s="9"/>
      <c r="Q1346" s="9"/>
      <c r="R1346" s="8"/>
      <c r="S1346" s="8"/>
      <c r="T1346" s="1"/>
    </row>
    <row r="1347" spans="1:20" x14ac:dyDescent="0.2">
      <c r="A1347" s="14">
        <f t="shared" si="20"/>
        <v>1335</v>
      </c>
      <c r="E1347" s="12" t="str">
        <f>IF($C$8&gt;=A1347,$E$1&amp;" "&amp;A1347,"")</f>
        <v/>
      </c>
      <c r="J1347" s="8"/>
      <c r="M1347" s="1"/>
      <c r="N1347" s="1"/>
      <c r="O1347" s="1"/>
      <c r="P1347" s="9"/>
      <c r="Q1347" s="9"/>
      <c r="R1347" s="8"/>
      <c r="S1347" s="8"/>
      <c r="T1347" s="1"/>
    </row>
    <row r="1348" spans="1:20" x14ac:dyDescent="0.2">
      <c r="A1348" s="14">
        <f t="shared" si="20"/>
        <v>1336</v>
      </c>
      <c r="E1348" s="12" t="str">
        <f>IF($C$8&gt;=A1348,$E$1&amp;" "&amp;A1348,"")</f>
        <v/>
      </c>
      <c r="J1348" s="8"/>
      <c r="M1348" s="1"/>
      <c r="N1348" s="1"/>
      <c r="O1348" s="1"/>
      <c r="P1348" s="9"/>
      <c r="Q1348" s="9"/>
      <c r="R1348" s="8"/>
      <c r="S1348" s="8"/>
      <c r="T1348" s="1"/>
    </row>
    <row r="1349" spans="1:20" x14ac:dyDescent="0.2">
      <c r="A1349" s="14">
        <f t="shared" si="20"/>
        <v>1337</v>
      </c>
      <c r="E1349" s="12" t="str">
        <f>IF($C$8&gt;=A1349,$E$1&amp;" "&amp;A1349,"")</f>
        <v/>
      </c>
      <c r="J1349" s="8"/>
      <c r="M1349" s="1"/>
      <c r="N1349" s="1"/>
      <c r="O1349" s="1"/>
      <c r="P1349" s="9"/>
      <c r="Q1349" s="9"/>
      <c r="R1349" s="8"/>
      <c r="S1349" s="8"/>
      <c r="T1349" s="1"/>
    </row>
    <row r="1350" spans="1:20" x14ac:dyDescent="0.2">
      <c r="A1350" s="14">
        <f t="shared" si="20"/>
        <v>1338</v>
      </c>
      <c r="E1350" s="12" t="str">
        <f>IF($C$8&gt;=A1350,$E$1&amp;" "&amp;A1350,"")</f>
        <v/>
      </c>
      <c r="J1350" s="8"/>
      <c r="M1350" s="1"/>
      <c r="N1350" s="1"/>
      <c r="O1350" s="1"/>
      <c r="P1350" s="9"/>
      <c r="Q1350" s="9"/>
      <c r="R1350" s="8"/>
      <c r="S1350" s="8"/>
      <c r="T1350" s="1"/>
    </row>
    <row r="1351" spans="1:20" x14ac:dyDescent="0.2">
      <c r="A1351" s="14">
        <f t="shared" si="20"/>
        <v>1339</v>
      </c>
      <c r="E1351" s="12" t="str">
        <f>IF($C$8&gt;=A1351,$E$1&amp;" "&amp;A1351,"")</f>
        <v/>
      </c>
      <c r="J1351" s="8"/>
      <c r="M1351" s="1"/>
      <c r="N1351" s="1"/>
      <c r="O1351" s="1"/>
      <c r="P1351" s="9"/>
      <c r="Q1351" s="9"/>
      <c r="R1351" s="8"/>
      <c r="S1351" s="8"/>
      <c r="T1351" s="1"/>
    </row>
    <row r="1352" spans="1:20" x14ac:dyDescent="0.2">
      <c r="A1352" s="14">
        <f t="shared" si="20"/>
        <v>1340</v>
      </c>
      <c r="E1352" s="12" t="str">
        <f>IF($C$8&gt;=A1352,$E$1&amp;" "&amp;A1352,"")</f>
        <v/>
      </c>
      <c r="J1352" s="8"/>
      <c r="M1352" s="1"/>
      <c r="N1352" s="1"/>
      <c r="O1352" s="1"/>
      <c r="P1352" s="9"/>
      <c r="Q1352" s="9"/>
      <c r="R1352" s="8"/>
      <c r="S1352" s="8"/>
      <c r="T1352" s="1"/>
    </row>
    <row r="1353" spans="1:20" x14ac:dyDescent="0.2">
      <c r="A1353" s="14">
        <f t="shared" si="20"/>
        <v>1341</v>
      </c>
      <c r="E1353" s="12" t="str">
        <f>IF($C$8&gt;=A1353,$E$1&amp;" "&amp;A1353,"")</f>
        <v/>
      </c>
      <c r="J1353" s="8"/>
      <c r="M1353" s="1"/>
      <c r="N1353" s="1"/>
      <c r="O1353" s="1"/>
      <c r="P1353" s="9"/>
      <c r="Q1353" s="9"/>
      <c r="R1353" s="8"/>
      <c r="S1353" s="8"/>
      <c r="T1353" s="1"/>
    </row>
    <row r="1354" spans="1:20" x14ac:dyDescent="0.2">
      <c r="A1354" s="14">
        <f t="shared" si="20"/>
        <v>1342</v>
      </c>
      <c r="E1354" s="12" t="str">
        <f>IF($C$8&gt;=A1354,$E$1&amp;" "&amp;A1354,"")</f>
        <v/>
      </c>
      <c r="J1354" s="8"/>
      <c r="M1354" s="1"/>
      <c r="N1354" s="1"/>
      <c r="O1354" s="1"/>
      <c r="P1354" s="9"/>
      <c r="Q1354" s="9"/>
      <c r="R1354" s="8"/>
      <c r="S1354" s="8"/>
      <c r="T1354" s="1"/>
    </row>
    <row r="1355" spans="1:20" x14ac:dyDescent="0.2">
      <c r="A1355" s="14">
        <f t="shared" si="20"/>
        <v>1343</v>
      </c>
      <c r="E1355" s="12" t="str">
        <f>IF($C$8&gt;=A1355,$E$1&amp;" "&amp;A1355,"")</f>
        <v/>
      </c>
      <c r="J1355" s="8"/>
      <c r="M1355" s="1"/>
      <c r="N1355" s="1"/>
      <c r="O1355" s="1"/>
      <c r="P1355" s="9"/>
      <c r="Q1355" s="9"/>
      <c r="R1355" s="8"/>
      <c r="S1355" s="8"/>
      <c r="T1355" s="1"/>
    </row>
    <row r="1356" spans="1:20" x14ac:dyDescent="0.2">
      <c r="A1356" s="14">
        <f t="shared" si="20"/>
        <v>1344</v>
      </c>
      <c r="E1356" s="12" t="str">
        <f>IF($C$8&gt;=A1356,$E$1&amp;" "&amp;A1356,"")</f>
        <v/>
      </c>
      <c r="J1356" s="8"/>
      <c r="M1356" s="1"/>
      <c r="N1356" s="1"/>
      <c r="O1356" s="1"/>
      <c r="P1356" s="9"/>
      <c r="Q1356" s="9"/>
      <c r="R1356" s="8"/>
      <c r="S1356" s="8"/>
      <c r="T1356" s="1"/>
    </row>
    <row r="1357" spans="1:20" x14ac:dyDescent="0.2">
      <c r="A1357" s="14">
        <f t="shared" si="20"/>
        <v>1345</v>
      </c>
      <c r="E1357" s="12" t="str">
        <f>IF($C$8&gt;=A1357,$E$1&amp;" "&amp;A1357,"")</f>
        <v/>
      </c>
      <c r="J1357" s="8"/>
      <c r="M1357" s="1"/>
      <c r="N1357" s="1"/>
      <c r="O1357" s="1"/>
      <c r="P1357" s="9"/>
      <c r="Q1357" s="9"/>
      <c r="R1357" s="8"/>
      <c r="S1357" s="8"/>
      <c r="T1357" s="1"/>
    </row>
    <row r="1358" spans="1:20" x14ac:dyDescent="0.2">
      <c r="A1358" s="14">
        <f t="shared" si="20"/>
        <v>1346</v>
      </c>
      <c r="E1358" s="12" t="str">
        <f>IF($C$8&gt;=A1358,$E$1&amp;" "&amp;A1358,"")</f>
        <v/>
      </c>
      <c r="J1358" s="8"/>
      <c r="M1358" s="1"/>
      <c r="N1358" s="1"/>
      <c r="O1358" s="1"/>
      <c r="P1358" s="9"/>
      <c r="Q1358" s="9"/>
      <c r="R1358" s="8"/>
      <c r="S1358" s="8"/>
      <c r="T1358" s="1"/>
    </row>
    <row r="1359" spans="1:20" x14ac:dyDescent="0.2">
      <c r="A1359" s="14">
        <f t="shared" ref="A1359:A1422" si="21">A1358+1</f>
        <v>1347</v>
      </c>
      <c r="E1359" s="12" t="str">
        <f>IF($C$8&gt;=A1359,$E$1&amp;" "&amp;A1359,"")</f>
        <v/>
      </c>
      <c r="J1359" s="8"/>
      <c r="M1359" s="1"/>
      <c r="N1359" s="1"/>
      <c r="O1359" s="1"/>
      <c r="P1359" s="9"/>
      <c r="Q1359" s="9"/>
      <c r="R1359" s="8"/>
      <c r="S1359" s="8"/>
      <c r="T1359" s="1"/>
    </row>
    <row r="1360" spans="1:20" x14ac:dyDescent="0.2">
      <c r="A1360" s="14">
        <f t="shared" si="21"/>
        <v>1348</v>
      </c>
      <c r="E1360" s="12" t="str">
        <f>IF($C$8&gt;=A1360,$E$1&amp;" "&amp;A1360,"")</f>
        <v/>
      </c>
      <c r="J1360" s="8"/>
      <c r="M1360" s="1"/>
      <c r="N1360" s="1"/>
      <c r="O1360" s="1"/>
      <c r="P1360" s="9"/>
      <c r="Q1360" s="9"/>
      <c r="R1360" s="8"/>
      <c r="S1360" s="8"/>
      <c r="T1360" s="1"/>
    </row>
    <row r="1361" spans="1:20" x14ac:dyDescent="0.2">
      <c r="A1361" s="14">
        <f t="shared" si="21"/>
        <v>1349</v>
      </c>
      <c r="E1361" s="12" t="str">
        <f>IF($C$8&gt;=A1361,$E$1&amp;" "&amp;A1361,"")</f>
        <v/>
      </c>
      <c r="J1361" s="8"/>
      <c r="M1361" s="1"/>
      <c r="N1361" s="1"/>
      <c r="O1361" s="1"/>
      <c r="P1361" s="9"/>
      <c r="Q1361" s="9"/>
      <c r="R1361" s="8"/>
      <c r="S1361" s="8"/>
      <c r="T1361" s="1"/>
    </row>
    <row r="1362" spans="1:20" x14ac:dyDescent="0.2">
      <c r="A1362" s="14">
        <f t="shared" si="21"/>
        <v>1350</v>
      </c>
      <c r="E1362" s="12" t="str">
        <f>IF($C$8&gt;=A1362,$E$1&amp;" "&amp;A1362,"")</f>
        <v/>
      </c>
      <c r="J1362" s="8"/>
      <c r="M1362" s="1"/>
      <c r="N1362" s="1"/>
      <c r="O1362" s="1"/>
      <c r="P1362" s="9"/>
      <c r="Q1362" s="9"/>
      <c r="R1362" s="8"/>
      <c r="S1362" s="8"/>
      <c r="T1362" s="1"/>
    </row>
    <row r="1363" spans="1:20" x14ac:dyDescent="0.2">
      <c r="A1363" s="14">
        <f t="shared" si="21"/>
        <v>1351</v>
      </c>
      <c r="E1363" s="12" t="str">
        <f>IF($C$8&gt;=A1363,$E$1&amp;" "&amp;A1363,"")</f>
        <v/>
      </c>
      <c r="J1363" s="8"/>
      <c r="M1363" s="1"/>
      <c r="N1363" s="1"/>
      <c r="O1363" s="1"/>
      <c r="P1363" s="9"/>
      <c r="Q1363" s="9"/>
      <c r="R1363" s="8"/>
      <c r="S1363" s="8"/>
      <c r="T1363" s="1"/>
    </row>
    <row r="1364" spans="1:20" x14ac:dyDescent="0.2">
      <c r="A1364" s="14">
        <f t="shared" si="21"/>
        <v>1352</v>
      </c>
      <c r="E1364" s="12" t="str">
        <f>IF($C$8&gt;=A1364,$E$1&amp;" "&amp;A1364,"")</f>
        <v/>
      </c>
      <c r="J1364" s="8"/>
      <c r="M1364" s="1"/>
      <c r="N1364" s="1"/>
      <c r="O1364" s="1"/>
      <c r="P1364" s="9"/>
      <c r="Q1364" s="9"/>
      <c r="R1364" s="8"/>
      <c r="S1364" s="8"/>
      <c r="T1364" s="1"/>
    </row>
    <row r="1365" spans="1:20" x14ac:dyDescent="0.2">
      <c r="A1365" s="14">
        <f t="shared" si="21"/>
        <v>1353</v>
      </c>
      <c r="E1365" s="12" t="str">
        <f>IF($C$8&gt;=A1365,$E$1&amp;" "&amp;A1365,"")</f>
        <v/>
      </c>
      <c r="J1365" s="8"/>
      <c r="M1365" s="1"/>
      <c r="N1365" s="1"/>
      <c r="O1365" s="1"/>
      <c r="P1365" s="9"/>
      <c r="Q1365" s="9"/>
      <c r="R1365" s="8"/>
      <c r="S1365" s="8"/>
      <c r="T1365" s="1"/>
    </row>
    <row r="1366" spans="1:20" x14ac:dyDescent="0.2">
      <c r="A1366" s="14">
        <f t="shared" si="21"/>
        <v>1354</v>
      </c>
      <c r="E1366" s="12" t="str">
        <f>IF($C$8&gt;=A1366,$E$1&amp;" "&amp;A1366,"")</f>
        <v/>
      </c>
      <c r="J1366" s="8"/>
      <c r="M1366" s="1"/>
      <c r="N1366" s="1"/>
      <c r="O1366" s="1"/>
      <c r="P1366" s="9"/>
      <c r="Q1366" s="9"/>
      <c r="R1366" s="8"/>
      <c r="S1366" s="8"/>
      <c r="T1366" s="1"/>
    </row>
    <row r="1367" spans="1:20" x14ac:dyDescent="0.2">
      <c r="A1367" s="14">
        <f t="shared" si="21"/>
        <v>1355</v>
      </c>
      <c r="E1367" s="12" t="str">
        <f>IF($C$8&gt;=A1367,$E$1&amp;" "&amp;A1367,"")</f>
        <v/>
      </c>
      <c r="J1367" s="8"/>
      <c r="M1367" s="1"/>
      <c r="N1367" s="1"/>
      <c r="O1367" s="1"/>
      <c r="P1367" s="9"/>
      <c r="Q1367" s="9"/>
      <c r="R1367" s="8"/>
      <c r="S1367" s="8"/>
      <c r="T1367" s="1"/>
    </row>
    <row r="1368" spans="1:20" x14ac:dyDescent="0.2">
      <c r="A1368" s="14">
        <f t="shared" si="21"/>
        <v>1356</v>
      </c>
      <c r="E1368" s="12" t="str">
        <f>IF($C$8&gt;=A1368,$E$1&amp;" "&amp;A1368,"")</f>
        <v/>
      </c>
      <c r="J1368" s="8"/>
      <c r="M1368" s="1"/>
      <c r="N1368" s="1"/>
      <c r="O1368" s="1"/>
      <c r="P1368" s="9"/>
      <c r="Q1368" s="9"/>
      <c r="R1368" s="8"/>
      <c r="S1368" s="8"/>
      <c r="T1368" s="1"/>
    </row>
    <row r="1369" spans="1:20" x14ac:dyDescent="0.2">
      <c r="A1369" s="14">
        <f t="shared" si="21"/>
        <v>1357</v>
      </c>
      <c r="E1369" s="12" t="str">
        <f>IF($C$8&gt;=A1369,$E$1&amp;" "&amp;A1369,"")</f>
        <v/>
      </c>
      <c r="J1369" s="8"/>
      <c r="M1369" s="1"/>
      <c r="N1369" s="1"/>
      <c r="O1369" s="1"/>
      <c r="P1369" s="9"/>
      <c r="Q1369" s="9"/>
      <c r="R1369" s="8"/>
      <c r="S1369" s="8"/>
      <c r="T1369" s="1"/>
    </row>
    <row r="1370" spans="1:20" x14ac:dyDescent="0.2">
      <c r="A1370" s="14">
        <f t="shared" si="21"/>
        <v>1358</v>
      </c>
      <c r="E1370" s="12" t="str">
        <f>IF($C$8&gt;=A1370,$E$1&amp;" "&amp;A1370,"")</f>
        <v/>
      </c>
      <c r="J1370" s="8"/>
      <c r="M1370" s="1"/>
      <c r="N1370" s="1"/>
      <c r="O1370" s="1"/>
      <c r="P1370" s="9"/>
      <c r="Q1370" s="9"/>
      <c r="R1370" s="8"/>
      <c r="S1370" s="8"/>
      <c r="T1370" s="1"/>
    </row>
    <row r="1371" spans="1:20" x14ac:dyDescent="0.2">
      <c r="A1371" s="14">
        <f t="shared" si="21"/>
        <v>1359</v>
      </c>
      <c r="E1371" s="12" t="str">
        <f>IF($C$8&gt;=A1371,$E$1&amp;" "&amp;A1371,"")</f>
        <v/>
      </c>
      <c r="J1371" s="8"/>
      <c r="M1371" s="1"/>
      <c r="N1371" s="1"/>
      <c r="O1371" s="1"/>
      <c r="P1371" s="9"/>
      <c r="Q1371" s="9"/>
      <c r="R1371" s="8"/>
      <c r="S1371" s="8"/>
      <c r="T1371" s="1"/>
    </row>
    <row r="1372" spans="1:20" x14ac:dyDescent="0.2">
      <c r="A1372" s="14">
        <f t="shared" si="21"/>
        <v>1360</v>
      </c>
      <c r="E1372" s="12" t="str">
        <f>IF($C$8&gt;=A1372,$E$1&amp;" "&amp;A1372,"")</f>
        <v/>
      </c>
      <c r="J1372" s="8"/>
      <c r="M1372" s="1"/>
      <c r="N1372" s="1"/>
      <c r="O1372" s="1"/>
      <c r="P1372" s="9"/>
      <c r="Q1372" s="9"/>
      <c r="R1372" s="8"/>
      <c r="S1372" s="8"/>
      <c r="T1372" s="1"/>
    </row>
    <row r="1373" spans="1:20" x14ac:dyDescent="0.2">
      <c r="A1373" s="14">
        <f t="shared" si="21"/>
        <v>1361</v>
      </c>
      <c r="E1373" s="12" t="str">
        <f>IF($C$8&gt;=A1373,$E$1&amp;" "&amp;A1373,"")</f>
        <v/>
      </c>
      <c r="J1373" s="8"/>
      <c r="M1373" s="1"/>
      <c r="N1373" s="1"/>
      <c r="O1373" s="1"/>
      <c r="P1373" s="9"/>
      <c r="Q1373" s="9"/>
      <c r="R1373" s="8"/>
      <c r="S1373" s="8"/>
      <c r="T1373" s="1"/>
    </row>
    <row r="1374" spans="1:20" x14ac:dyDescent="0.2">
      <c r="A1374" s="14">
        <f t="shared" si="21"/>
        <v>1362</v>
      </c>
      <c r="E1374" s="12" t="str">
        <f>IF($C$8&gt;=A1374,$E$1&amp;" "&amp;A1374,"")</f>
        <v/>
      </c>
      <c r="J1374" s="8"/>
      <c r="M1374" s="1"/>
      <c r="N1374" s="1"/>
      <c r="O1374" s="1"/>
      <c r="P1374" s="9"/>
      <c r="Q1374" s="9"/>
      <c r="R1374" s="8"/>
      <c r="S1374" s="8"/>
      <c r="T1374" s="1"/>
    </row>
    <row r="1375" spans="1:20" x14ac:dyDescent="0.2">
      <c r="A1375" s="14">
        <f t="shared" si="21"/>
        <v>1363</v>
      </c>
      <c r="E1375" s="12" t="str">
        <f>IF($C$8&gt;=A1375,$E$1&amp;" "&amp;A1375,"")</f>
        <v/>
      </c>
      <c r="J1375" s="8"/>
      <c r="M1375" s="1"/>
      <c r="N1375" s="1"/>
      <c r="O1375" s="1"/>
      <c r="P1375" s="9"/>
      <c r="Q1375" s="9"/>
      <c r="R1375" s="8"/>
      <c r="S1375" s="8"/>
      <c r="T1375" s="1"/>
    </row>
    <row r="1376" spans="1:20" x14ac:dyDescent="0.2">
      <c r="A1376" s="14">
        <f t="shared" si="21"/>
        <v>1364</v>
      </c>
      <c r="E1376" s="12" t="str">
        <f>IF($C$8&gt;=A1376,$E$1&amp;" "&amp;A1376,"")</f>
        <v/>
      </c>
      <c r="J1376" s="8"/>
      <c r="M1376" s="1"/>
      <c r="N1376" s="1"/>
      <c r="O1376" s="1"/>
      <c r="P1376" s="9"/>
      <c r="Q1376" s="9"/>
      <c r="R1376" s="8"/>
      <c r="S1376" s="8"/>
      <c r="T1376" s="1"/>
    </row>
    <row r="1377" spans="1:20" x14ac:dyDescent="0.2">
      <c r="A1377" s="14">
        <f t="shared" si="21"/>
        <v>1365</v>
      </c>
      <c r="E1377" s="12" t="str">
        <f>IF($C$8&gt;=A1377,$E$1&amp;" "&amp;A1377,"")</f>
        <v/>
      </c>
      <c r="J1377" s="8"/>
      <c r="M1377" s="1"/>
      <c r="N1377" s="1"/>
      <c r="O1377" s="1"/>
      <c r="P1377" s="9"/>
      <c r="Q1377" s="9"/>
      <c r="R1377" s="8"/>
      <c r="S1377" s="8"/>
      <c r="T1377" s="1"/>
    </row>
    <row r="1378" spans="1:20" x14ac:dyDescent="0.2">
      <c r="A1378" s="14">
        <f t="shared" si="21"/>
        <v>1366</v>
      </c>
      <c r="E1378" s="12" t="str">
        <f>IF($C$8&gt;=A1378,$E$1&amp;" "&amp;A1378,"")</f>
        <v/>
      </c>
      <c r="J1378" s="8"/>
      <c r="M1378" s="1"/>
      <c r="N1378" s="1"/>
      <c r="O1378" s="1"/>
      <c r="P1378" s="9"/>
      <c r="Q1378" s="9"/>
      <c r="R1378" s="8"/>
      <c r="S1378" s="8"/>
      <c r="T1378" s="1"/>
    </row>
    <row r="1379" spans="1:20" x14ac:dyDescent="0.2">
      <c r="A1379" s="14">
        <f t="shared" si="21"/>
        <v>1367</v>
      </c>
      <c r="E1379" s="12" t="str">
        <f>IF($C$8&gt;=A1379,$E$1&amp;" "&amp;A1379,"")</f>
        <v/>
      </c>
      <c r="J1379" s="8"/>
      <c r="M1379" s="1"/>
      <c r="N1379" s="1"/>
      <c r="O1379" s="1"/>
      <c r="P1379" s="9"/>
      <c r="Q1379" s="9"/>
      <c r="R1379" s="8"/>
      <c r="S1379" s="8"/>
      <c r="T1379" s="1"/>
    </row>
    <row r="1380" spans="1:20" x14ac:dyDescent="0.2">
      <c r="A1380" s="14">
        <f t="shared" si="21"/>
        <v>1368</v>
      </c>
      <c r="E1380" s="12" t="str">
        <f>IF($C$8&gt;=A1380,$E$1&amp;" "&amp;A1380,"")</f>
        <v/>
      </c>
      <c r="J1380" s="8"/>
      <c r="M1380" s="1"/>
      <c r="N1380" s="1"/>
      <c r="O1380" s="1"/>
      <c r="P1380" s="9"/>
      <c r="Q1380" s="9"/>
      <c r="R1380" s="8"/>
      <c r="S1380" s="8"/>
      <c r="T1380" s="1"/>
    </row>
    <row r="1381" spans="1:20" x14ac:dyDescent="0.2">
      <c r="A1381" s="14">
        <f t="shared" si="21"/>
        <v>1369</v>
      </c>
      <c r="E1381" s="12" t="str">
        <f>IF($C$8&gt;=A1381,$E$1&amp;" "&amp;A1381,"")</f>
        <v/>
      </c>
      <c r="J1381" s="8"/>
      <c r="M1381" s="1"/>
      <c r="N1381" s="1"/>
      <c r="O1381" s="1"/>
      <c r="P1381" s="9"/>
      <c r="Q1381" s="9"/>
      <c r="R1381" s="8"/>
      <c r="S1381" s="8"/>
      <c r="T1381" s="1"/>
    </row>
    <row r="1382" spans="1:20" x14ac:dyDescent="0.2">
      <c r="A1382" s="14">
        <f t="shared" si="21"/>
        <v>1370</v>
      </c>
      <c r="E1382" s="12" t="str">
        <f>IF($C$8&gt;=A1382,$E$1&amp;" "&amp;A1382,"")</f>
        <v/>
      </c>
      <c r="J1382" s="8"/>
      <c r="M1382" s="1"/>
      <c r="N1382" s="1"/>
      <c r="O1382" s="1"/>
      <c r="P1382" s="9"/>
      <c r="Q1382" s="9"/>
      <c r="R1382" s="8"/>
      <c r="S1382" s="8"/>
      <c r="T1382" s="1"/>
    </row>
    <row r="1383" spans="1:20" x14ac:dyDescent="0.2">
      <c r="A1383" s="14">
        <f t="shared" si="21"/>
        <v>1371</v>
      </c>
      <c r="E1383" s="12" t="str">
        <f>IF($C$8&gt;=A1383,$E$1&amp;" "&amp;A1383,"")</f>
        <v/>
      </c>
      <c r="J1383" s="8"/>
      <c r="M1383" s="1"/>
      <c r="N1383" s="1"/>
      <c r="O1383" s="1"/>
      <c r="P1383" s="9"/>
      <c r="Q1383" s="9"/>
      <c r="R1383" s="8"/>
      <c r="S1383" s="8"/>
      <c r="T1383" s="1"/>
    </row>
    <row r="1384" spans="1:20" x14ac:dyDescent="0.2">
      <c r="A1384" s="14">
        <f t="shared" si="21"/>
        <v>1372</v>
      </c>
      <c r="E1384" s="12" t="str">
        <f>IF($C$8&gt;=A1384,$E$1&amp;" "&amp;A1384,"")</f>
        <v/>
      </c>
      <c r="J1384" s="8"/>
      <c r="M1384" s="1"/>
      <c r="N1384" s="1"/>
      <c r="O1384" s="1"/>
      <c r="P1384" s="9"/>
      <c r="Q1384" s="9"/>
      <c r="R1384" s="8"/>
      <c r="S1384" s="8"/>
      <c r="T1384" s="1"/>
    </row>
    <row r="1385" spans="1:20" x14ac:dyDescent="0.2">
      <c r="A1385" s="14">
        <f t="shared" si="21"/>
        <v>1373</v>
      </c>
      <c r="E1385" s="12" t="str">
        <f>IF($C$8&gt;=A1385,$E$1&amp;" "&amp;A1385,"")</f>
        <v/>
      </c>
      <c r="J1385" s="8"/>
      <c r="M1385" s="1"/>
      <c r="N1385" s="1"/>
      <c r="O1385" s="1"/>
      <c r="P1385" s="9"/>
      <c r="Q1385" s="9"/>
      <c r="R1385" s="8"/>
      <c r="S1385" s="8"/>
      <c r="T1385" s="1"/>
    </row>
    <row r="1386" spans="1:20" x14ac:dyDescent="0.2">
      <c r="A1386" s="14">
        <f t="shared" si="21"/>
        <v>1374</v>
      </c>
      <c r="E1386" s="12" t="str">
        <f>IF($C$8&gt;=A1386,$E$1&amp;" "&amp;A1386,"")</f>
        <v/>
      </c>
      <c r="J1386" s="8"/>
      <c r="M1386" s="1"/>
      <c r="N1386" s="1"/>
      <c r="O1386" s="1"/>
      <c r="P1386" s="9"/>
      <c r="Q1386" s="9"/>
      <c r="R1386" s="8"/>
      <c r="S1386" s="8"/>
      <c r="T1386" s="1"/>
    </row>
    <row r="1387" spans="1:20" x14ac:dyDescent="0.2">
      <c r="A1387" s="14">
        <f t="shared" si="21"/>
        <v>1375</v>
      </c>
      <c r="E1387" s="12" t="str">
        <f>IF($C$8&gt;=A1387,$E$1&amp;" "&amp;A1387,"")</f>
        <v/>
      </c>
      <c r="J1387" s="8"/>
      <c r="M1387" s="1"/>
      <c r="N1387" s="1"/>
      <c r="O1387" s="1"/>
      <c r="P1387" s="9"/>
      <c r="Q1387" s="9"/>
      <c r="R1387" s="8"/>
      <c r="S1387" s="8"/>
      <c r="T1387" s="1"/>
    </row>
    <row r="1388" spans="1:20" x14ac:dyDescent="0.2">
      <c r="A1388" s="14">
        <f t="shared" si="21"/>
        <v>1376</v>
      </c>
      <c r="E1388" s="12" t="str">
        <f>IF($C$8&gt;=A1388,$E$1&amp;" "&amp;A1388,"")</f>
        <v/>
      </c>
      <c r="J1388" s="8"/>
      <c r="M1388" s="1"/>
      <c r="N1388" s="1"/>
      <c r="O1388" s="1"/>
      <c r="P1388" s="9"/>
      <c r="Q1388" s="9"/>
      <c r="R1388" s="8"/>
      <c r="S1388" s="8"/>
      <c r="T1388" s="1"/>
    </row>
    <row r="1389" spans="1:20" x14ac:dyDescent="0.2">
      <c r="A1389" s="14">
        <f t="shared" si="21"/>
        <v>1377</v>
      </c>
      <c r="E1389" s="12" t="str">
        <f>IF($C$8&gt;=A1389,$E$1&amp;" "&amp;A1389,"")</f>
        <v/>
      </c>
      <c r="J1389" s="8"/>
      <c r="M1389" s="1"/>
      <c r="N1389" s="1"/>
      <c r="O1389" s="1"/>
      <c r="P1389" s="9"/>
      <c r="Q1389" s="9"/>
      <c r="R1389" s="8"/>
      <c r="S1389" s="8"/>
      <c r="T1389" s="1"/>
    </row>
    <row r="1390" spans="1:20" x14ac:dyDescent="0.2">
      <c r="A1390" s="14">
        <f t="shared" si="21"/>
        <v>1378</v>
      </c>
      <c r="E1390" s="12" t="str">
        <f>IF($C$8&gt;=A1390,$E$1&amp;" "&amp;A1390,"")</f>
        <v/>
      </c>
      <c r="J1390" s="8"/>
      <c r="M1390" s="1"/>
      <c r="N1390" s="1"/>
      <c r="O1390" s="1"/>
      <c r="P1390" s="9"/>
      <c r="Q1390" s="9"/>
      <c r="R1390" s="8"/>
      <c r="S1390" s="8"/>
      <c r="T1390" s="1"/>
    </row>
    <row r="1391" spans="1:20" x14ac:dyDescent="0.2">
      <c r="A1391" s="14">
        <f t="shared" si="21"/>
        <v>1379</v>
      </c>
      <c r="E1391" s="12" t="str">
        <f>IF($C$8&gt;=A1391,$E$1&amp;" "&amp;A1391,"")</f>
        <v/>
      </c>
      <c r="J1391" s="8"/>
      <c r="M1391" s="1"/>
      <c r="N1391" s="1"/>
      <c r="O1391" s="1"/>
      <c r="P1391" s="9"/>
      <c r="Q1391" s="9"/>
      <c r="R1391" s="8"/>
      <c r="S1391" s="8"/>
      <c r="T1391" s="1"/>
    </row>
    <row r="1392" spans="1:20" x14ac:dyDescent="0.2">
      <c r="A1392" s="14">
        <f t="shared" si="21"/>
        <v>1380</v>
      </c>
      <c r="E1392" s="12" t="str">
        <f>IF($C$8&gt;=A1392,$E$1&amp;" "&amp;A1392,"")</f>
        <v/>
      </c>
      <c r="J1392" s="8"/>
      <c r="M1392" s="1"/>
      <c r="N1392" s="1"/>
      <c r="O1392" s="1"/>
      <c r="P1392" s="9"/>
      <c r="Q1392" s="9"/>
      <c r="R1392" s="8"/>
      <c r="S1392" s="8"/>
      <c r="T1392" s="1"/>
    </row>
    <row r="1393" spans="1:20" x14ac:dyDescent="0.2">
      <c r="A1393" s="14">
        <f t="shared" si="21"/>
        <v>1381</v>
      </c>
      <c r="E1393" s="12" t="str">
        <f>IF($C$8&gt;=A1393,$E$1&amp;" "&amp;A1393,"")</f>
        <v/>
      </c>
      <c r="J1393" s="8"/>
      <c r="M1393" s="1"/>
      <c r="N1393" s="1"/>
      <c r="O1393" s="1"/>
      <c r="P1393" s="9"/>
      <c r="Q1393" s="9"/>
      <c r="R1393" s="8"/>
      <c r="S1393" s="8"/>
      <c r="T1393" s="1"/>
    </row>
    <row r="1394" spans="1:20" x14ac:dyDescent="0.2">
      <c r="A1394" s="14">
        <f t="shared" si="21"/>
        <v>1382</v>
      </c>
      <c r="E1394" s="12" t="str">
        <f>IF($C$8&gt;=A1394,$E$1&amp;" "&amp;A1394,"")</f>
        <v/>
      </c>
      <c r="J1394" s="8"/>
      <c r="M1394" s="1"/>
      <c r="N1394" s="1"/>
      <c r="O1394" s="1"/>
      <c r="P1394" s="9"/>
      <c r="Q1394" s="9"/>
      <c r="R1394" s="8"/>
      <c r="S1394" s="8"/>
      <c r="T1394" s="1"/>
    </row>
    <row r="1395" spans="1:20" x14ac:dyDescent="0.2">
      <c r="A1395" s="14">
        <f t="shared" si="21"/>
        <v>1383</v>
      </c>
      <c r="E1395" s="12" t="str">
        <f>IF($C$8&gt;=A1395,$E$1&amp;" "&amp;A1395,"")</f>
        <v/>
      </c>
      <c r="J1395" s="8"/>
      <c r="M1395" s="1"/>
      <c r="N1395" s="1"/>
      <c r="O1395" s="1"/>
      <c r="P1395" s="9"/>
      <c r="Q1395" s="9"/>
      <c r="R1395" s="8"/>
      <c r="S1395" s="8"/>
      <c r="T1395" s="1"/>
    </row>
    <row r="1396" spans="1:20" x14ac:dyDescent="0.2">
      <c r="A1396" s="14">
        <f t="shared" si="21"/>
        <v>1384</v>
      </c>
      <c r="E1396" s="12" t="str">
        <f>IF($C$8&gt;=A1396,$E$1&amp;" "&amp;A1396,"")</f>
        <v/>
      </c>
      <c r="J1396" s="8"/>
      <c r="M1396" s="1"/>
      <c r="N1396" s="1"/>
      <c r="O1396" s="1"/>
      <c r="P1396" s="9"/>
      <c r="Q1396" s="9"/>
      <c r="R1396" s="8"/>
      <c r="S1396" s="8"/>
      <c r="T1396" s="1"/>
    </row>
    <row r="1397" spans="1:20" x14ac:dyDescent="0.2">
      <c r="A1397" s="14">
        <f t="shared" si="21"/>
        <v>1385</v>
      </c>
      <c r="E1397" s="12" t="str">
        <f>IF($C$8&gt;=A1397,$E$1&amp;" "&amp;A1397,"")</f>
        <v/>
      </c>
      <c r="J1397" s="8"/>
      <c r="M1397" s="1"/>
      <c r="N1397" s="1"/>
      <c r="O1397" s="1"/>
      <c r="P1397" s="9"/>
      <c r="Q1397" s="9"/>
      <c r="R1397" s="8"/>
      <c r="S1397" s="8"/>
      <c r="T1397" s="1"/>
    </row>
    <row r="1398" spans="1:20" x14ac:dyDescent="0.2">
      <c r="A1398" s="14">
        <f t="shared" si="21"/>
        <v>1386</v>
      </c>
      <c r="E1398" s="12" t="str">
        <f>IF($C$8&gt;=A1398,$E$1&amp;" "&amp;A1398,"")</f>
        <v/>
      </c>
      <c r="J1398" s="8"/>
      <c r="M1398" s="1"/>
      <c r="N1398" s="1"/>
      <c r="O1398" s="1"/>
      <c r="P1398" s="9"/>
      <c r="Q1398" s="9"/>
      <c r="R1398" s="8"/>
      <c r="S1398" s="8"/>
      <c r="T1398" s="1"/>
    </row>
    <row r="1399" spans="1:20" x14ac:dyDescent="0.2">
      <c r="A1399" s="14">
        <f t="shared" si="21"/>
        <v>1387</v>
      </c>
      <c r="E1399" s="12" t="str">
        <f>IF($C$8&gt;=A1399,$E$1&amp;" "&amp;A1399,"")</f>
        <v/>
      </c>
      <c r="J1399" s="8"/>
      <c r="M1399" s="1"/>
      <c r="N1399" s="1"/>
      <c r="O1399" s="1"/>
      <c r="P1399" s="9"/>
      <c r="Q1399" s="9"/>
      <c r="R1399" s="8"/>
      <c r="S1399" s="8"/>
      <c r="T1399" s="1"/>
    </row>
    <row r="1400" spans="1:20" x14ac:dyDescent="0.2">
      <c r="A1400" s="14">
        <f t="shared" si="21"/>
        <v>1388</v>
      </c>
      <c r="E1400" s="12" t="str">
        <f>IF($C$8&gt;=A1400,$E$1&amp;" "&amp;A1400,"")</f>
        <v/>
      </c>
      <c r="J1400" s="8"/>
      <c r="M1400" s="1"/>
      <c r="N1400" s="1"/>
      <c r="O1400" s="1"/>
      <c r="P1400" s="9"/>
      <c r="Q1400" s="9"/>
      <c r="R1400" s="8"/>
      <c r="S1400" s="8"/>
      <c r="T1400" s="1"/>
    </row>
    <row r="1401" spans="1:20" x14ac:dyDescent="0.2">
      <c r="A1401" s="14">
        <f t="shared" si="21"/>
        <v>1389</v>
      </c>
      <c r="E1401" s="12" t="str">
        <f>IF($C$8&gt;=A1401,$E$1&amp;" "&amp;A1401,"")</f>
        <v/>
      </c>
      <c r="J1401" s="8"/>
      <c r="M1401" s="1"/>
      <c r="N1401" s="1"/>
      <c r="O1401" s="1"/>
      <c r="P1401" s="9"/>
      <c r="Q1401" s="9"/>
      <c r="R1401" s="8"/>
      <c r="S1401" s="8"/>
      <c r="T1401" s="1"/>
    </row>
    <row r="1402" spans="1:20" x14ac:dyDescent="0.2">
      <c r="A1402" s="14">
        <f t="shared" si="21"/>
        <v>1390</v>
      </c>
      <c r="E1402" s="12" t="str">
        <f>IF($C$8&gt;=A1402,$E$1&amp;" "&amp;A1402,"")</f>
        <v/>
      </c>
      <c r="J1402" s="8"/>
      <c r="M1402" s="1"/>
      <c r="N1402" s="1"/>
      <c r="O1402" s="1"/>
      <c r="P1402" s="9"/>
      <c r="Q1402" s="9"/>
      <c r="R1402" s="8"/>
      <c r="S1402" s="8"/>
      <c r="T1402" s="1"/>
    </row>
    <row r="1403" spans="1:20" x14ac:dyDescent="0.2">
      <c r="A1403" s="14">
        <f t="shared" si="21"/>
        <v>1391</v>
      </c>
      <c r="E1403" s="12" t="str">
        <f>IF($C$8&gt;=A1403,$E$1&amp;" "&amp;A1403,"")</f>
        <v/>
      </c>
      <c r="J1403" s="8"/>
      <c r="M1403" s="1"/>
      <c r="N1403" s="1"/>
      <c r="O1403" s="1"/>
      <c r="P1403" s="9"/>
      <c r="Q1403" s="9"/>
      <c r="R1403" s="8"/>
      <c r="S1403" s="8"/>
      <c r="T1403" s="1"/>
    </row>
    <row r="1404" spans="1:20" x14ac:dyDescent="0.2">
      <c r="A1404" s="14">
        <f t="shared" si="21"/>
        <v>1392</v>
      </c>
      <c r="E1404" s="12" t="str">
        <f>IF($C$8&gt;=A1404,$E$1&amp;" "&amp;A1404,"")</f>
        <v/>
      </c>
      <c r="J1404" s="8"/>
      <c r="M1404" s="1"/>
      <c r="N1404" s="1"/>
      <c r="O1404" s="1"/>
      <c r="P1404" s="9"/>
      <c r="Q1404" s="9"/>
      <c r="R1404" s="8"/>
      <c r="S1404" s="8"/>
      <c r="T1404" s="1"/>
    </row>
    <row r="1405" spans="1:20" x14ac:dyDescent="0.2">
      <c r="A1405" s="14">
        <f t="shared" si="21"/>
        <v>1393</v>
      </c>
      <c r="E1405" s="12" t="str">
        <f>IF($C$8&gt;=A1405,$E$1&amp;" "&amp;A1405,"")</f>
        <v/>
      </c>
      <c r="J1405" s="8"/>
      <c r="M1405" s="1"/>
      <c r="N1405" s="1"/>
      <c r="O1405" s="1"/>
      <c r="P1405" s="9"/>
      <c r="Q1405" s="9"/>
      <c r="R1405" s="8"/>
      <c r="S1405" s="8"/>
      <c r="T1405" s="1"/>
    </row>
    <row r="1406" spans="1:20" x14ac:dyDescent="0.2">
      <c r="A1406" s="14">
        <f t="shared" si="21"/>
        <v>1394</v>
      </c>
      <c r="E1406" s="12" t="str">
        <f>IF($C$8&gt;=A1406,$E$1&amp;" "&amp;A1406,"")</f>
        <v/>
      </c>
      <c r="J1406" s="8"/>
      <c r="M1406" s="1"/>
      <c r="N1406" s="1"/>
      <c r="O1406" s="1"/>
      <c r="P1406" s="9"/>
      <c r="Q1406" s="9"/>
      <c r="R1406" s="8"/>
      <c r="S1406" s="8"/>
      <c r="T1406" s="1"/>
    </row>
    <row r="1407" spans="1:20" x14ac:dyDescent="0.2">
      <c r="A1407" s="14">
        <f t="shared" si="21"/>
        <v>1395</v>
      </c>
      <c r="E1407" s="12" t="str">
        <f>IF($C$8&gt;=A1407,$E$1&amp;" "&amp;A1407,"")</f>
        <v/>
      </c>
      <c r="J1407" s="8"/>
      <c r="M1407" s="1"/>
      <c r="N1407" s="1"/>
      <c r="O1407" s="1"/>
      <c r="P1407" s="9"/>
      <c r="Q1407" s="9"/>
      <c r="R1407" s="8"/>
      <c r="S1407" s="8"/>
      <c r="T1407" s="1"/>
    </row>
    <row r="1408" spans="1:20" x14ac:dyDescent="0.2">
      <c r="A1408" s="14">
        <f t="shared" si="21"/>
        <v>1396</v>
      </c>
      <c r="E1408" s="12" t="str">
        <f>IF($C$8&gt;=A1408,$E$1&amp;" "&amp;A1408,"")</f>
        <v/>
      </c>
      <c r="J1408" s="8"/>
      <c r="M1408" s="1"/>
      <c r="N1408" s="1"/>
      <c r="O1408" s="1"/>
      <c r="P1408" s="9"/>
      <c r="Q1408" s="9"/>
      <c r="R1408" s="8"/>
      <c r="S1408" s="8"/>
      <c r="T1408" s="1"/>
    </row>
    <row r="1409" spans="1:20" x14ac:dyDescent="0.2">
      <c r="A1409" s="14">
        <f t="shared" si="21"/>
        <v>1397</v>
      </c>
      <c r="E1409" s="12" t="str">
        <f>IF($C$8&gt;=A1409,$E$1&amp;" "&amp;A1409,"")</f>
        <v/>
      </c>
      <c r="J1409" s="8"/>
      <c r="M1409" s="1"/>
      <c r="N1409" s="1"/>
      <c r="O1409" s="1"/>
      <c r="P1409" s="9"/>
      <c r="Q1409" s="9"/>
      <c r="R1409" s="8"/>
      <c r="S1409" s="8"/>
      <c r="T1409" s="1"/>
    </row>
    <row r="1410" spans="1:20" x14ac:dyDescent="0.2">
      <c r="A1410" s="14">
        <f t="shared" si="21"/>
        <v>1398</v>
      </c>
      <c r="E1410" s="12" t="str">
        <f>IF($C$8&gt;=A1410,$E$1&amp;" "&amp;A1410,"")</f>
        <v/>
      </c>
      <c r="J1410" s="8"/>
      <c r="M1410" s="1"/>
      <c r="N1410" s="1"/>
      <c r="O1410" s="1"/>
      <c r="P1410" s="9"/>
      <c r="Q1410" s="9"/>
      <c r="R1410" s="8"/>
      <c r="S1410" s="8"/>
      <c r="T1410" s="1"/>
    </row>
    <row r="1411" spans="1:20" x14ac:dyDescent="0.2">
      <c r="A1411" s="14">
        <f t="shared" si="21"/>
        <v>1399</v>
      </c>
      <c r="E1411" s="12" t="str">
        <f>IF($C$8&gt;=A1411,$E$1&amp;" "&amp;A1411,"")</f>
        <v/>
      </c>
      <c r="J1411" s="8"/>
      <c r="M1411" s="1"/>
      <c r="N1411" s="1"/>
      <c r="O1411" s="1"/>
      <c r="P1411" s="9"/>
      <c r="Q1411" s="9"/>
      <c r="R1411" s="8"/>
      <c r="S1411" s="8"/>
      <c r="T1411" s="1"/>
    </row>
    <row r="1412" spans="1:20" x14ac:dyDescent="0.2">
      <c r="A1412" s="14">
        <f t="shared" si="21"/>
        <v>1400</v>
      </c>
      <c r="E1412" s="12" t="str">
        <f>IF($C$8&gt;=A1412,$E$1&amp;" "&amp;A1412,"")</f>
        <v/>
      </c>
      <c r="J1412" s="8"/>
      <c r="M1412" s="1"/>
      <c r="N1412" s="1"/>
      <c r="O1412" s="1"/>
      <c r="P1412" s="9"/>
      <c r="Q1412" s="9"/>
      <c r="R1412" s="8"/>
      <c r="S1412" s="8"/>
      <c r="T1412" s="1"/>
    </row>
    <row r="1413" spans="1:20" x14ac:dyDescent="0.2">
      <c r="A1413" s="14">
        <f t="shared" si="21"/>
        <v>1401</v>
      </c>
      <c r="E1413" s="12" t="str">
        <f>IF($C$8&gt;=A1413,$E$1&amp;" "&amp;A1413,"")</f>
        <v/>
      </c>
      <c r="J1413" s="8"/>
      <c r="M1413" s="1"/>
      <c r="N1413" s="1"/>
      <c r="O1413" s="1"/>
      <c r="P1413" s="9"/>
      <c r="Q1413" s="9"/>
      <c r="R1413" s="8"/>
      <c r="S1413" s="8"/>
      <c r="T1413" s="1"/>
    </row>
    <row r="1414" spans="1:20" x14ac:dyDescent="0.2">
      <c r="A1414" s="14">
        <f t="shared" si="21"/>
        <v>1402</v>
      </c>
      <c r="E1414" s="12" t="str">
        <f>IF($C$8&gt;=A1414,$E$1&amp;" "&amp;A1414,"")</f>
        <v/>
      </c>
      <c r="J1414" s="8"/>
      <c r="M1414" s="1"/>
      <c r="N1414" s="1"/>
      <c r="O1414" s="1"/>
      <c r="P1414" s="9"/>
      <c r="Q1414" s="9"/>
      <c r="R1414" s="8"/>
      <c r="S1414" s="8"/>
      <c r="T1414" s="1"/>
    </row>
    <row r="1415" spans="1:20" x14ac:dyDescent="0.2">
      <c r="A1415" s="14">
        <f t="shared" si="21"/>
        <v>1403</v>
      </c>
      <c r="E1415" s="12" t="str">
        <f>IF($C$8&gt;=A1415,$E$1&amp;" "&amp;A1415,"")</f>
        <v/>
      </c>
      <c r="J1415" s="8"/>
      <c r="M1415" s="1"/>
      <c r="N1415" s="1"/>
      <c r="O1415" s="1"/>
      <c r="P1415" s="9"/>
      <c r="Q1415" s="9"/>
      <c r="R1415" s="8"/>
      <c r="S1415" s="8"/>
      <c r="T1415" s="1"/>
    </row>
    <row r="1416" spans="1:20" x14ac:dyDescent="0.2">
      <c r="A1416" s="14">
        <f t="shared" si="21"/>
        <v>1404</v>
      </c>
      <c r="E1416" s="12" t="str">
        <f>IF($C$8&gt;=A1416,$E$1&amp;" "&amp;A1416,"")</f>
        <v/>
      </c>
      <c r="J1416" s="8"/>
      <c r="M1416" s="1"/>
      <c r="N1416" s="1"/>
      <c r="O1416" s="1"/>
      <c r="P1416" s="9"/>
      <c r="Q1416" s="9"/>
      <c r="R1416" s="8"/>
      <c r="S1416" s="8"/>
      <c r="T1416" s="1"/>
    </row>
    <row r="1417" spans="1:20" x14ac:dyDescent="0.2">
      <c r="A1417" s="14">
        <f t="shared" si="21"/>
        <v>1405</v>
      </c>
      <c r="E1417" s="12" t="str">
        <f>IF($C$8&gt;=A1417,$E$1&amp;" "&amp;A1417,"")</f>
        <v/>
      </c>
      <c r="J1417" s="8"/>
      <c r="M1417" s="1"/>
      <c r="N1417" s="1"/>
      <c r="O1417" s="1"/>
      <c r="P1417" s="9"/>
      <c r="Q1417" s="9"/>
      <c r="R1417" s="8"/>
      <c r="S1417" s="8"/>
      <c r="T1417" s="1"/>
    </row>
    <row r="1418" spans="1:20" x14ac:dyDescent="0.2">
      <c r="A1418" s="14">
        <f t="shared" si="21"/>
        <v>1406</v>
      </c>
      <c r="E1418" s="12" t="str">
        <f>IF($C$8&gt;=A1418,$E$1&amp;" "&amp;A1418,"")</f>
        <v/>
      </c>
      <c r="J1418" s="8"/>
      <c r="M1418" s="1"/>
      <c r="N1418" s="1"/>
      <c r="O1418" s="1"/>
      <c r="P1418" s="9"/>
      <c r="Q1418" s="9"/>
      <c r="R1418" s="8"/>
      <c r="S1418" s="8"/>
      <c r="T1418" s="1"/>
    </row>
    <row r="1419" spans="1:20" x14ac:dyDescent="0.2">
      <c r="A1419" s="14">
        <f t="shared" si="21"/>
        <v>1407</v>
      </c>
      <c r="E1419" s="12" t="str">
        <f>IF($C$8&gt;=A1419,$E$1&amp;" "&amp;A1419,"")</f>
        <v/>
      </c>
      <c r="J1419" s="8"/>
      <c r="M1419" s="1"/>
      <c r="N1419" s="1"/>
      <c r="O1419" s="1"/>
      <c r="P1419" s="9"/>
      <c r="Q1419" s="9"/>
      <c r="R1419" s="8"/>
      <c r="S1419" s="8"/>
      <c r="T1419" s="1"/>
    </row>
    <row r="1420" spans="1:20" x14ac:dyDescent="0.2">
      <c r="A1420" s="14">
        <f t="shared" si="21"/>
        <v>1408</v>
      </c>
      <c r="E1420" s="12" t="str">
        <f>IF($C$8&gt;=A1420,$E$1&amp;" "&amp;A1420,"")</f>
        <v/>
      </c>
      <c r="J1420" s="8"/>
      <c r="M1420" s="1"/>
      <c r="N1420" s="1"/>
      <c r="O1420" s="1"/>
      <c r="P1420" s="9"/>
      <c r="Q1420" s="9"/>
      <c r="R1420" s="8"/>
      <c r="S1420" s="8"/>
      <c r="T1420" s="1"/>
    </row>
    <row r="1421" spans="1:20" x14ac:dyDescent="0.2">
      <c r="A1421" s="14">
        <f t="shared" si="21"/>
        <v>1409</v>
      </c>
      <c r="E1421" s="12" t="str">
        <f>IF($C$8&gt;=A1421,$E$1&amp;" "&amp;A1421,"")</f>
        <v/>
      </c>
      <c r="J1421" s="8"/>
      <c r="M1421" s="1"/>
      <c r="N1421" s="1"/>
      <c r="O1421" s="1"/>
      <c r="P1421" s="9"/>
      <c r="Q1421" s="9"/>
      <c r="R1421" s="8"/>
      <c r="S1421" s="8"/>
      <c r="T1421" s="1"/>
    </row>
    <row r="1422" spans="1:20" x14ac:dyDescent="0.2">
      <c r="A1422" s="14">
        <f t="shared" si="21"/>
        <v>1410</v>
      </c>
      <c r="E1422" s="12" t="str">
        <f>IF($C$8&gt;=A1422,$E$1&amp;" "&amp;A1422,"")</f>
        <v/>
      </c>
      <c r="J1422" s="8"/>
      <c r="M1422" s="1"/>
      <c r="N1422" s="1"/>
      <c r="O1422" s="1"/>
      <c r="P1422" s="9"/>
      <c r="Q1422" s="9"/>
      <c r="R1422" s="8"/>
      <c r="S1422" s="8"/>
      <c r="T1422" s="1"/>
    </row>
    <row r="1423" spans="1:20" x14ac:dyDescent="0.2">
      <c r="A1423" s="14">
        <f t="shared" ref="A1423:A1486" si="22">A1422+1</f>
        <v>1411</v>
      </c>
      <c r="E1423" s="12" t="str">
        <f>IF($C$8&gt;=A1423,$E$1&amp;" "&amp;A1423,"")</f>
        <v/>
      </c>
      <c r="J1423" s="8"/>
      <c r="M1423" s="1"/>
      <c r="N1423" s="1"/>
      <c r="O1423" s="1"/>
      <c r="P1423" s="9"/>
      <c r="Q1423" s="9"/>
      <c r="R1423" s="8"/>
      <c r="S1423" s="8"/>
      <c r="T1423" s="1"/>
    </row>
    <row r="1424" spans="1:20" x14ac:dyDescent="0.2">
      <c r="A1424" s="14">
        <f t="shared" si="22"/>
        <v>1412</v>
      </c>
      <c r="E1424" s="12" t="str">
        <f>IF($C$8&gt;=A1424,$E$1&amp;" "&amp;A1424,"")</f>
        <v/>
      </c>
      <c r="J1424" s="8"/>
      <c r="M1424" s="1"/>
      <c r="N1424" s="1"/>
      <c r="O1424" s="1"/>
      <c r="P1424" s="9"/>
      <c r="Q1424" s="9"/>
      <c r="R1424" s="8"/>
      <c r="S1424" s="8"/>
      <c r="T1424" s="1"/>
    </row>
    <row r="1425" spans="1:20" x14ac:dyDescent="0.2">
      <c r="A1425" s="14">
        <f t="shared" si="22"/>
        <v>1413</v>
      </c>
      <c r="E1425" s="12" t="str">
        <f>IF($C$8&gt;=A1425,$E$1&amp;" "&amp;A1425,"")</f>
        <v/>
      </c>
      <c r="J1425" s="8"/>
      <c r="M1425" s="1"/>
      <c r="N1425" s="1"/>
      <c r="O1425" s="1"/>
      <c r="P1425" s="9"/>
      <c r="Q1425" s="9"/>
      <c r="R1425" s="8"/>
      <c r="S1425" s="8"/>
      <c r="T1425" s="1"/>
    </row>
    <row r="1426" spans="1:20" x14ac:dyDescent="0.2">
      <c r="A1426" s="14">
        <f t="shared" si="22"/>
        <v>1414</v>
      </c>
      <c r="E1426" s="12" t="str">
        <f>IF($C$8&gt;=A1426,$E$1&amp;" "&amp;A1426,"")</f>
        <v/>
      </c>
      <c r="J1426" s="8"/>
      <c r="M1426" s="1"/>
      <c r="N1426" s="1"/>
      <c r="O1426" s="1"/>
      <c r="P1426" s="9"/>
      <c r="Q1426" s="9"/>
      <c r="R1426" s="8"/>
      <c r="S1426" s="8"/>
      <c r="T1426" s="1"/>
    </row>
    <row r="1427" spans="1:20" x14ac:dyDescent="0.2">
      <c r="A1427" s="14">
        <f t="shared" si="22"/>
        <v>1415</v>
      </c>
      <c r="E1427" s="12" t="str">
        <f>IF($C$8&gt;=A1427,$E$1&amp;" "&amp;A1427,"")</f>
        <v/>
      </c>
      <c r="J1427" s="8"/>
      <c r="M1427" s="1"/>
      <c r="N1427" s="1"/>
      <c r="O1427" s="1"/>
      <c r="P1427" s="9"/>
      <c r="Q1427" s="9"/>
      <c r="R1427" s="8"/>
      <c r="S1427" s="8"/>
      <c r="T1427" s="1"/>
    </row>
    <row r="1428" spans="1:20" x14ac:dyDescent="0.2">
      <c r="A1428" s="14">
        <f t="shared" si="22"/>
        <v>1416</v>
      </c>
      <c r="E1428" s="12" t="str">
        <f>IF($C$8&gt;=A1428,$E$1&amp;" "&amp;A1428,"")</f>
        <v/>
      </c>
      <c r="J1428" s="8"/>
      <c r="M1428" s="1"/>
      <c r="N1428" s="1"/>
      <c r="O1428" s="1"/>
      <c r="P1428" s="9"/>
      <c r="Q1428" s="9"/>
      <c r="R1428" s="8"/>
      <c r="S1428" s="8"/>
      <c r="T1428" s="1"/>
    </row>
    <row r="1429" spans="1:20" x14ac:dyDescent="0.2">
      <c r="A1429" s="14">
        <f t="shared" si="22"/>
        <v>1417</v>
      </c>
      <c r="E1429" s="12" t="str">
        <f>IF($C$8&gt;=A1429,$E$1&amp;" "&amp;A1429,"")</f>
        <v/>
      </c>
      <c r="J1429" s="8"/>
      <c r="M1429" s="1"/>
      <c r="N1429" s="1"/>
      <c r="O1429" s="1"/>
      <c r="P1429" s="9"/>
      <c r="Q1429" s="9"/>
      <c r="R1429" s="8"/>
      <c r="S1429" s="8"/>
      <c r="T1429" s="1"/>
    </row>
    <row r="1430" spans="1:20" x14ac:dyDescent="0.2">
      <c r="A1430" s="14">
        <f t="shared" si="22"/>
        <v>1418</v>
      </c>
      <c r="E1430" s="12" t="str">
        <f>IF($C$8&gt;=A1430,$E$1&amp;" "&amp;A1430,"")</f>
        <v/>
      </c>
      <c r="J1430" s="8"/>
      <c r="M1430" s="1"/>
      <c r="N1430" s="1"/>
      <c r="O1430" s="1"/>
      <c r="P1430" s="9"/>
      <c r="Q1430" s="9"/>
      <c r="R1430" s="8"/>
      <c r="S1430" s="8"/>
      <c r="T1430" s="1"/>
    </row>
    <row r="1431" spans="1:20" x14ac:dyDescent="0.2">
      <c r="A1431" s="14">
        <f t="shared" si="22"/>
        <v>1419</v>
      </c>
      <c r="E1431" s="12" t="str">
        <f>IF($C$8&gt;=A1431,$E$1&amp;" "&amp;A1431,"")</f>
        <v/>
      </c>
      <c r="J1431" s="8"/>
      <c r="M1431" s="1"/>
      <c r="N1431" s="1"/>
      <c r="O1431" s="1"/>
      <c r="P1431" s="9"/>
      <c r="Q1431" s="9"/>
      <c r="R1431" s="8"/>
      <c r="S1431" s="8"/>
      <c r="T1431" s="1"/>
    </row>
    <row r="1432" spans="1:20" x14ac:dyDescent="0.2">
      <c r="A1432" s="14">
        <f t="shared" si="22"/>
        <v>1420</v>
      </c>
      <c r="E1432" s="12" t="str">
        <f>IF($C$8&gt;=A1432,$E$1&amp;" "&amp;A1432,"")</f>
        <v/>
      </c>
      <c r="J1432" s="8"/>
      <c r="M1432" s="1"/>
      <c r="N1432" s="1"/>
      <c r="O1432" s="1"/>
      <c r="P1432" s="9"/>
      <c r="Q1432" s="9"/>
      <c r="R1432" s="8"/>
      <c r="S1432" s="8"/>
      <c r="T1432" s="1"/>
    </row>
    <row r="1433" spans="1:20" x14ac:dyDescent="0.2">
      <c r="A1433" s="14">
        <f t="shared" si="22"/>
        <v>1421</v>
      </c>
      <c r="E1433" s="12" t="str">
        <f>IF($C$8&gt;=A1433,$E$1&amp;" "&amp;A1433,"")</f>
        <v/>
      </c>
      <c r="J1433" s="8"/>
      <c r="M1433" s="1"/>
      <c r="N1433" s="1"/>
      <c r="O1433" s="1"/>
      <c r="P1433" s="9"/>
      <c r="Q1433" s="9"/>
      <c r="R1433" s="8"/>
      <c r="S1433" s="8"/>
      <c r="T1433" s="1"/>
    </row>
    <row r="1434" spans="1:20" x14ac:dyDescent="0.2">
      <c r="A1434" s="14">
        <f t="shared" si="22"/>
        <v>1422</v>
      </c>
      <c r="E1434" s="12" t="str">
        <f>IF($C$8&gt;=A1434,$E$1&amp;" "&amp;A1434,"")</f>
        <v/>
      </c>
      <c r="J1434" s="8"/>
      <c r="M1434" s="1"/>
      <c r="N1434" s="1"/>
      <c r="O1434" s="1"/>
      <c r="P1434" s="9"/>
      <c r="Q1434" s="9"/>
      <c r="R1434" s="8"/>
      <c r="S1434" s="8"/>
      <c r="T1434" s="1"/>
    </row>
    <row r="1435" spans="1:20" x14ac:dyDescent="0.2">
      <c r="A1435" s="14">
        <f t="shared" si="22"/>
        <v>1423</v>
      </c>
      <c r="E1435" s="12" t="str">
        <f>IF($C$8&gt;=A1435,$E$1&amp;" "&amp;A1435,"")</f>
        <v/>
      </c>
      <c r="J1435" s="8"/>
      <c r="M1435" s="1"/>
      <c r="N1435" s="1"/>
      <c r="O1435" s="1"/>
      <c r="P1435" s="9"/>
      <c r="Q1435" s="9"/>
      <c r="R1435" s="8"/>
      <c r="S1435" s="8"/>
      <c r="T1435" s="1"/>
    </row>
    <row r="1436" spans="1:20" x14ac:dyDescent="0.2">
      <c r="A1436" s="14">
        <f t="shared" si="22"/>
        <v>1424</v>
      </c>
      <c r="E1436" s="12" t="str">
        <f>IF($C$8&gt;=A1436,$E$1&amp;" "&amp;A1436,"")</f>
        <v/>
      </c>
      <c r="J1436" s="8"/>
      <c r="M1436" s="1"/>
      <c r="N1436" s="1"/>
      <c r="O1436" s="1"/>
      <c r="P1436" s="9"/>
      <c r="Q1436" s="9"/>
      <c r="R1436" s="8"/>
      <c r="S1436" s="8"/>
      <c r="T1436" s="1"/>
    </row>
    <row r="1437" spans="1:20" x14ac:dyDescent="0.2">
      <c r="A1437" s="14">
        <f t="shared" si="22"/>
        <v>1425</v>
      </c>
      <c r="E1437" s="12" t="str">
        <f>IF($C$8&gt;=A1437,$E$1&amp;" "&amp;A1437,"")</f>
        <v/>
      </c>
      <c r="J1437" s="8"/>
      <c r="M1437" s="1"/>
      <c r="N1437" s="1"/>
      <c r="O1437" s="1"/>
      <c r="P1437" s="9"/>
      <c r="Q1437" s="9"/>
      <c r="R1437" s="8"/>
      <c r="S1437" s="8"/>
      <c r="T1437" s="1"/>
    </row>
    <row r="1438" spans="1:20" x14ac:dyDescent="0.2">
      <c r="A1438" s="14">
        <f t="shared" si="22"/>
        <v>1426</v>
      </c>
      <c r="E1438" s="12" t="str">
        <f>IF($C$8&gt;=A1438,$E$1&amp;" "&amp;A1438,"")</f>
        <v/>
      </c>
      <c r="J1438" s="8"/>
      <c r="M1438" s="1"/>
      <c r="N1438" s="1"/>
      <c r="O1438" s="1"/>
      <c r="P1438" s="9"/>
      <c r="Q1438" s="9"/>
      <c r="R1438" s="8"/>
      <c r="S1438" s="8"/>
      <c r="T1438" s="1"/>
    </row>
    <row r="1439" spans="1:20" x14ac:dyDescent="0.2">
      <c r="A1439" s="14">
        <f t="shared" si="22"/>
        <v>1427</v>
      </c>
      <c r="E1439" s="12" t="str">
        <f>IF($C$8&gt;=A1439,$E$1&amp;" "&amp;A1439,"")</f>
        <v/>
      </c>
      <c r="J1439" s="8"/>
      <c r="M1439" s="1"/>
      <c r="N1439" s="1"/>
      <c r="O1439" s="1"/>
      <c r="P1439" s="9"/>
      <c r="Q1439" s="9"/>
      <c r="R1439" s="8"/>
      <c r="S1439" s="8"/>
      <c r="T1439" s="1"/>
    </row>
    <row r="1440" spans="1:20" x14ac:dyDescent="0.2">
      <c r="A1440" s="14">
        <f t="shared" si="22"/>
        <v>1428</v>
      </c>
      <c r="E1440" s="12" t="str">
        <f>IF($C$8&gt;=A1440,$E$1&amp;" "&amp;A1440,"")</f>
        <v/>
      </c>
      <c r="J1440" s="8"/>
      <c r="M1440" s="1"/>
      <c r="N1440" s="1"/>
      <c r="O1440" s="1"/>
      <c r="P1440" s="9"/>
      <c r="Q1440" s="9"/>
      <c r="R1440" s="8"/>
      <c r="S1440" s="8"/>
      <c r="T1440" s="1"/>
    </row>
    <row r="1441" spans="1:20" x14ac:dyDescent="0.2">
      <c r="A1441" s="14">
        <f t="shared" si="22"/>
        <v>1429</v>
      </c>
      <c r="E1441" s="12" t="str">
        <f>IF($C$8&gt;=A1441,$E$1&amp;" "&amp;A1441,"")</f>
        <v/>
      </c>
      <c r="J1441" s="8"/>
      <c r="M1441" s="1"/>
      <c r="N1441" s="1"/>
      <c r="O1441" s="1"/>
      <c r="P1441" s="9"/>
      <c r="Q1441" s="9"/>
      <c r="R1441" s="8"/>
      <c r="S1441" s="8"/>
      <c r="T1441" s="1"/>
    </row>
    <row r="1442" spans="1:20" x14ac:dyDescent="0.2">
      <c r="A1442" s="14">
        <f t="shared" si="22"/>
        <v>1430</v>
      </c>
      <c r="E1442" s="12" t="str">
        <f>IF($C$8&gt;=A1442,$E$1&amp;" "&amp;A1442,"")</f>
        <v/>
      </c>
      <c r="J1442" s="8"/>
      <c r="M1442" s="1"/>
      <c r="N1442" s="1"/>
      <c r="O1442" s="1"/>
      <c r="P1442" s="9"/>
      <c r="Q1442" s="9"/>
      <c r="R1442" s="8"/>
      <c r="S1442" s="8"/>
      <c r="T1442" s="1"/>
    </row>
    <row r="1443" spans="1:20" x14ac:dyDescent="0.2">
      <c r="A1443" s="14">
        <f t="shared" si="22"/>
        <v>1431</v>
      </c>
      <c r="E1443" s="12" t="str">
        <f>IF($C$8&gt;=A1443,$E$1&amp;" "&amp;A1443,"")</f>
        <v/>
      </c>
      <c r="J1443" s="8"/>
      <c r="M1443" s="1"/>
      <c r="N1443" s="1"/>
      <c r="O1443" s="1"/>
      <c r="P1443" s="9"/>
      <c r="Q1443" s="9"/>
      <c r="R1443" s="8"/>
      <c r="S1443" s="8"/>
      <c r="T1443" s="1"/>
    </row>
    <row r="1444" spans="1:20" x14ac:dyDescent="0.2">
      <c r="A1444" s="14">
        <f t="shared" si="22"/>
        <v>1432</v>
      </c>
      <c r="E1444" s="12" t="str">
        <f>IF($C$8&gt;=A1444,$E$1&amp;" "&amp;A1444,"")</f>
        <v/>
      </c>
      <c r="J1444" s="8"/>
      <c r="M1444" s="1"/>
      <c r="N1444" s="1"/>
      <c r="O1444" s="1"/>
      <c r="P1444" s="9"/>
      <c r="Q1444" s="9"/>
      <c r="R1444" s="8"/>
      <c r="S1444" s="8"/>
      <c r="T1444" s="1"/>
    </row>
    <row r="1445" spans="1:20" x14ac:dyDescent="0.2">
      <c r="A1445" s="14">
        <f t="shared" si="22"/>
        <v>1433</v>
      </c>
      <c r="E1445" s="12" t="str">
        <f>IF($C$8&gt;=A1445,$E$1&amp;" "&amp;A1445,"")</f>
        <v/>
      </c>
      <c r="J1445" s="8"/>
      <c r="M1445" s="1"/>
      <c r="N1445" s="1"/>
      <c r="O1445" s="1"/>
      <c r="P1445" s="9"/>
      <c r="Q1445" s="9"/>
      <c r="R1445" s="8"/>
      <c r="S1445" s="8"/>
      <c r="T1445" s="1"/>
    </row>
    <row r="1446" spans="1:20" x14ac:dyDescent="0.2">
      <c r="A1446" s="14">
        <f t="shared" si="22"/>
        <v>1434</v>
      </c>
      <c r="E1446" s="12" t="str">
        <f>IF($C$8&gt;=A1446,$E$1&amp;" "&amp;A1446,"")</f>
        <v/>
      </c>
      <c r="J1446" s="8"/>
      <c r="M1446" s="1"/>
      <c r="N1446" s="1"/>
      <c r="O1446" s="1"/>
      <c r="P1446" s="9"/>
      <c r="Q1446" s="9"/>
      <c r="R1446" s="8"/>
      <c r="S1446" s="8"/>
      <c r="T1446" s="1"/>
    </row>
    <row r="1447" spans="1:20" x14ac:dyDescent="0.2">
      <c r="A1447" s="14">
        <f t="shared" si="22"/>
        <v>1435</v>
      </c>
      <c r="E1447" s="12" t="str">
        <f>IF($C$8&gt;=A1447,$E$1&amp;" "&amp;A1447,"")</f>
        <v/>
      </c>
      <c r="J1447" s="8"/>
      <c r="M1447" s="1"/>
      <c r="N1447" s="1"/>
      <c r="O1447" s="1"/>
      <c r="P1447" s="9"/>
      <c r="Q1447" s="9"/>
      <c r="R1447" s="8"/>
      <c r="S1447" s="8"/>
      <c r="T1447" s="1"/>
    </row>
    <row r="1448" spans="1:20" x14ac:dyDescent="0.2">
      <c r="A1448" s="14">
        <f t="shared" si="22"/>
        <v>1436</v>
      </c>
      <c r="E1448" s="12" t="str">
        <f>IF($C$8&gt;=A1448,$E$1&amp;" "&amp;A1448,"")</f>
        <v/>
      </c>
      <c r="J1448" s="8"/>
      <c r="M1448" s="1"/>
      <c r="N1448" s="1"/>
      <c r="O1448" s="1"/>
      <c r="P1448" s="9"/>
      <c r="Q1448" s="9"/>
      <c r="R1448" s="8"/>
      <c r="S1448" s="8"/>
      <c r="T1448" s="1"/>
    </row>
    <row r="1449" spans="1:20" x14ac:dyDescent="0.2">
      <c r="A1449" s="14">
        <f t="shared" si="22"/>
        <v>1437</v>
      </c>
      <c r="E1449" s="12" t="str">
        <f>IF($C$8&gt;=A1449,$E$1&amp;" "&amp;A1449,"")</f>
        <v/>
      </c>
      <c r="J1449" s="8"/>
      <c r="M1449" s="1"/>
      <c r="N1449" s="1"/>
      <c r="O1449" s="1"/>
      <c r="P1449" s="9"/>
      <c r="Q1449" s="9"/>
      <c r="R1449" s="8"/>
      <c r="S1449" s="8"/>
      <c r="T1449" s="1"/>
    </row>
    <row r="1450" spans="1:20" x14ac:dyDescent="0.2">
      <c r="A1450" s="14">
        <f t="shared" si="22"/>
        <v>1438</v>
      </c>
      <c r="E1450" s="12" t="str">
        <f>IF($C$8&gt;=A1450,$E$1&amp;" "&amp;A1450,"")</f>
        <v/>
      </c>
      <c r="J1450" s="8"/>
      <c r="M1450" s="1"/>
      <c r="N1450" s="1"/>
      <c r="O1450" s="1"/>
      <c r="P1450" s="9"/>
      <c r="Q1450" s="9"/>
      <c r="R1450" s="8"/>
      <c r="S1450" s="8"/>
      <c r="T1450" s="1"/>
    </row>
    <row r="1451" spans="1:20" x14ac:dyDescent="0.2">
      <c r="A1451" s="14">
        <f t="shared" si="22"/>
        <v>1439</v>
      </c>
      <c r="E1451" s="12" t="str">
        <f>IF($C$8&gt;=A1451,$E$1&amp;" "&amp;A1451,"")</f>
        <v/>
      </c>
      <c r="J1451" s="8"/>
      <c r="M1451" s="1"/>
      <c r="N1451" s="1"/>
      <c r="O1451" s="1"/>
      <c r="P1451" s="9"/>
      <c r="Q1451" s="9"/>
      <c r="R1451" s="8"/>
      <c r="S1451" s="8"/>
      <c r="T1451" s="1"/>
    </row>
    <row r="1452" spans="1:20" x14ac:dyDescent="0.2">
      <c r="A1452" s="14">
        <f t="shared" si="22"/>
        <v>1440</v>
      </c>
      <c r="E1452" s="12" t="str">
        <f>IF($C$8&gt;=A1452,$E$1&amp;" "&amp;A1452,"")</f>
        <v/>
      </c>
      <c r="J1452" s="8"/>
      <c r="M1452" s="1"/>
      <c r="N1452" s="1"/>
      <c r="O1452" s="1"/>
      <c r="P1452" s="9"/>
      <c r="Q1452" s="9"/>
      <c r="R1452" s="8"/>
      <c r="S1452" s="8"/>
      <c r="T1452" s="1"/>
    </row>
    <row r="1453" spans="1:20" x14ac:dyDescent="0.2">
      <c r="A1453" s="14">
        <f t="shared" si="22"/>
        <v>1441</v>
      </c>
      <c r="E1453" s="12" t="str">
        <f>IF($C$8&gt;=A1453,$E$1&amp;" "&amp;A1453,"")</f>
        <v/>
      </c>
      <c r="J1453" s="8"/>
      <c r="M1453" s="1"/>
      <c r="N1453" s="1"/>
      <c r="O1453" s="1"/>
      <c r="P1453" s="9"/>
      <c r="Q1453" s="9"/>
      <c r="R1453" s="8"/>
      <c r="S1453" s="8"/>
      <c r="T1453" s="1"/>
    </row>
    <row r="1454" spans="1:20" x14ac:dyDescent="0.2">
      <c r="A1454" s="14">
        <f t="shared" si="22"/>
        <v>1442</v>
      </c>
      <c r="E1454" s="12" t="str">
        <f>IF($C$8&gt;=A1454,$E$1&amp;" "&amp;A1454,"")</f>
        <v/>
      </c>
      <c r="J1454" s="8"/>
      <c r="M1454" s="1"/>
      <c r="N1454" s="1"/>
      <c r="O1454" s="1"/>
      <c r="P1454" s="9"/>
      <c r="Q1454" s="9"/>
      <c r="R1454" s="8"/>
      <c r="S1454" s="8"/>
      <c r="T1454" s="1"/>
    </row>
    <row r="1455" spans="1:20" x14ac:dyDescent="0.2">
      <c r="A1455" s="14">
        <f t="shared" si="22"/>
        <v>1443</v>
      </c>
      <c r="E1455" s="12" t="str">
        <f>IF($C$8&gt;=A1455,$E$1&amp;" "&amp;A1455,"")</f>
        <v/>
      </c>
      <c r="J1455" s="8"/>
      <c r="M1455" s="1"/>
      <c r="N1455" s="1"/>
      <c r="O1455" s="1"/>
      <c r="P1455" s="9"/>
      <c r="Q1455" s="9"/>
      <c r="R1455" s="8"/>
      <c r="S1455" s="8"/>
      <c r="T1455" s="1"/>
    </row>
    <row r="1456" spans="1:20" x14ac:dyDescent="0.2">
      <c r="A1456" s="14">
        <f t="shared" si="22"/>
        <v>1444</v>
      </c>
      <c r="E1456" s="12" t="str">
        <f>IF($C$8&gt;=A1456,$E$1&amp;" "&amp;A1456,"")</f>
        <v/>
      </c>
      <c r="J1456" s="8"/>
      <c r="M1456" s="1"/>
      <c r="N1456" s="1"/>
      <c r="O1456" s="1"/>
      <c r="P1456" s="9"/>
      <c r="Q1456" s="9"/>
      <c r="R1456" s="8"/>
      <c r="S1456" s="8"/>
      <c r="T1456" s="1"/>
    </row>
    <row r="1457" spans="1:20" x14ac:dyDescent="0.2">
      <c r="A1457" s="14">
        <f t="shared" si="22"/>
        <v>1445</v>
      </c>
      <c r="E1457" s="12" t="str">
        <f>IF($C$8&gt;=A1457,$E$1&amp;" "&amp;A1457,"")</f>
        <v/>
      </c>
      <c r="J1457" s="8"/>
      <c r="M1457" s="1"/>
      <c r="N1457" s="1"/>
      <c r="O1457" s="1"/>
      <c r="P1457" s="9"/>
      <c r="Q1457" s="9"/>
      <c r="R1457" s="8"/>
      <c r="S1457" s="8"/>
      <c r="T1457" s="1"/>
    </row>
    <row r="1458" spans="1:20" x14ac:dyDescent="0.2">
      <c r="A1458" s="14">
        <f t="shared" si="22"/>
        <v>1446</v>
      </c>
      <c r="E1458" s="12" t="str">
        <f>IF($C$8&gt;=A1458,$E$1&amp;" "&amp;A1458,"")</f>
        <v/>
      </c>
      <c r="J1458" s="8"/>
      <c r="M1458" s="1"/>
      <c r="N1458" s="1"/>
      <c r="O1458" s="1"/>
      <c r="P1458" s="9"/>
      <c r="Q1458" s="9"/>
      <c r="R1458" s="8"/>
      <c r="S1458" s="8"/>
      <c r="T1458" s="1"/>
    </row>
    <row r="1459" spans="1:20" x14ac:dyDescent="0.2">
      <c r="A1459" s="14">
        <f t="shared" si="22"/>
        <v>1447</v>
      </c>
      <c r="E1459" s="12" t="str">
        <f>IF($C$8&gt;=A1459,$E$1&amp;" "&amp;A1459,"")</f>
        <v/>
      </c>
      <c r="J1459" s="8"/>
      <c r="M1459" s="1"/>
      <c r="N1459" s="1"/>
      <c r="O1459" s="1"/>
      <c r="P1459" s="9"/>
      <c r="Q1459" s="9"/>
      <c r="R1459" s="8"/>
      <c r="S1459" s="8"/>
      <c r="T1459" s="1"/>
    </row>
    <row r="1460" spans="1:20" x14ac:dyDescent="0.2">
      <c r="A1460" s="14">
        <f t="shared" si="22"/>
        <v>1448</v>
      </c>
      <c r="E1460" s="12" t="str">
        <f>IF($C$8&gt;=A1460,$E$1&amp;" "&amp;A1460,"")</f>
        <v/>
      </c>
      <c r="J1460" s="8"/>
      <c r="M1460" s="1"/>
      <c r="N1460" s="1"/>
      <c r="O1460" s="1"/>
      <c r="P1460" s="9"/>
      <c r="Q1460" s="9"/>
      <c r="R1460" s="8"/>
      <c r="S1460" s="8"/>
      <c r="T1460" s="1"/>
    </row>
    <row r="1461" spans="1:20" x14ac:dyDescent="0.2">
      <c r="A1461" s="14">
        <f t="shared" si="22"/>
        <v>1449</v>
      </c>
      <c r="E1461" s="12" t="str">
        <f>IF($C$8&gt;=A1461,$E$1&amp;" "&amp;A1461,"")</f>
        <v/>
      </c>
      <c r="J1461" s="8"/>
      <c r="M1461" s="1"/>
      <c r="N1461" s="1"/>
      <c r="O1461" s="1"/>
      <c r="P1461" s="9"/>
      <c r="Q1461" s="9"/>
      <c r="R1461" s="8"/>
      <c r="S1461" s="8"/>
      <c r="T1461" s="1"/>
    </row>
    <row r="1462" spans="1:20" x14ac:dyDescent="0.2">
      <c r="A1462" s="14">
        <f t="shared" si="22"/>
        <v>1450</v>
      </c>
      <c r="E1462" s="12" t="str">
        <f>IF($C$8&gt;=A1462,$E$1&amp;" "&amp;A1462,"")</f>
        <v/>
      </c>
      <c r="J1462" s="8"/>
      <c r="M1462" s="1"/>
      <c r="N1462" s="1"/>
      <c r="O1462" s="1"/>
      <c r="P1462" s="9"/>
      <c r="Q1462" s="9"/>
      <c r="R1462" s="8"/>
      <c r="S1462" s="8"/>
      <c r="T1462" s="1"/>
    </row>
    <row r="1463" spans="1:20" x14ac:dyDescent="0.2">
      <c r="A1463" s="14">
        <f t="shared" si="22"/>
        <v>1451</v>
      </c>
      <c r="E1463" s="12" t="str">
        <f>IF($C$8&gt;=A1463,$E$1&amp;" "&amp;A1463,"")</f>
        <v/>
      </c>
      <c r="J1463" s="8"/>
      <c r="M1463" s="1"/>
      <c r="N1463" s="1"/>
      <c r="O1463" s="1"/>
      <c r="P1463" s="9"/>
      <c r="Q1463" s="9"/>
      <c r="R1463" s="8"/>
      <c r="S1463" s="8"/>
      <c r="T1463" s="1"/>
    </row>
    <row r="1464" spans="1:20" x14ac:dyDescent="0.2">
      <c r="A1464" s="14">
        <f t="shared" si="22"/>
        <v>1452</v>
      </c>
      <c r="E1464" s="12" t="str">
        <f>IF($C$8&gt;=A1464,$E$1&amp;" "&amp;A1464,"")</f>
        <v/>
      </c>
      <c r="J1464" s="8"/>
      <c r="M1464" s="1"/>
      <c r="N1464" s="1"/>
      <c r="O1464" s="1"/>
      <c r="P1464" s="9"/>
      <c r="Q1464" s="9"/>
      <c r="R1464" s="8"/>
      <c r="S1464" s="8"/>
      <c r="T1464" s="1"/>
    </row>
    <row r="1465" spans="1:20" x14ac:dyDescent="0.2">
      <c r="A1465" s="14">
        <f t="shared" si="22"/>
        <v>1453</v>
      </c>
      <c r="E1465" s="12" t="str">
        <f>IF($C$8&gt;=A1465,$E$1&amp;" "&amp;A1465,"")</f>
        <v/>
      </c>
      <c r="J1465" s="8"/>
      <c r="M1465" s="1"/>
      <c r="N1465" s="1"/>
      <c r="O1465" s="1"/>
      <c r="P1465" s="9"/>
      <c r="Q1465" s="9"/>
      <c r="R1465" s="8"/>
      <c r="S1465" s="8"/>
      <c r="T1465" s="1"/>
    </row>
    <row r="1466" spans="1:20" x14ac:dyDescent="0.2">
      <c r="A1466" s="14">
        <f t="shared" si="22"/>
        <v>1454</v>
      </c>
      <c r="E1466" s="12" t="str">
        <f>IF($C$8&gt;=A1466,$E$1&amp;" "&amp;A1466,"")</f>
        <v/>
      </c>
      <c r="J1466" s="8"/>
      <c r="M1466" s="1"/>
      <c r="N1466" s="1"/>
      <c r="O1466" s="1"/>
      <c r="P1466" s="9"/>
      <c r="Q1466" s="9"/>
      <c r="R1466" s="8"/>
      <c r="S1466" s="8"/>
      <c r="T1466" s="1"/>
    </row>
    <row r="1467" spans="1:20" x14ac:dyDescent="0.2">
      <c r="A1467" s="14">
        <f t="shared" si="22"/>
        <v>1455</v>
      </c>
      <c r="E1467" s="12" t="str">
        <f>IF($C$8&gt;=A1467,$E$1&amp;" "&amp;A1467,"")</f>
        <v/>
      </c>
      <c r="J1467" s="8"/>
      <c r="M1467" s="1"/>
      <c r="N1467" s="1"/>
      <c r="O1467" s="1"/>
      <c r="P1467" s="9"/>
      <c r="Q1467" s="9"/>
      <c r="R1467" s="8"/>
      <c r="S1467" s="8"/>
      <c r="T1467" s="1"/>
    </row>
    <row r="1468" spans="1:20" x14ac:dyDescent="0.2">
      <c r="A1468" s="14">
        <f t="shared" si="22"/>
        <v>1456</v>
      </c>
      <c r="E1468" s="12" t="str">
        <f>IF($C$8&gt;=A1468,$E$1&amp;" "&amp;A1468,"")</f>
        <v/>
      </c>
      <c r="J1468" s="8"/>
      <c r="M1468" s="1"/>
      <c r="N1468" s="1"/>
      <c r="O1468" s="1"/>
      <c r="P1468" s="9"/>
      <c r="Q1468" s="9"/>
      <c r="R1468" s="8"/>
      <c r="S1468" s="8"/>
      <c r="T1468" s="1"/>
    </row>
    <row r="1469" spans="1:20" x14ac:dyDescent="0.2">
      <c r="A1469" s="14">
        <f t="shared" si="22"/>
        <v>1457</v>
      </c>
      <c r="E1469" s="12" t="str">
        <f>IF($C$8&gt;=A1469,$E$1&amp;" "&amp;A1469,"")</f>
        <v/>
      </c>
      <c r="J1469" s="8"/>
      <c r="M1469" s="1"/>
      <c r="N1469" s="1"/>
      <c r="O1469" s="1"/>
      <c r="P1469" s="9"/>
      <c r="Q1469" s="9"/>
      <c r="R1469" s="8"/>
      <c r="S1469" s="8"/>
      <c r="T1469" s="1"/>
    </row>
    <row r="1470" spans="1:20" x14ac:dyDescent="0.2">
      <c r="A1470" s="14">
        <f t="shared" si="22"/>
        <v>1458</v>
      </c>
      <c r="E1470" s="12" t="str">
        <f>IF($C$8&gt;=A1470,$E$1&amp;" "&amp;A1470,"")</f>
        <v/>
      </c>
      <c r="J1470" s="8"/>
      <c r="M1470" s="1"/>
      <c r="N1470" s="1"/>
      <c r="O1470" s="1"/>
      <c r="P1470" s="9"/>
      <c r="Q1470" s="9"/>
      <c r="R1470" s="8"/>
      <c r="S1470" s="8"/>
      <c r="T1470" s="1"/>
    </row>
    <row r="1471" spans="1:20" x14ac:dyDescent="0.2">
      <c r="A1471" s="14">
        <f t="shared" si="22"/>
        <v>1459</v>
      </c>
      <c r="E1471" s="12" t="str">
        <f>IF($C$8&gt;=A1471,$E$1&amp;" "&amp;A1471,"")</f>
        <v/>
      </c>
      <c r="J1471" s="8"/>
      <c r="M1471" s="1"/>
      <c r="N1471" s="1"/>
      <c r="O1471" s="1"/>
      <c r="P1471" s="9"/>
      <c r="Q1471" s="9"/>
      <c r="R1471" s="8"/>
      <c r="S1471" s="8"/>
      <c r="T1471" s="1"/>
    </row>
    <row r="1472" spans="1:20" x14ac:dyDescent="0.2">
      <c r="A1472" s="14">
        <f t="shared" si="22"/>
        <v>1460</v>
      </c>
      <c r="E1472" s="12" t="str">
        <f>IF($C$8&gt;=A1472,$E$1&amp;" "&amp;A1472,"")</f>
        <v/>
      </c>
      <c r="J1472" s="8"/>
      <c r="M1472" s="1"/>
      <c r="N1472" s="1"/>
      <c r="O1472" s="1"/>
      <c r="P1472" s="9"/>
      <c r="Q1472" s="9"/>
      <c r="R1472" s="8"/>
      <c r="S1472" s="8"/>
      <c r="T1472" s="1"/>
    </row>
    <row r="1473" spans="1:20" x14ac:dyDescent="0.2">
      <c r="A1473" s="14">
        <f t="shared" si="22"/>
        <v>1461</v>
      </c>
      <c r="E1473" s="12" t="str">
        <f>IF($C$8&gt;=A1473,$E$1&amp;" "&amp;A1473,"")</f>
        <v/>
      </c>
      <c r="J1473" s="8"/>
      <c r="M1473" s="1"/>
      <c r="N1473" s="1"/>
      <c r="O1473" s="1"/>
      <c r="P1473" s="9"/>
      <c r="Q1473" s="9"/>
      <c r="R1473" s="8"/>
      <c r="S1473" s="8"/>
      <c r="T1473" s="1"/>
    </row>
    <row r="1474" spans="1:20" x14ac:dyDescent="0.2">
      <c r="A1474" s="14">
        <f t="shared" si="22"/>
        <v>1462</v>
      </c>
      <c r="E1474" s="12" t="str">
        <f>IF($C$8&gt;=A1474,$E$1&amp;" "&amp;A1474,"")</f>
        <v/>
      </c>
      <c r="J1474" s="8"/>
      <c r="M1474" s="1"/>
      <c r="N1474" s="1"/>
      <c r="O1474" s="1"/>
      <c r="P1474" s="9"/>
      <c r="Q1474" s="9"/>
      <c r="R1474" s="8"/>
      <c r="S1474" s="8"/>
      <c r="T1474" s="1"/>
    </row>
    <row r="1475" spans="1:20" x14ac:dyDescent="0.2">
      <c r="A1475" s="14">
        <f t="shared" si="22"/>
        <v>1463</v>
      </c>
      <c r="E1475" s="12" t="str">
        <f>IF($C$8&gt;=A1475,$E$1&amp;" "&amp;A1475,"")</f>
        <v/>
      </c>
      <c r="J1475" s="8"/>
      <c r="M1475" s="1"/>
      <c r="N1475" s="1"/>
      <c r="O1475" s="1"/>
      <c r="P1475" s="9"/>
      <c r="Q1475" s="9"/>
      <c r="R1475" s="8"/>
      <c r="S1475" s="8"/>
      <c r="T1475" s="1"/>
    </row>
    <row r="1476" spans="1:20" x14ac:dyDescent="0.2">
      <c r="A1476" s="14">
        <f t="shared" si="22"/>
        <v>1464</v>
      </c>
      <c r="E1476" s="12" t="str">
        <f>IF($C$8&gt;=A1476,$E$1&amp;" "&amp;A1476,"")</f>
        <v/>
      </c>
      <c r="J1476" s="8"/>
      <c r="M1476" s="1"/>
      <c r="N1476" s="1"/>
      <c r="O1476" s="1"/>
      <c r="P1476" s="9"/>
      <c r="Q1476" s="9"/>
      <c r="R1476" s="8"/>
      <c r="S1476" s="8"/>
      <c r="T1476" s="1"/>
    </row>
    <row r="1477" spans="1:20" x14ac:dyDescent="0.2">
      <c r="A1477" s="14">
        <f t="shared" si="22"/>
        <v>1465</v>
      </c>
      <c r="E1477" s="12" t="str">
        <f>IF($C$8&gt;=A1477,$E$1&amp;" "&amp;A1477,"")</f>
        <v/>
      </c>
      <c r="J1477" s="8"/>
      <c r="M1477" s="1"/>
      <c r="N1477" s="1"/>
      <c r="O1477" s="1"/>
      <c r="P1477" s="9"/>
      <c r="Q1477" s="9"/>
      <c r="R1477" s="8"/>
      <c r="S1477" s="8"/>
      <c r="T1477" s="1"/>
    </row>
    <row r="1478" spans="1:20" x14ac:dyDescent="0.2">
      <c r="A1478" s="14">
        <f t="shared" si="22"/>
        <v>1466</v>
      </c>
      <c r="E1478" s="12" t="str">
        <f>IF($C$8&gt;=A1478,$E$1&amp;" "&amp;A1478,"")</f>
        <v/>
      </c>
      <c r="J1478" s="8"/>
      <c r="M1478" s="1"/>
      <c r="N1478" s="1"/>
      <c r="O1478" s="1"/>
      <c r="P1478" s="9"/>
      <c r="Q1478" s="9"/>
      <c r="R1478" s="8"/>
      <c r="S1478" s="8"/>
      <c r="T1478" s="1"/>
    </row>
    <row r="1479" spans="1:20" x14ac:dyDescent="0.2">
      <c r="A1479" s="14">
        <f t="shared" si="22"/>
        <v>1467</v>
      </c>
      <c r="E1479" s="12" t="str">
        <f>IF($C$8&gt;=A1479,$E$1&amp;" "&amp;A1479,"")</f>
        <v/>
      </c>
      <c r="J1479" s="8"/>
      <c r="M1479" s="1"/>
      <c r="N1479" s="1"/>
      <c r="O1479" s="1"/>
      <c r="P1479" s="9"/>
      <c r="Q1479" s="9"/>
      <c r="R1479" s="8"/>
      <c r="S1479" s="8"/>
      <c r="T1479" s="1"/>
    </row>
    <row r="1480" spans="1:20" x14ac:dyDescent="0.2">
      <c r="A1480" s="14">
        <f t="shared" si="22"/>
        <v>1468</v>
      </c>
      <c r="E1480" s="12" t="str">
        <f>IF($C$8&gt;=A1480,$E$1&amp;" "&amp;A1480,"")</f>
        <v/>
      </c>
      <c r="J1480" s="8"/>
      <c r="M1480" s="1"/>
      <c r="N1480" s="1"/>
      <c r="O1480" s="1"/>
      <c r="P1480" s="9"/>
      <c r="Q1480" s="9"/>
      <c r="R1480" s="8"/>
      <c r="S1480" s="8"/>
      <c r="T1480" s="1"/>
    </row>
    <row r="1481" spans="1:20" x14ac:dyDescent="0.2">
      <c r="A1481" s="14">
        <f t="shared" si="22"/>
        <v>1469</v>
      </c>
      <c r="E1481" s="12" t="str">
        <f>IF($C$8&gt;=A1481,$E$1&amp;" "&amp;A1481,"")</f>
        <v/>
      </c>
      <c r="J1481" s="8"/>
      <c r="M1481" s="1"/>
      <c r="N1481" s="1"/>
      <c r="O1481" s="1"/>
      <c r="P1481" s="9"/>
      <c r="Q1481" s="9"/>
      <c r="R1481" s="8"/>
      <c r="S1481" s="8"/>
      <c r="T1481" s="1"/>
    </row>
    <row r="1482" spans="1:20" x14ac:dyDescent="0.2">
      <c r="A1482" s="14">
        <f t="shared" si="22"/>
        <v>1470</v>
      </c>
      <c r="E1482" s="12" t="str">
        <f>IF($C$8&gt;=A1482,$E$1&amp;" "&amp;A1482,"")</f>
        <v/>
      </c>
      <c r="J1482" s="8"/>
      <c r="M1482" s="1"/>
      <c r="N1482" s="1"/>
      <c r="O1482" s="1"/>
      <c r="P1482" s="9"/>
      <c r="Q1482" s="9"/>
      <c r="R1482" s="8"/>
      <c r="S1482" s="8"/>
      <c r="T1482" s="1"/>
    </row>
    <row r="1483" spans="1:20" x14ac:dyDescent="0.2">
      <c r="A1483" s="14">
        <f t="shared" si="22"/>
        <v>1471</v>
      </c>
      <c r="E1483" s="12" t="str">
        <f>IF($C$8&gt;=A1483,$E$1&amp;" "&amp;A1483,"")</f>
        <v/>
      </c>
      <c r="J1483" s="8"/>
      <c r="M1483" s="1"/>
      <c r="N1483" s="1"/>
      <c r="O1483" s="1"/>
      <c r="P1483" s="9"/>
      <c r="Q1483" s="9"/>
      <c r="R1483" s="8"/>
      <c r="S1483" s="8"/>
      <c r="T1483" s="1"/>
    </row>
    <row r="1484" spans="1:20" x14ac:dyDescent="0.2">
      <c r="A1484" s="14">
        <f t="shared" si="22"/>
        <v>1472</v>
      </c>
      <c r="E1484" s="12" t="str">
        <f>IF($C$8&gt;=A1484,$E$1&amp;" "&amp;A1484,"")</f>
        <v/>
      </c>
      <c r="J1484" s="8"/>
      <c r="M1484" s="1"/>
      <c r="N1484" s="1"/>
      <c r="O1484" s="1"/>
      <c r="P1484" s="9"/>
      <c r="Q1484" s="9"/>
      <c r="R1484" s="8"/>
      <c r="S1484" s="8"/>
      <c r="T1484" s="1"/>
    </row>
    <row r="1485" spans="1:20" x14ac:dyDescent="0.2">
      <c r="A1485" s="14">
        <f t="shared" si="22"/>
        <v>1473</v>
      </c>
      <c r="E1485" s="12" t="str">
        <f>IF($C$8&gt;=A1485,$E$1&amp;" "&amp;A1485,"")</f>
        <v/>
      </c>
      <c r="J1485" s="8"/>
      <c r="M1485" s="1"/>
      <c r="N1485" s="1"/>
      <c r="O1485" s="1"/>
      <c r="P1485" s="9"/>
      <c r="Q1485" s="9"/>
      <c r="R1485" s="8"/>
      <c r="S1485" s="8"/>
      <c r="T1485" s="1"/>
    </row>
    <row r="1486" spans="1:20" x14ac:dyDescent="0.2">
      <c r="A1486" s="14">
        <f t="shared" si="22"/>
        <v>1474</v>
      </c>
      <c r="E1486" s="12" t="str">
        <f>IF($C$8&gt;=A1486,$E$1&amp;" "&amp;A1486,"")</f>
        <v/>
      </c>
      <c r="J1486" s="8"/>
      <c r="M1486" s="1"/>
      <c r="N1486" s="1"/>
      <c r="O1486" s="1"/>
      <c r="P1486" s="9"/>
      <c r="Q1486" s="9"/>
      <c r="R1486" s="8"/>
      <c r="S1486" s="8"/>
      <c r="T1486" s="1"/>
    </row>
    <row r="1487" spans="1:20" x14ac:dyDescent="0.2">
      <c r="A1487" s="14">
        <f t="shared" ref="A1487:A1512" si="23">A1486+1</f>
        <v>1475</v>
      </c>
      <c r="E1487" s="12" t="str">
        <f>IF($C$8&gt;=A1487,$E$1&amp;" "&amp;A1487,"")</f>
        <v/>
      </c>
      <c r="J1487" s="8"/>
      <c r="M1487" s="1"/>
      <c r="N1487" s="1"/>
      <c r="O1487" s="1"/>
      <c r="P1487" s="9"/>
      <c r="Q1487" s="9"/>
      <c r="R1487" s="8"/>
      <c r="S1487" s="8"/>
      <c r="T1487" s="1"/>
    </row>
    <row r="1488" spans="1:20" x14ac:dyDescent="0.2">
      <c r="A1488" s="14">
        <f t="shared" si="23"/>
        <v>1476</v>
      </c>
      <c r="E1488" s="12" t="str">
        <f>IF($C$8&gt;=A1488,$E$1&amp;" "&amp;A1488,"")</f>
        <v/>
      </c>
      <c r="J1488" s="8"/>
      <c r="M1488" s="1"/>
      <c r="N1488" s="1"/>
      <c r="O1488" s="1"/>
      <c r="P1488" s="9"/>
      <c r="Q1488" s="9"/>
      <c r="R1488" s="8"/>
      <c r="S1488" s="8"/>
      <c r="T1488" s="1"/>
    </row>
    <row r="1489" spans="1:20" x14ac:dyDescent="0.2">
      <c r="A1489" s="14">
        <f t="shared" si="23"/>
        <v>1477</v>
      </c>
      <c r="E1489" s="12" t="str">
        <f>IF($C$8&gt;=A1489,$E$1&amp;" "&amp;A1489,"")</f>
        <v/>
      </c>
      <c r="J1489" s="8"/>
      <c r="M1489" s="1"/>
      <c r="N1489" s="1"/>
      <c r="O1489" s="1"/>
      <c r="P1489" s="9"/>
      <c r="Q1489" s="9"/>
      <c r="R1489" s="8"/>
      <c r="S1489" s="8"/>
      <c r="T1489" s="1"/>
    </row>
    <row r="1490" spans="1:20" x14ac:dyDescent="0.2">
      <c r="A1490" s="14">
        <f t="shared" si="23"/>
        <v>1478</v>
      </c>
      <c r="E1490" s="12" t="str">
        <f>IF($C$8&gt;=A1490,$E$1&amp;" "&amp;A1490,"")</f>
        <v/>
      </c>
      <c r="J1490" s="8"/>
      <c r="M1490" s="1"/>
      <c r="N1490" s="1"/>
      <c r="O1490" s="1"/>
      <c r="P1490" s="9"/>
      <c r="Q1490" s="9"/>
      <c r="R1490" s="8"/>
      <c r="S1490" s="8"/>
      <c r="T1490" s="1"/>
    </row>
    <row r="1491" spans="1:20" x14ac:dyDescent="0.2">
      <c r="A1491" s="14">
        <f t="shared" si="23"/>
        <v>1479</v>
      </c>
      <c r="E1491" s="12" t="str">
        <f>IF($C$8&gt;=A1491,$E$1&amp;" "&amp;A1491,"")</f>
        <v/>
      </c>
      <c r="J1491" s="8"/>
      <c r="M1491" s="1"/>
      <c r="N1491" s="1"/>
      <c r="O1491" s="1"/>
      <c r="P1491" s="9"/>
      <c r="Q1491" s="9"/>
      <c r="R1491" s="8"/>
      <c r="S1491" s="8"/>
      <c r="T1491" s="1"/>
    </row>
    <row r="1492" spans="1:20" x14ac:dyDescent="0.2">
      <c r="A1492" s="14">
        <f t="shared" si="23"/>
        <v>1480</v>
      </c>
      <c r="E1492" s="12" t="str">
        <f>IF($C$8&gt;=A1492,$E$1&amp;" "&amp;A1492,"")</f>
        <v/>
      </c>
      <c r="J1492" s="8"/>
      <c r="M1492" s="1"/>
      <c r="N1492" s="1"/>
      <c r="O1492" s="1"/>
      <c r="P1492" s="9"/>
      <c r="Q1492" s="9"/>
      <c r="R1492" s="8"/>
      <c r="S1492" s="8"/>
      <c r="T1492" s="1"/>
    </row>
    <row r="1493" spans="1:20" x14ac:dyDescent="0.2">
      <c r="A1493" s="14">
        <f t="shared" si="23"/>
        <v>1481</v>
      </c>
      <c r="E1493" s="12" t="str">
        <f>IF($C$8&gt;=A1493,$E$1&amp;" "&amp;A1493,"")</f>
        <v/>
      </c>
      <c r="J1493" s="8"/>
      <c r="M1493" s="1"/>
      <c r="N1493" s="1"/>
      <c r="O1493" s="1"/>
      <c r="P1493" s="9"/>
      <c r="Q1493" s="9"/>
      <c r="R1493" s="8"/>
      <c r="S1493" s="8"/>
      <c r="T1493" s="1"/>
    </row>
    <row r="1494" spans="1:20" x14ac:dyDescent="0.2">
      <c r="A1494" s="14">
        <f t="shared" si="23"/>
        <v>1482</v>
      </c>
      <c r="E1494" s="12" t="str">
        <f>IF($C$8&gt;=A1494,$E$1&amp;" "&amp;A1494,"")</f>
        <v/>
      </c>
      <c r="J1494" s="8"/>
      <c r="M1494" s="1"/>
      <c r="N1494" s="1"/>
      <c r="O1494" s="1"/>
      <c r="P1494" s="9"/>
      <c r="Q1494" s="9"/>
      <c r="R1494" s="8"/>
      <c r="S1494" s="8"/>
      <c r="T1494" s="1"/>
    </row>
    <row r="1495" spans="1:20" x14ac:dyDescent="0.2">
      <c r="A1495" s="14">
        <f t="shared" si="23"/>
        <v>1483</v>
      </c>
      <c r="E1495" s="12" t="str">
        <f>IF($C$8&gt;=A1495,$E$1&amp;" "&amp;A1495,"")</f>
        <v/>
      </c>
      <c r="J1495" s="8"/>
      <c r="M1495" s="1"/>
      <c r="N1495" s="1"/>
      <c r="O1495" s="1"/>
      <c r="P1495" s="9"/>
      <c r="Q1495" s="9"/>
      <c r="R1495" s="8"/>
      <c r="S1495" s="8"/>
      <c r="T1495" s="1"/>
    </row>
    <row r="1496" spans="1:20" x14ac:dyDescent="0.2">
      <c r="A1496" s="14">
        <f t="shared" si="23"/>
        <v>1484</v>
      </c>
      <c r="E1496" s="12" t="str">
        <f>IF($C$8&gt;=A1496,$E$1&amp;" "&amp;A1496,"")</f>
        <v/>
      </c>
      <c r="J1496" s="8"/>
      <c r="M1496" s="1"/>
      <c r="N1496" s="1"/>
      <c r="O1496" s="1"/>
      <c r="P1496" s="9"/>
      <c r="Q1496" s="9"/>
      <c r="R1496" s="8"/>
      <c r="S1496" s="8"/>
      <c r="T1496" s="1"/>
    </row>
    <row r="1497" spans="1:20" x14ac:dyDescent="0.2">
      <c r="A1497" s="14">
        <f t="shared" si="23"/>
        <v>1485</v>
      </c>
      <c r="E1497" s="12" t="str">
        <f>IF($C$8&gt;=A1497,$E$1&amp;" "&amp;A1497,"")</f>
        <v/>
      </c>
      <c r="J1497" s="8"/>
      <c r="M1497" s="1"/>
      <c r="N1497" s="1"/>
      <c r="O1497" s="1"/>
      <c r="P1497" s="9"/>
      <c r="Q1497" s="9"/>
      <c r="R1497" s="8"/>
      <c r="S1497" s="8"/>
      <c r="T1497" s="1"/>
    </row>
    <row r="1498" spans="1:20" x14ac:dyDescent="0.2">
      <c r="A1498" s="14">
        <f t="shared" si="23"/>
        <v>1486</v>
      </c>
      <c r="E1498" s="12" t="str">
        <f>IF($C$8&gt;=A1498,$E$1&amp;" "&amp;A1498,"")</f>
        <v/>
      </c>
      <c r="J1498" s="8"/>
      <c r="M1498" s="1"/>
      <c r="N1498" s="1"/>
      <c r="O1498" s="1"/>
      <c r="P1498" s="9"/>
      <c r="Q1498" s="9"/>
      <c r="R1498" s="8"/>
      <c r="S1498" s="8"/>
      <c r="T1498" s="1"/>
    </row>
    <row r="1499" spans="1:20" x14ac:dyDescent="0.2">
      <c r="A1499" s="14">
        <f t="shared" si="23"/>
        <v>1487</v>
      </c>
      <c r="E1499" s="12" t="str">
        <f>IF($C$8&gt;=A1499,$E$1&amp;" "&amp;A1499,"")</f>
        <v/>
      </c>
      <c r="J1499" s="8"/>
      <c r="M1499" s="1"/>
      <c r="N1499" s="1"/>
      <c r="O1499" s="1"/>
      <c r="P1499" s="9"/>
      <c r="Q1499" s="9"/>
      <c r="R1499" s="8"/>
      <c r="S1499" s="8"/>
      <c r="T1499" s="1"/>
    </row>
    <row r="1500" spans="1:20" x14ac:dyDescent="0.2">
      <c r="A1500" s="14">
        <f t="shared" si="23"/>
        <v>1488</v>
      </c>
      <c r="E1500" s="12" t="str">
        <f>IF($C$8&gt;=A1500,$E$1&amp;" "&amp;A1500,"")</f>
        <v/>
      </c>
      <c r="J1500" s="8"/>
      <c r="M1500" s="1"/>
      <c r="N1500" s="1"/>
      <c r="O1500" s="1"/>
      <c r="P1500" s="9"/>
      <c r="Q1500" s="9"/>
      <c r="R1500" s="8"/>
      <c r="S1500" s="8"/>
      <c r="T1500" s="1"/>
    </row>
    <row r="1501" spans="1:20" x14ac:dyDescent="0.2">
      <c r="A1501" s="14">
        <f t="shared" si="23"/>
        <v>1489</v>
      </c>
      <c r="E1501" s="12" t="str">
        <f>IF($C$8&gt;=A1501,$E$1&amp;" "&amp;A1501,"")</f>
        <v/>
      </c>
      <c r="J1501" s="8"/>
      <c r="M1501" s="1"/>
      <c r="N1501" s="1"/>
      <c r="O1501" s="1"/>
      <c r="P1501" s="9"/>
      <c r="Q1501" s="9"/>
      <c r="R1501" s="8"/>
      <c r="S1501" s="8"/>
      <c r="T1501" s="1"/>
    </row>
    <row r="1502" spans="1:20" x14ac:dyDescent="0.2">
      <c r="A1502" s="14">
        <f t="shared" si="23"/>
        <v>1490</v>
      </c>
      <c r="E1502" s="12" t="str">
        <f>IF($C$8&gt;=A1502,$E$1&amp;" "&amp;A1502,"")</f>
        <v/>
      </c>
      <c r="J1502" s="8"/>
      <c r="M1502" s="1"/>
      <c r="N1502" s="1"/>
      <c r="O1502" s="1"/>
      <c r="P1502" s="9"/>
      <c r="Q1502" s="9"/>
      <c r="R1502" s="8"/>
      <c r="S1502" s="8"/>
      <c r="T1502" s="1"/>
    </row>
    <row r="1503" spans="1:20" x14ac:dyDescent="0.2">
      <c r="A1503" s="14">
        <f t="shared" si="23"/>
        <v>1491</v>
      </c>
      <c r="E1503" s="12" t="str">
        <f>IF($C$8&gt;=A1503,$E$1&amp;" "&amp;A1503,"")</f>
        <v/>
      </c>
      <c r="J1503" s="8"/>
      <c r="M1503" s="1"/>
      <c r="N1503" s="1"/>
      <c r="O1503" s="1"/>
      <c r="P1503" s="9"/>
      <c r="Q1503" s="9"/>
      <c r="R1503" s="8"/>
      <c r="S1503" s="8"/>
      <c r="T1503" s="1"/>
    </row>
    <row r="1504" spans="1:20" x14ac:dyDescent="0.2">
      <c r="A1504" s="14">
        <f t="shared" si="23"/>
        <v>1492</v>
      </c>
      <c r="E1504" s="12" t="str">
        <f>IF($C$8&gt;=A1504,$E$1&amp;" "&amp;A1504,"")</f>
        <v/>
      </c>
      <c r="J1504" s="8"/>
      <c r="M1504" s="1"/>
      <c r="N1504" s="1"/>
      <c r="O1504" s="1"/>
      <c r="P1504" s="9"/>
      <c r="Q1504" s="9"/>
      <c r="R1504" s="8"/>
      <c r="S1504" s="8"/>
      <c r="T1504" s="1"/>
    </row>
    <row r="1505" spans="1:20" x14ac:dyDescent="0.2">
      <c r="A1505" s="14">
        <f t="shared" si="23"/>
        <v>1493</v>
      </c>
      <c r="E1505" s="12" t="str">
        <f>IF($C$8&gt;=A1505,$E$1&amp;" "&amp;A1505,"")</f>
        <v/>
      </c>
      <c r="J1505" s="8"/>
      <c r="M1505" s="1"/>
      <c r="N1505" s="1"/>
      <c r="O1505" s="1"/>
      <c r="P1505" s="9"/>
      <c r="Q1505" s="9"/>
      <c r="R1505" s="8"/>
      <c r="S1505" s="8"/>
      <c r="T1505" s="1"/>
    </row>
    <row r="1506" spans="1:20" x14ac:dyDescent="0.2">
      <c r="A1506" s="14">
        <f t="shared" si="23"/>
        <v>1494</v>
      </c>
      <c r="E1506" s="12" t="str">
        <f>IF($C$8&gt;=A1506,$E$1&amp;" "&amp;A1506,"")</f>
        <v/>
      </c>
      <c r="J1506" s="8"/>
      <c r="M1506" s="1"/>
      <c r="N1506" s="1"/>
      <c r="O1506" s="1"/>
      <c r="P1506" s="9"/>
      <c r="Q1506" s="9"/>
      <c r="R1506" s="8"/>
      <c r="S1506" s="8"/>
      <c r="T1506" s="1"/>
    </row>
    <row r="1507" spans="1:20" x14ac:dyDescent="0.2">
      <c r="A1507" s="14">
        <f t="shared" si="23"/>
        <v>1495</v>
      </c>
      <c r="E1507" s="12" t="str">
        <f>IF($C$8&gt;=A1507,$E$1&amp;" "&amp;A1507,"")</f>
        <v/>
      </c>
      <c r="J1507" s="8"/>
      <c r="M1507" s="1"/>
      <c r="N1507" s="1"/>
      <c r="O1507" s="1"/>
      <c r="P1507" s="9"/>
      <c r="Q1507" s="9"/>
      <c r="R1507" s="8"/>
      <c r="S1507" s="8"/>
      <c r="T1507" s="1"/>
    </row>
    <row r="1508" spans="1:20" x14ac:dyDescent="0.2">
      <c r="A1508" s="14">
        <f t="shared" si="23"/>
        <v>1496</v>
      </c>
      <c r="E1508" s="12" t="str">
        <f>IF($C$8&gt;=A1508,$E$1&amp;" "&amp;A1508,"")</f>
        <v/>
      </c>
      <c r="J1508" s="8"/>
      <c r="M1508" s="1"/>
      <c r="N1508" s="1"/>
      <c r="O1508" s="1"/>
      <c r="P1508" s="9"/>
      <c r="Q1508" s="9"/>
      <c r="R1508" s="8"/>
      <c r="S1508" s="8"/>
      <c r="T1508" s="1"/>
    </row>
    <row r="1509" spans="1:20" x14ac:dyDescent="0.2">
      <c r="A1509" s="14">
        <f t="shared" si="23"/>
        <v>1497</v>
      </c>
      <c r="E1509" s="12" t="str">
        <f>IF($C$8&gt;=A1509,$E$1&amp;" "&amp;A1509,"")</f>
        <v/>
      </c>
      <c r="J1509" s="8"/>
      <c r="M1509" s="1"/>
      <c r="N1509" s="1"/>
      <c r="O1509" s="1"/>
      <c r="P1509" s="9"/>
      <c r="Q1509" s="9"/>
      <c r="R1509" s="8"/>
      <c r="S1509" s="8"/>
      <c r="T1509" s="1"/>
    </row>
    <row r="1510" spans="1:20" x14ac:dyDescent="0.2">
      <c r="A1510" s="14">
        <f t="shared" si="23"/>
        <v>1498</v>
      </c>
      <c r="E1510" s="12" t="str">
        <f>IF($C$8&gt;=A1510,$E$1&amp;" "&amp;A1510,"")</f>
        <v/>
      </c>
      <c r="J1510" s="8"/>
      <c r="M1510" s="1"/>
      <c r="N1510" s="1"/>
      <c r="O1510" s="1"/>
      <c r="P1510" s="9"/>
      <c r="Q1510" s="9"/>
      <c r="R1510" s="8"/>
      <c r="S1510" s="8"/>
      <c r="T1510" s="1"/>
    </row>
    <row r="1511" spans="1:20" x14ac:dyDescent="0.2">
      <c r="A1511" s="14">
        <f t="shared" si="23"/>
        <v>1499</v>
      </c>
      <c r="E1511" s="12" t="str">
        <f>IF($C$8&gt;=A1511,$E$1&amp;" "&amp;A1511,"")</f>
        <v/>
      </c>
      <c r="J1511" s="8"/>
      <c r="M1511" s="1"/>
      <c r="N1511" s="1"/>
      <c r="O1511" s="1"/>
      <c r="P1511" s="9"/>
      <c r="Q1511" s="9"/>
      <c r="R1511" s="8"/>
      <c r="S1511" s="8"/>
      <c r="T1511" s="1"/>
    </row>
    <row r="1512" spans="1:20" x14ac:dyDescent="0.2">
      <c r="A1512" s="14">
        <f t="shared" si="23"/>
        <v>1500</v>
      </c>
      <c r="J1512" s="8"/>
      <c r="M1512" s="1"/>
      <c r="N1512" s="1"/>
      <c r="O1512" s="1"/>
      <c r="P1512" s="9"/>
      <c r="Q1512" s="9"/>
      <c r="R1512" s="8"/>
      <c r="S1512" s="8"/>
      <c r="T1512" s="1"/>
    </row>
  </sheetData>
  <conditionalFormatting sqref="W9">
    <cfRule type="containsText" dxfId="2" priority="2" operator="containsText" text="Warning">
      <formula>NOT(ISERROR(SEARCH("Warning",W9)))</formula>
    </cfRule>
    <cfRule type="expression" dxfId="1" priority="3">
      <formula>$W$1</formula>
    </cfRule>
  </conditionalFormatting>
  <conditionalFormatting sqref="U13:V1512">
    <cfRule type="containsText" dxfId="0" priority="1" operator="containsText" text="Unstable">
      <formula>NOT(ISERROR(SEARCH("Unstable",U13)))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lculateFinWR">
                <anchor moveWithCells="1" sizeWithCells="1">
                  <from>
                    <xdr:col>1</xdr:col>
                    <xdr:colOff>38100</xdr:colOff>
                    <xdr:row>8</xdr:row>
                    <xdr:rowOff>63500</xdr:rowOff>
                  </from>
                  <to>
                    <xdr:col>3</xdr:col>
                    <xdr:colOff>736600</xdr:colOff>
                    <xdr:row>9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Calculations</vt:lpstr>
      <vt:lpstr>Inputs_Outputs</vt:lpstr>
    </vt:vector>
  </TitlesOfParts>
  <Company>Massachusetts Institute of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Graves</dc:creator>
  <cp:lastModifiedBy>Microsoft Office User</cp:lastModifiedBy>
  <dcterms:created xsi:type="dcterms:W3CDTF">2020-03-31T23:58:56Z</dcterms:created>
  <dcterms:modified xsi:type="dcterms:W3CDTF">2020-06-03T22:51:06Z</dcterms:modified>
</cp:coreProperties>
</file>